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日报" sheetId="2" r:id="rId5"/>
    <sheet name="2026.9" sheetId="3" r:id="rId6"/>
    <sheet name="2026.8" sheetId="4" r:id="rId7"/>
    <sheet name="2026.7" sheetId="5" r:id="rId8"/>
    <sheet name="Sheet6" sheetId="6" r:id="rId9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<sst xmlns="http://schemas.openxmlformats.org/spreadsheetml/2006/main" count="193" uniqueCount="193">
  <si>
    <t xml:space="preserve">  </t>
  </si>
  <si>
    <t xml:space="preserve">日期</t>
  </si>
  <si>
    <t xml:space="preserve">直播间观看人数</t>
  </si>
  <si>
    <t xml:space="preserve">平均在线人数</t>
  </si>
  <si>
    <t xml:space="preserve">直播间进入率</t>
  </si>
  <si>
    <t xml:space="preserve">组件点击率</t>
  </si>
  <si>
    <t xml:space="preserve">整体点赞率</t>
  </si>
  <si>
    <t xml:space="preserve">超1分钟观看率</t>
  </si>
  <si>
    <t xml:space="preserve">平均停留时长</t>
  </si>
  <si>
    <t xml:space="preserve">直播时长</t>
  </si>
  <si>
    <t xml:space="preserve">日期</t>
  </si>
  <si>
    <t xml:space="preserve">时段</t>
  </si>
  <si>
    <t xml:space="preserve">主播</t>
  </si>
  <si>
    <t xml:space="preserve">投放消耗</t>
  </si>
  <si>
    <t xml:space="preserve">ad表单数</t>
  </si>
  <si>
    <t xml:space="preserve">ad转化数</t>
  </si>
  <si>
    <t xml:space="preserve">ad成本</t>
  </si>
  <si>
    <t xml:space="preserve">订单数</t>
  </si>
  <si>
    <t xml:space="preserve">保单数（无忧全能）</t>
  </si>
  <si>
    <t/>
    <r>
      <rPr>
        <b val="true"/>
        <i val="false"/>
        <strike val="false"/>
        <sz val="9"/>
        <color rgb="FFFFFFFF"/>
        <rFont val="Microsoft YaHei"/>
      </rPr>
      <t>年化保费（</t>
    </r>
    <r>
      <rPr>
        <b val="true"/>
        <i val="false"/>
        <strike val="false"/>
        <sz val="9"/>
        <color rgb="FF1F2329"/>
        <rFont val="Microsoft YaHei"/>
      </rPr>
      <t>无忧全能</t>
    </r>
    <r>
      <rPr>
        <b val="true"/>
        <i val="false"/>
        <strike val="false"/>
        <sz val="9"/>
        <color rgb="FFFFFFFF"/>
        <rFont val="Microsoft YaHei"/>
      </rPr>
      <t>）</t>
    </r>
  </si>
  <si>
    <t xml:space="preserve">保单数（众民保甄选版）</t>
  </si>
  <si>
    <t/>
    <r>
      <rPr>
        <b val="true"/>
        <i val="false"/>
        <strike val="false"/>
        <sz val="9"/>
        <color rgb="FFFFFFFF"/>
        <rFont val="Microsoft YaHei"/>
      </rPr>
      <t>年化保费（</t>
    </r>
    <r>
      <rPr>
        <b val="true"/>
        <i val="false"/>
        <strike val="false"/>
        <sz val="9"/>
        <color rgb="FF1F2329"/>
        <rFont val="Microsoft YaHei"/>
      </rPr>
      <t>众民甄选版</t>
    </r>
    <r>
      <rPr>
        <b val="true"/>
        <i val="false"/>
        <strike val="false"/>
        <sz val="9"/>
        <color rgb="FFFFFFFF"/>
        <rFont val="Microsoft YaHei"/>
      </rPr>
      <t>）</t>
    </r>
  </si>
  <si>
    <t xml:space="preserve">保单数</t>
  </si>
  <si>
    <t xml:space="preserve">订单成本</t>
  </si>
  <si>
    <t xml:space="preserve">保单成本</t>
  </si>
  <si>
    <t xml:space="preserve">GMV</t>
  </si>
  <si>
    <t xml:space="preserve">件均</t>
  </si>
  <si>
    <t xml:space="preserve">ROI</t>
  </si>
  <si>
    <t xml:space="preserve">业务roi</t>
  </si>
  <si>
    <t xml:space="preserve">平均在线人数</t>
  </si>
  <si>
    <t xml:space="preserve">直播间进入率</t>
  </si>
  <si>
    <t xml:space="preserve">互动率</t>
  </si>
  <si>
    <t xml:space="preserve">组件点击率</t>
  </si>
  <si>
    <t xml:space="preserve">订单提交率</t>
  </si>
  <si>
    <t xml:space="preserve">保单转化率</t>
  </si>
  <si>
    <t xml:space="preserve">展示</t>
  </si>
  <si>
    <t xml:space="preserve">直播间进入人数</t>
  </si>
  <si>
    <t xml:space="preserve">直播间评论数</t>
  </si>
  <si>
    <t xml:space="preserve">组件点击数</t>
  </si>
  <si>
    <t xml:space="preserve">订单数（支付+待支付）</t>
  </si>
  <si>
    <t xml:space="preserve">别删</t>
  </si>
  <si>
    <t xml:space="preserve">08:00-09:00</t>
  </si>
  <si>
    <t xml:space="preserve">王梦晴</t>
  </si>
  <si>
    <t xml:space="preserve">09:00-10:00</t>
  </si>
  <si>
    <t xml:space="preserve">10:00-11:00</t>
  </si>
  <si>
    <t xml:space="preserve">11:00-12:00</t>
  </si>
  <si>
    <t xml:space="preserve">分主播汇总</t>
  </si>
  <si>
    <t xml:space="preserve">12:00-13:00</t>
  </si>
  <si>
    <t xml:space="preserve">徐梦婷</t>
  </si>
  <si>
    <t xml:space="preserve">13:00-14:00</t>
  </si>
  <si>
    <t xml:space="preserve">14:00-15:00</t>
  </si>
  <si>
    <t xml:space="preserve">当天汇总</t>
  </si>
  <si>
    <t xml:space="preserve">王井伊</t>
  </si>
  <si>
    <t xml:space="preserve">12:00-12:30</t>
  </si>
  <si>
    <t xml:space="preserve">日期</t>
  </si>
  <si>
    <t xml:space="preserve">时段</t>
  </si>
  <si>
    <t xml:space="preserve">主播</t>
  </si>
  <si>
    <t xml:space="preserve">投放消耗</t>
  </si>
  <si>
    <t xml:space="preserve">ad表单数</t>
  </si>
  <si>
    <t xml:space="preserve">ad转化数</t>
  </si>
  <si>
    <t xml:space="preserve">ad成本</t>
  </si>
  <si>
    <t xml:space="preserve">订单数</t>
  </si>
  <si>
    <t xml:space="preserve">保单数（无忧全能）</t>
  </si>
  <si>
    <t/>
    <r>
      <rPr>
        <b val="true"/>
        <i val="false"/>
        <strike val="false"/>
        <sz val="9"/>
        <color rgb="FFFFFFFF"/>
        <rFont val="Microsoft YaHei"/>
      </rPr>
      <t>年化保费（</t>
    </r>
    <r>
      <rPr>
        <b val="true"/>
        <i val="false"/>
        <strike val="false"/>
        <sz val="9"/>
        <color rgb="FF1F2329"/>
        <rFont val="Microsoft YaHei"/>
      </rPr>
      <t>无忧全能</t>
    </r>
    <r>
      <rPr>
        <b val="true"/>
        <i val="false"/>
        <strike val="false"/>
        <sz val="9"/>
        <color rgb="FFFFFFFF"/>
        <rFont val="Microsoft YaHei"/>
      </rPr>
      <t>）</t>
    </r>
  </si>
  <si>
    <t xml:space="preserve">保单数（众民保甄选版）</t>
  </si>
  <si>
    <t/>
    <r>
      <rPr>
        <b val="true"/>
        <i val="false"/>
        <strike val="false"/>
        <sz val="9"/>
        <color rgb="FFFFFFFF"/>
        <rFont val="Microsoft YaHei"/>
      </rPr>
      <t>年化保费（</t>
    </r>
    <r>
      <rPr>
        <b val="true"/>
        <i val="false"/>
        <strike val="false"/>
        <sz val="9"/>
        <color rgb="FF1F2329"/>
        <rFont val="Microsoft YaHei"/>
      </rPr>
      <t>众民甄选版</t>
    </r>
    <r>
      <rPr>
        <b val="true"/>
        <i val="false"/>
        <strike val="false"/>
        <sz val="9"/>
        <color rgb="FFFFFFFF"/>
        <rFont val="Microsoft YaHei"/>
      </rPr>
      <t>）</t>
    </r>
  </si>
  <si>
    <t xml:space="preserve">保单数</t>
  </si>
  <si>
    <t xml:space="preserve">订单成本</t>
  </si>
  <si>
    <t xml:space="preserve">保单成本</t>
  </si>
  <si>
    <t xml:space="preserve">GMV</t>
  </si>
  <si>
    <t xml:space="preserve">件均</t>
  </si>
  <si>
    <t xml:space="preserve">ROI</t>
  </si>
  <si>
    <t xml:space="preserve">业务roi</t>
  </si>
  <si>
    <t xml:space="preserve">平均在线人数</t>
  </si>
  <si>
    <t xml:space="preserve">直播间进入率</t>
  </si>
  <si>
    <t xml:space="preserve">互动率</t>
  </si>
  <si>
    <t xml:space="preserve">组件点击率</t>
  </si>
  <si>
    <t xml:space="preserve">订单提交率</t>
  </si>
  <si>
    <t xml:space="preserve">保单转化率</t>
  </si>
  <si>
    <t xml:space="preserve">展示</t>
  </si>
  <si>
    <t xml:space="preserve">直播间进入人数</t>
  </si>
  <si>
    <t xml:space="preserve">直播间评论数</t>
  </si>
  <si>
    <t xml:space="preserve">组件点击数</t>
  </si>
  <si>
    <t xml:space="preserve">订单数（支付+待支付）</t>
  </si>
  <si>
    <t xml:space="preserve">别删</t>
  </si>
  <si>
    <t xml:space="preserve">07:00-08:00</t>
  </si>
  <si>
    <t xml:space="preserve">王琪琪</t>
  </si>
  <si>
    <t xml:space="preserve">08:00-09:00</t>
  </si>
  <si>
    <t xml:space="preserve">09:00-10:00</t>
  </si>
  <si>
    <t xml:space="preserve">10:00-11:00</t>
  </si>
  <si>
    <t xml:space="preserve">分主播汇总</t>
  </si>
  <si>
    <t xml:space="preserve">11:00-12:00</t>
  </si>
  <si>
    <t xml:space="preserve">郭子硕</t>
  </si>
  <si>
    <t xml:space="preserve">12:00-13:00</t>
  </si>
  <si>
    <t xml:space="preserve">13:00-14:00</t>
  </si>
  <si>
    <t xml:space="preserve">14:00-15:00</t>
  </si>
  <si>
    <t xml:space="preserve">当天汇总</t>
  </si>
  <si>
    <t xml:space="preserve">徐梦婷</t>
  </si>
  <si>
    <t xml:space="preserve">10:00-10:30</t>
  </si>
  <si>
    <t xml:space="preserve">孙紫欣</t>
  </si>
  <si>
    <t xml:space="preserve">王梦晴</t>
  </si>
  <si>
    <t xml:space="preserve">日期</t>
  </si>
  <si>
    <t xml:space="preserve">时段</t>
  </si>
  <si>
    <t xml:space="preserve">主播</t>
  </si>
  <si>
    <t xml:space="preserve">投放消耗</t>
  </si>
  <si>
    <t xml:space="preserve">ad表单数</t>
  </si>
  <si>
    <t xml:space="preserve">ad转化数</t>
  </si>
  <si>
    <t xml:space="preserve">ad成本</t>
  </si>
  <si>
    <t xml:space="preserve">订单数</t>
  </si>
  <si>
    <t xml:space="preserve">保单数（无忧全能）</t>
  </si>
  <si>
    <t/>
    <r>
      <rPr>
        <b val="true"/>
        <i val="false"/>
        <strike val="false"/>
        <sz val="9"/>
        <color rgb="FFFFFFFF"/>
        <rFont val="Microsoft YaHei"/>
      </rPr>
      <t>年化保费（</t>
    </r>
    <r>
      <rPr>
        <b val="true"/>
        <i val="false"/>
        <strike val="false"/>
        <sz val="9"/>
        <color rgb="FF1F2329"/>
        <rFont val="Microsoft YaHei"/>
      </rPr>
      <t>无忧全能</t>
    </r>
    <r>
      <rPr>
        <b val="true"/>
        <i val="false"/>
        <strike val="false"/>
        <sz val="9"/>
        <color rgb="FFFFFFFF"/>
        <rFont val="Microsoft YaHei"/>
      </rPr>
      <t>）</t>
    </r>
  </si>
  <si>
    <t xml:space="preserve">保单数（众民保中高端）</t>
  </si>
  <si>
    <t/>
    <r>
      <rPr>
        <b val="true"/>
        <i val="false"/>
        <strike val="false"/>
        <sz val="9"/>
        <color rgb="FFFFFFFF"/>
        <rFont val="Microsoft YaHei"/>
      </rPr>
      <t>年化保费（</t>
    </r>
    <r>
      <rPr>
        <b val="true"/>
        <i val="false"/>
        <strike val="false"/>
        <sz val="9"/>
        <color rgb="FF1F2329"/>
        <rFont val="Microsoft YaHei"/>
      </rPr>
      <t>众民保中高端</t>
    </r>
    <r>
      <rPr>
        <b val="true"/>
        <i val="false"/>
        <strike val="false"/>
        <sz val="9"/>
        <color rgb="FFFFFFFF"/>
        <rFont val="Microsoft YaHei"/>
      </rPr>
      <t>）</t>
    </r>
  </si>
  <si>
    <t xml:space="preserve">保单数</t>
  </si>
  <si>
    <t xml:space="preserve">订单成本</t>
  </si>
  <si>
    <t xml:space="preserve">保单成本</t>
  </si>
  <si>
    <t xml:space="preserve">GMV</t>
  </si>
  <si>
    <t xml:space="preserve">件均</t>
  </si>
  <si>
    <t xml:space="preserve">ROI</t>
  </si>
  <si>
    <t xml:space="preserve">业务roi</t>
  </si>
  <si>
    <t xml:space="preserve">平均在线人数</t>
  </si>
  <si>
    <t xml:space="preserve">直播间进入率</t>
  </si>
  <si>
    <t xml:space="preserve">互动率</t>
  </si>
  <si>
    <t xml:space="preserve">组件点击率</t>
  </si>
  <si>
    <t xml:space="preserve">订单提交率</t>
  </si>
  <si>
    <t xml:space="preserve">保单转化率</t>
  </si>
  <si>
    <t xml:space="preserve">展示</t>
  </si>
  <si>
    <t xml:space="preserve">直播间进入人数</t>
  </si>
  <si>
    <t xml:space="preserve">直播间评论数</t>
  </si>
  <si>
    <t xml:space="preserve">组件点击数</t>
  </si>
  <si>
    <t xml:space="preserve">订单数（支付+待支付）</t>
  </si>
  <si>
    <t xml:space="preserve">别删</t>
  </si>
  <si>
    <t xml:space="preserve">16:00-17:00</t>
  </si>
  <si>
    <t xml:space="preserve">郭子硕</t>
  </si>
  <si>
    <t xml:space="preserve">17:00-18:00</t>
  </si>
  <si>
    <t xml:space="preserve">18:00-19:00</t>
  </si>
  <si>
    <t xml:space="preserve">19:00-20:00</t>
  </si>
  <si>
    <t xml:space="preserve">分主播汇总</t>
  </si>
  <si>
    <t xml:space="preserve">20:00-21:00</t>
  </si>
  <si>
    <t xml:space="preserve">徐梦婷</t>
  </si>
  <si>
    <t xml:space="preserve">21:00-22:00</t>
  </si>
  <si>
    <t xml:space="preserve">22:00-23:00</t>
  </si>
  <si>
    <t xml:space="preserve">储欣欣</t>
  </si>
  <si>
    <t xml:space="preserve">23:00-24:00</t>
  </si>
  <si>
    <t xml:space="preserve">当天汇总</t>
  </si>
  <si>
    <t xml:space="preserve">王琪琪</t>
  </si>
  <si>
    <t xml:space="preserve">24:00-01:00</t>
  </si>
  <si>
    <t xml:space="preserve">01:00-02:00</t>
  </si>
  <si>
    <t xml:space="preserve">褚欣欣</t>
  </si>
  <si>
    <t xml:space="preserve">日期</t>
  </si>
  <si>
    <t xml:space="preserve">时段</t>
  </si>
  <si>
    <t xml:space="preserve">主播</t>
  </si>
  <si>
    <t xml:space="preserve">投放消耗</t>
  </si>
  <si>
    <t xml:space="preserve">ad表单数</t>
  </si>
  <si>
    <t xml:space="preserve">ad转化数</t>
  </si>
  <si>
    <t xml:space="preserve">ad成本</t>
  </si>
  <si>
    <t xml:space="preserve">订单数</t>
  </si>
  <si>
    <t xml:space="preserve">保单数（无忧全能）</t>
  </si>
  <si>
    <t/>
    <r>
      <rPr>
        <b val="true"/>
        <i val="false"/>
        <strike val="false"/>
        <sz val="9"/>
        <color rgb="FFFFFFFF"/>
        <rFont val="Microsoft YaHei"/>
      </rPr>
      <t>年化保费（</t>
    </r>
    <r>
      <rPr>
        <b val="true"/>
        <i val="false"/>
        <strike val="false"/>
        <sz val="9"/>
        <color rgb="FF1F2329"/>
        <rFont val="Microsoft YaHei"/>
      </rPr>
      <t>无忧全能</t>
    </r>
    <r>
      <rPr>
        <b val="true"/>
        <i val="false"/>
        <strike val="false"/>
        <sz val="9"/>
        <color rgb="FFFFFFFF"/>
        <rFont val="Microsoft YaHei"/>
      </rPr>
      <t>）</t>
    </r>
  </si>
  <si>
    <t xml:space="preserve">保单数（众民保中高端）</t>
  </si>
  <si>
    <t/>
    <r>
      <rPr>
        <b val="true"/>
        <i val="false"/>
        <strike val="false"/>
        <sz val="9"/>
        <color rgb="FFFFFFFF"/>
        <rFont val="Microsoft YaHei"/>
      </rPr>
      <t>年化保费（</t>
    </r>
    <r>
      <rPr>
        <b val="true"/>
        <i val="false"/>
        <strike val="false"/>
        <sz val="9"/>
        <color rgb="FF1F2329"/>
        <rFont val="Microsoft YaHei"/>
      </rPr>
      <t>众民保中高端</t>
    </r>
    <r>
      <rPr>
        <b val="true"/>
        <i val="false"/>
        <strike val="false"/>
        <sz val="9"/>
        <color rgb="FFFFFFFF"/>
        <rFont val="Microsoft YaHei"/>
      </rPr>
      <t>）</t>
    </r>
  </si>
  <si>
    <t xml:space="preserve">保单数</t>
  </si>
  <si>
    <t xml:space="preserve">订单成本</t>
  </si>
  <si>
    <t xml:space="preserve">保单成本</t>
  </si>
  <si>
    <t xml:space="preserve">GMV</t>
  </si>
  <si>
    <t xml:space="preserve">件均</t>
  </si>
  <si>
    <t xml:space="preserve">ROI</t>
  </si>
  <si>
    <t xml:space="preserve">业务roi</t>
  </si>
  <si>
    <t xml:space="preserve">平均在线人数</t>
  </si>
  <si>
    <t xml:space="preserve">直播间进入率</t>
  </si>
  <si>
    <t xml:space="preserve">互动率</t>
  </si>
  <si>
    <t xml:space="preserve">组件点击率</t>
  </si>
  <si>
    <t xml:space="preserve">订单提交率</t>
  </si>
  <si>
    <t xml:space="preserve">保单转化率</t>
  </si>
  <si>
    <t xml:space="preserve">展示</t>
  </si>
  <si>
    <t xml:space="preserve">直播间进入人数</t>
  </si>
  <si>
    <t xml:space="preserve">直播间评论数</t>
  </si>
  <si>
    <t xml:space="preserve">组件点击数</t>
  </si>
  <si>
    <t xml:space="preserve">订单数（支付+待支付）</t>
  </si>
  <si>
    <t xml:space="preserve">别删</t>
  </si>
  <si>
    <t xml:space="preserve">08:00-09:00</t>
  </si>
  <si>
    <t xml:space="preserve">徐梦婷</t>
  </si>
  <si>
    <t xml:space="preserve">09:00-10:00</t>
  </si>
  <si>
    <t xml:space="preserve">10:00-11:00</t>
  </si>
  <si>
    <t xml:space="preserve">11:00-12:00</t>
  </si>
  <si>
    <t xml:space="preserve">分主播汇总</t>
  </si>
  <si>
    <t xml:space="preserve">12:00-13:00</t>
  </si>
  <si>
    <t xml:space="preserve">王梦晴</t>
  </si>
  <si>
    <t xml:space="preserve">13:00-14:00</t>
  </si>
  <si>
    <t xml:space="preserve">14:00-15:00</t>
  </si>
  <si>
    <t xml:space="preserve">当天汇总</t>
  </si>
  <si>
    <t xml:space="preserve">王井伊</t>
  </si>
  <si>
    <t xml:space="preserve">12:00-12:30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</si>
</sst>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4">
    <numFmt numFmtId="164" formatCode="0"/>
    <numFmt numFmtId="165" formatCode="0.00%"/>
    <numFmt numFmtId="166" formatCode="m月d日"/>
    <numFmt numFmtId="167" formatCode="0.00"/>
    <numFmt numFmtId="168" formatCode="0"/>
    <numFmt numFmtId="169" formatCode="#,##0.00"/>
    <numFmt numFmtId="170" formatCode="yyyy-MM-dd"/>
    <numFmt numFmtId="171" formatCode="General"/>
    <numFmt numFmtId="172" formatCode="0.00%"/>
    <numFmt numFmtId="173" formatCode="0.00_);(0.00)"/>
    <numFmt numFmtId="174" formatCode="@"/>
    <numFmt numFmtId="175" formatCode="0.00"/>
    <numFmt numFmtId="176" formatCode="0"/>
    <numFmt numFmtId="177" formatCode="#,##0.00"/>
    <numFmt numFmtId="178" formatCode="yyyy-MM-dd"/>
    <numFmt numFmtId="179" formatCode="General"/>
    <numFmt numFmtId="180" formatCode="0.00%"/>
    <numFmt numFmtId="181" formatCode="0.00_);(0.00)"/>
    <numFmt numFmtId="182" formatCode="0.0"/>
    <numFmt numFmtId="183" formatCode="0.00"/>
    <numFmt numFmtId="184" formatCode="0"/>
    <numFmt numFmtId="185" formatCode="yyyy-MM-dd"/>
    <numFmt numFmtId="186" formatCode="General"/>
    <numFmt numFmtId="187" formatCode="#,##0.00"/>
    <numFmt numFmtId="188" formatCode="0.00%"/>
    <numFmt numFmtId="189" formatCode="0_);(0)"/>
    <numFmt numFmtId="190" formatCode="0.00_);(0.00)"/>
    <numFmt numFmtId="191" formatCode="0.00"/>
    <numFmt numFmtId="192" formatCode="0"/>
    <numFmt numFmtId="193" formatCode="yyyy-MM-dd"/>
    <numFmt numFmtId="194" formatCode="#,##0.00"/>
    <numFmt numFmtId="195" formatCode="General"/>
    <numFmt numFmtId="196" formatCode="0.00%"/>
    <numFmt numFmtId="197" formatCode="0.00_);(0.00)"/>
  </numFmts>
  <fonts count="10">
    <font>
      <sz val="12"/>
      <color theme="1"/>
      <name val="Calibri"/>
      <family val="2"/>
      <scheme val="minor"/>
    </font>
    <font>
      <b val="true"/>
      <sz val="12"/>
      <color rgb="FFFFFFFF"/>
      <name val="Microsoft YaHei"/>
      <family val="2"/>
    </font>
    <font>
      <b val="true"/>
      <sz val="12"/>
      <color rgb="FF8EE085"/>
      <name val="Microsoft YaHei"/>
      <family val="2"/>
    </font>
    <font>
      <sz val="10"/>
      <color rgb="FF000000"/>
      <name val="Microsoft YaHei"/>
      <family val="2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 val="true"/>
      <sz val="9"/>
      <color rgb="FFFFFFFF"/>
      <name val="Microsoft YaHei"/>
      <family val="2"/>
    </font>
    <font>
      <b val="true"/>
      <sz val="9"/>
      <color rgb="FF1F2329"/>
      <name val="Microsoft YaHei"/>
      <family val="2"/>
    </font>
    <font>
      <sz val="10"/>
      <color rgb="FF1F2329"/>
      <name val="Calibri"/>
      <family val="2"/>
      <scheme val="minor"/>
    </font>
    <font>
      <sz val="9"/>
      <color rgb="FF31343B"/>
      <name val="PingFang SC"/>
      <family val="2"/>
    </font>
  </fonts>
  <fills count="32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00AF50"/>
        <bgColor/>
      </patternFill>
    </fill>
    <fill>
      <patternFill patternType="solid">
        <fgColor rgb="FFF4F5F8"/>
        <bgColor/>
      </patternFill>
    </fill>
    <fill>
      <patternFill patternType="solid">
        <fgColor rgb="FF2EA121"/>
        <bgColor/>
      </patternFill>
    </fill>
    <fill>
      <patternFill patternType="solid">
        <fgColor rgb="FFFAD355"/>
        <bgColor/>
      </patternFill>
    </fill>
    <fill>
      <patternFill patternType="solid">
        <fgColor rgb="FFFFFFFF"/>
        <bgColor/>
      </patternFill>
    </fill>
    <fill>
      <patternFill patternType="solid">
        <fgColor rgb="FFF54A45"/>
        <bgColor/>
      </patternFill>
    </fill>
    <fill>
      <patternFill patternType="solid">
        <fgColor rgb="FFFFFFFF"/>
        <bgColor/>
      </patternFill>
    </fill>
    <fill>
      <patternFill patternType="solid">
        <fgColor rgb="FFD9F5D6"/>
        <bgColor/>
      </patternFill>
    </fill>
    <fill>
      <patternFill patternType="solid">
        <fgColor rgb="FF2EA121"/>
        <bgColor/>
      </patternFill>
    </fill>
    <fill>
      <patternFill patternType="solid">
        <fgColor rgb="FF2EA121"/>
        <bgColor/>
      </patternFill>
    </fill>
    <fill>
      <patternFill patternType="solid">
        <fgColor rgb="FFFAD355"/>
        <bgColor/>
      </patternFill>
    </fill>
    <fill>
      <patternFill patternType="solid">
        <fgColor rgb="FFFFFFFF"/>
        <bgColor/>
      </patternFill>
    </fill>
    <fill>
      <patternFill patternType="solid">
        <fgColor rgb="FFF54A45"/>
        <bgColor/>
      </patternFill>
    </fill>
    <fill>
      <patternFill patternType="solid">
        <fgColor rgb="FFFFFFFF"/>
        <bgColor/>
      </patternFill>
    </fill>
    <fill>
      <patternFill patternType="solid">
        <fgColor rgb="FFD9F5D6"/>
        <bgColor/>
      </patternFill>
    </fill>
    <fill>
      <patternFill patternType="solid">
        <fgColor rgb="FF2EA121"/>
        <bgColor/>
      </patternFill>
    </fill>
    <fill>
      <patternFill patternType="solid">
        <fgColor rgb="FF2EA121"/>
        <bgColor/>
      </patternFill>
    </fill>
    <fill>
      <patternFill patternType="solid">
        <fgColor rgb="FFFAD355"/>
        <bgColor/>
      </patternFill>
    </fill>
    <fill>
      <patternFill patternType="solid">
        <fgColor rgb="FFFFFFFF"/>
        <bgColor/>
      </patternFill>
    </fill>
    <fill>
      <patternFill patternType="solid">
        <fgColor rgb="FFF54A45"/>
        <bgColor/>
      </patternFill>
    </fill>
    <fill>
      <patternFill patternType="solid">
        <fgColor rgb="FFD9F5D6"/>
        <bgColor/>
      </patternFill>
    </fill>
    <fill>
      <patternFill patternType="solid">
        <fgColor rgb="FFFFFFFF"/>
        <bgColor/>
      </patternFill>
    </fill>
    <fill>
      <patternFill patternType="solid">
        <fgColor rgb="FF2EA121"/>
        <bgColor/>
      </patternFill>
    </fill>
    <fill>
      <patternFill patternType="solid">
        <fgColor rgb="FF2EA121"/>
        <bgColor/>
      </patternFill>
    </fill>
    <fill>
      <patternFill patternType="solid">
        <fgColor rgb="FFFAD355"/>
        <bgColor/>
      </patternFill>
    </fill>
    <fill>
      <patternFill patternType="solid">
        <fgColor rgb="FFFFFFFF"/>
        <bgColor/>
      </patternFill>
    </fill>
    <fill>
      <patternFill patternType="solid">
        <fgColor rgb="FFF54A45"/>
        <bgColor/>
      </patternFill>
    </fill>
    <fill>
      <patternFill patternType="solid">
        <fgColor rgb="FFFFFFFF"/>
        <bgColor/>
      </patternFill>
    </fill>
    <fill>
      <patternFill patternType="solid">
        <fgColor rgb="FFD9F5D6"/>
        <bgColor/>
      </patternFill>
    </fill>
    <fill>
      <patternFill patternType="solid">
        <fgColor rgb="FF2EA121"/>
        <bgColor/>
      </patternFill>
    </fill>
  </fills>
  <borders count="30">
    <border>
      <left/>
      <right/>
      <top/>
      <bottom/>
      <diagonal/>
    </border>
    <border>
      <left style="thin">
        <color rgb="FFE7E6E6"/>
      </left>
      <right style="thin">
        <color rgb="FFE7E6E6"/>
      </right>
      <top style="thin">
        <color rgb="FFE7E6E6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/>
      <top/>
      <bottom style="medium">
        <color rgb="FFEBEBEB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/>
      <top/>
      <bottom style="medium">
        <color rgb="FFEBEBEB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24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center" vertical="center"/>
    </xf>
    <xf applyAlignment="true" applyBorder="false" applyFill="true" applyFont="true" applyNumberFormat="true" applyProtection="false" borderId="1" fillId="2" fontId="1" numFmtId="164" xfId="0">
      <alignment horizontal="center" vertical="center"/>
    </xf>
    <xf applyAlignment="true" applyBorder="false" applyFill="true" applyFont="true" applyNumberFormat="true" applyProtection="false" borderId="1" fillId="2" fontId="1" numFmtId="165" xfId="0">
      <alignment horizontal="center" vertical="center"/>
    </xf>
    <xf applyAlignment="true" applyBorder="false" applyFill="true" applyFont="true" applyNumberFormat="true" applyProtection="false" borderId="1" fillId="2" fontId="2" numFmtId="165" xfId="0">
      <alignment horizontal="center" vertical="center"/>
    </xf>
    <xf applyAlignment="true" applyBorder="false" applyFill="false" applyFont="true" applyNumberFormat="false" applyProtection="false" borderId="2" fillId="0" fontId="3" numFmtId="0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true" applyProtection="false" borderId="3" fillId="0" fontId="3" numFmtId="166" xfId="0">
      <alignment horizontal="center" vertical="center"/>
    </xf>
    <xf applyAlignment="true" applyBorder="false" applyFill="false" applyFont="true" applyNumberFormat="false" applyProtection="false" borderId="3" fillId="0" fontId="3" numFmtId="0" xfId="0">
      <alignment horizontal="center" vertical="center"/>
    </xf>
    <xf applyAlignment="true" applyBorder="false" applyFill="false" applyFont="true" applyNumberFormat="true" applyProtection="false" borderId="3" fillId="0" fontId="3" numFmtId="164" xfId="0">
      <alignment horizontal="center" vertical="center"/>
    </xf>
    <xf applyAlignment="true" applyBorder="false" applyFill="false" applyFont="true" applyNumberFormat="true" applyProtection="false" borderId="3" fillId="0" fontId="3" numFmtId="165" xfId="0">
      <alignment horizontal="center" vertical="center"/>
    </xf>
    <xf applyAlignment="true" applyBorder="false" applyFill="false" applyFont="true" applyNumberFormat="true" applyProtection="false" borderId="3" fillId="0" fontId="3" numFmtId="165" xfId="0">
      <alignment horizontal="center" vertical="center"/>
    </xf>
    <xf applyAlignment="true" applyBorder="false" applyFill="false" applyFont="true" applyNumberFormat="false" applyProtection="false" borderId="3" fillId="0" fontId="3" numFmtId="0" xfId="0">
      <alignment horizontal="center" vertical="center"/>
    </xf>
    <xf applyAlignment="true" applyBorder="false" applyFill="false" applyFont="true" applyNumberFormat="false" applyProtection="false" borderId="4" fillId="0" fontId="3" numFmtId="0" xfId="0">
      <alignment horizontal="center" vertical="center"/>
    </xf>
    <xf applyAlignment="true" applyBorder="false" applyFill="true" applyFont="true" applyNumberFormat="false" applyProtection="false" borderId="3" fillId="3" fontId="3" numFmtId="0" xfId="0">
      <alignment horizontal="center" vertical="center"/>
    </xf>
    <xf applyAlignment="true" applyBorder="false" applyFill="true" applyFont="true" applyNumberFormat="true" applyProtection="false" borderId="3" fillId="3" fontId="3" numFmtId="165" xfId="0">
      <alignment horizontal="center" vertical="center"/>
    </xf>
    <xf applyAlignment="true" applyBorder="false" applyFill="true" applyFont="true" applyNumberFormat="true" applyProtection="false" borderId="3" fillId="3" fontId="3" numFmtId="165" xfId="0">
      <alignment horizontal="center" vertical="center"/>
    </xf>
    <xf applyAlignment="true" applyBorder="false" applyFill="true" applyFont="true" applyNumberFormat="true" applyProtection="false" borderId="3" fillId="3" fontId="3" numFmtId="164" xfId="0">
      <alignment horizontal="center" vertical="center"/>
    </xf>
    <xf applyAlignment="true" applyBorder="false" applyFill="false" applyFont="true" applyNumberFormat="false" applyProtection="false" borderId="4" fillId="0" fontId="5" numFmtId="0" xfId="0">
      <alignment horizontal="center" vertical="center"/>
    </xf>
    <xf applyAlignment="true" applyBorder="false" applyFill="false" applyFont="true" applyNumberFormat="false" applyProtection="false" borderId="2" fillId="0" fontId="5" numFmtId="0" xfId="0">
      <alignment horizontal="center" vertical="center"/>
    </xf>
    <xf applyAlignment="true" applyBorder="false" applyFill="false" applyFont="true" applyNumberFormat="false" applyProtection="false" borderId="3" fillId="0" fontId="4" numFmtId="0" xfId="0">
      <alignment horizontal="center" vertical="center"/>
    </xf>
    <xf applyAlignment="true" applyBorder="false" applyFill="false" applyFont="true" applyNumberFormat="true" applyProtection="false" borderId="3" fillId="0" fontId="4" numFmtId="165" xfId="0">
      <alignment horizontal="center" vertical="center"/>
    </xf>
    <xf applyAlignment="true" applyBorder="false" applyFill="false" applyFont="true" applyNumberFormat="true" applyProtection="false" borderId="3" fillId="0" fontId="4" numFmtId="165" xfId="0">
      <alignment horizontal="center" vertical="center"/>
    </xf>
    <xf applyAlignment="true" applyBorder="false" applyFill="false" applyFont="true" applyNumberFormat="false" applyProtection="false" borderId="3" fillId="0" fontId="4" numFmtId="0" xfId="0">
      <alignment horizontal="center" vertical="center"/>
    </xf>
    <xf applyAlignment="true" applyBorder="false" applyFill="false" applyFont="true" applyNumberFormat="true" applyProtection="false" borderId="5" fillId="0" fontId="3" numFmtId="166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true" applyProtection="false" borderId="0" fillId="0" fontId="4" numFmtId="165" xfId="0">
      <alignment horizontal="center" vertical="center"/>
    </xf>
    <xf applyAlignment="true" applyBorder="false" applyFill="false" applyFont="true" applyNumberFormat="true" applyProtection="false" borderId="0" fillId="0" fontId="4" numFmtId="165" xfId="0">
      <alignment horizontal="center" vertical="center"/>
    </xf>
    <xf applyAlignment="true" applyBorder="false" applyFill="false" applyFont="true" applyNumberFormat="true" applyProtection="false" borderId="0" fillId="0" fontId="4" numFmtId="164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true" applyProtection="false" borderId="0" fillId="0" fontId="4" numFmtId="165" xfId="0">
      <alignment horizontal="center" vertical="center"/>
    </xf>
    <xf applyAlignment="true" applyBorder="false" applyFill="false" applyFont="true" applyNumberFormat="true" applyProtection="false" borderId="0" fillId="0" fontId="4" numFmtId="165" xfId="0">
      <alignment horizontal="center" vertical="center"/>
    </xf>
    <xf applyAlignment="true" applyBorder="false" applyFill="true" applyFont="true" applyNumberFormat="false" applyProtection="false" borderId="6" fillId="4" fontId="1" numFmtId="0" xfId="0">
      <alignment horizontal="center" vertical="center"/>
    </xf>
    <xf applyAlignment="true" applyBorder="false" applyFill="true" applyFont="true" applyNumberFormat="true" applyProtection="false" borderId="6" fillId="4" fontId="1" numFmtId="167" xfId="0">
      <alignment horizontal="center" vertical="center"/>
    </xf>
    <xf applyAlignment="true" applyBorder="false" applyFill="true" applyFont="true" applyNumberFormat="true" applyProtection="false" borderId="6" fillId="4" fontId="1" numFmtId="168" xfId="0">
      <alignment horizontal="center" vertical="center"/>
    </xf>
    <xf applyAlignment="true" applyBorder="false" applyFill="true" applyFont="true" applyNumberFormat="true" applyProtection="false" borderId="6" fillId="4" fontId="6" numFmtId="168" xfId="0">
      <alignment horizontal="center" vertical="center"/>
    </xf>
    <xf applyAlignment="true" applyBorder="false" applyFill="true" applyFont="true" applyNumberFormat="true" applyProtection="false" borderId="6" fillId="4" fontId="6" numFmtId="169" xfId="0">
      <alignment horizontal="center" vertical="center"/>
    </xf>
    <xf applyAlignment="true" applyBorder="false" applyFill="true" applyFont="true" applyNumberFormat="false" applyProtection="false" borderId="6" fillId="4" fontId="1" numFmtId="0" xfId="0">
      <alignment horizontal="center" vertical="center"/>
    </xf>
    <xf applyAlignment="true" applyBorder="false" applyFill="true" applyFont="true" applyNumberFormat="false" applyProtection="false" borderId="7" fillId="5" fontId="1" numFmtId="0" xfId="0">
      <alignment horizontal="center" vertical="center"/>
    </xf>
    <xf applyAlignment="true" applyBorder="false" applyFill="true" applyFont="true" applyNumberFormat="false" applyProtection="false" borderId="7" fillId="5" fontId="1" numFmtId="0" xfId="0">
      <alignment horizontal="center" vertical="center"/>
    </xf>
    <xf applyAlignment="true" applyBorder="false" applyFill="true" applyFont="true" applyNumberFormat="false" applyProtection="false" borderId="6" fillId="4" fontId="4" numFmtId="0" xfId="0">
      <alignment horizontal="center" vertical="center"/>
    </xf>
    <xf applyAlignment="true" applyBorder="false" applyFill="true" applyFont="true" applyNumberFormat="false" applyProtection="false" borderId="6" fillId="4" fontId="4" numFmtId="0" xfId="0">
      <alignment horizontal="center" vertical="center"/>
    </xf>
    <xf applyAlignment="true" applyBorder="false" applyFill="true" applyFont="true" applyNumberFormat="true" applyProtection="false" borderId="0" fillId="6" fontId="4" numFmtId="168" xfId="0">
      <alignment horizontal="center" vertical="center"/>
    </xf>
    <xf applyAlignment="true" applyBorder="false" applyFill="true" applyFont="true" applyNumberFormat="true" applyProtection="false" borderId="0" fillId="7" fontId="8" numFmtId="168" xfId="0">
      <alignment horizontal="center" vertical="center"/>
    </xf>
    <xf applyAlignment="true" applyBorder="false" applyFill="false" applyFont="true" applyNumberFormat="true" applyProtection="false" borderId="6" fillId="0" fontId="3" numFmtId="170" xfId="0">
      <alignment horizontal="center" vertical="center"/>
    </xf>
    <xf applyAlignment="true" applyBorder="false" applyFill="true" applyFont="true" applyNumberFormat="false" applyProtection="false" borderId="6" fillId="6" fontId="3" numFmtId="0" xfId="0">
      <alignment horizontal="center" vertical="center"/>
    </xf>
    <xf applyAlignment="true" applyBorder="false" applyFill="false" applyFont="true" applyNumberFormat="true" applyProtection="false" borderId="6" fillId="0" fontId="4" numFmtId="167" xfId="0">
      <alignment horizontal="center" vertical="center"/>
    </xf>
    <xf applyAlignment="true" applyBorder="false" applyFill="true" applyFont="true" applyNumberFormat="true" applyProtection="false" borderId="6" fillId="6" fontId="3" numFmtId="168" xfId="0">
      <alignment horizontal="center" vertical="center"/>
    </xf>
    <xf applyAlignment="true" applyBorder="false" applyFill="false" applyFont="true" applyNumberFormat="true" applyProtection="false" borderId="6" fillId="0" fontId="3" numFmtId="168" xfId="0">
      <alignment horizontal="center" vertical="center"/>
    </xf>
    <xf applyAlignment="true" applyBorder="false" applyFill="false" applyFont="true" applyNumberFormat="true" applyProtection="false" borderId="6" fillId="0" fontId="4" numFmtId="168" xfId="0">
      <alignment horizontal="center" vertical="center"/>
    </xf>
    <xf applyAlignment="true" applyBorder="false" applyFill="false" applyFont="true" applyNumberFormat="true" applyProtection="false" borderId="6" fillId="0" fontId="4" numFmtId="169" xfId="0">
      <alignment horizontal="center" vertical="center"/>
    </xf>
    <xf applyAlignment="true" applyBorder="false" applyFill="false" applyFont="true" applyNumberFormat="true" applyProtection="false" borderId="6" fillId="0" fontId="4" numFmtId="171" xfId="0">
      <alignment horizontal="center" vertical="center"/>
    </xf>
    <xf applyAlignment="true" applyBorder="false" applyFill="false" applyFont="true" applyNumberFormat="false" applyProtection="false" borderId="6" fillId="0" fontId="3" numFmtId="0" xfId="0">
      <alignment horizontal="center" vertical="center"/>
    </xf>
    <xf applyAlignment="true" applyBorder="false" applyFill="false" applyFont="true" applyNumberFormat="true" applyProtection="false" borderId="7" fillId="0" fontId="3" numFmtId="169" xfId="0">
      <alignment horizontal="center" vertical="center"/>
    </xf>
    <xf applyAlignment="true" applyBorder="false" applyFill="false" applyFont="true" applyNumberFormat="true" applyProtection="false" borderId="7" fillId="0" fontId="3" numFmtId="168" xfId="0">
      <alignment horizontal="center" vertical="center"/>
    </xf>
    <xf applyAlignment="true" applyBorder="false" applyFill="false" applyFont="true" applyNumberFormat="true" applyProtection="false" borderId="6" fillId="0" fontId="4" numFmtId="172" xfId="0">
      <alignment horizontal="center" vertical="center"/>
    </xf>
    <xf applyAlignment="true" applyBorder="false" applyFill="false" applyFont="true" applyNumberFormat="true" applyProtection="false" borderId="6" fillId="0" fontId="4" numFmtId="172" xfId="0">
      <alignment horizontal="center" vertical="center"/>
    </xf>
    <xf applyAlignment="true" applyBorder="false" applyFill="false" applyFont="true" applyNumberFormat="true" applyProtection="false" borderId="8" fillId="0" fontId="5" numFmtId="168" xfId="0">
      <alignment horizontal="center" vertical="center"/>
    </xf>
    <xf applyAlignment="true" applyBorder="false" applyFill="false" applyFont="true" applyNumberFormat="true" applyProtection="false" borderId="9" fillId="0" fontId="5" numFmtId="167" xfId="0">
      <alignment horizontal="center" vertical="center"/>
    </xf>
    <xf applyAlignment="true" applyBorder="false" applyFill="true" applyFont="true" applyNumberFormat="true" applyProtection="false" borderId="9" fillId="8" fontId="3" numFmtId="168" xfId="0">
      <alignment horizontal="center" vertical="center"/>
    </xf>
    <xf applyAlignment="true" applyBorder="false" applyFill="false" applyFont="true" applyNumberFormat="true" applyProtection="false" borderId="9" fillId="0" fontId="5" numFmtId="168" xfId="0">
      <alignment horizontal="center" vertical="center"/>
    </xf>
    <xf applyAlignment="true" applyBorder="false" applyFill="false" applyFont="true" applyNumberFormat="true" applyProtection="false" borderId="9" fillId="0" fontId="5" numFmtId="169" xfId="0">
      <alignment horizontal="center" vertical="center"/>
    </xf>
    <xf applyAlignment="true" applyBorder="false" applyFill="false" applyFont="true" applyNumberFormat="true" applyProtection="false" borderId="9" fillId="0" fontId="5" numFmtId="171" xfId="0">
      <alignment horizontal="center" vertical="center"/>
    </xf>
    <xf applyAlignment="true" applyBorder="false" applyFill="false" applyFont="true" applyNumberFormat="true" applyProtection="false" borderId="10" fillId="0" fontId="3" numFmtId="169" xfId="0">
      <alignment horizontal="center" vertical="center"/>
    </xf>
    <xf applyAlignment="true" applyBorder="false" applyFill="false" applyFont="true" applyNumberFormat="true" applyProtection="false" borderId="9" fillId="0" fontId="5" numFmtId="168" xfId="0">
      <alignment horizontal="center" vertical="center"/>
    </xf>
    <xf applyAlignment="true" applyBorder="false" applyFill="false" applyFont="true" applyNumberFormat="true" applyProtection="false" borderId="9" fillId="0" fontId="3" numFmtId="168" xfId="0">
      <alignment horizontal="center" vertical="center"/>
    </xf>
    <xf applyAlignment="true" applyBorder="false" applyFill="false" applyFont="true" applyNumberFormat="true" applyProtection="false" borderId="9" fillId="0" fontId="5" numFmtId="172" xfId="0">
      <alignment horizontal="center" vertical="center"/>
    </xf>
    <xf applyAlignment="true" applyBorder="false" applyFill="false" applyFont="true" applyNumberFormat="true" applyProtection="false" borderId="10" fillId="0" fontId="5" numFmtId="172" xfId="0">
      <alignment horizontal="center" vertical="center"/>
    </xf>
    <xf applyAlignment="true" applyBorder="false" applyFill="false" applyFont="true" applyNumberFormat="true" applyProtection="false" borderId="7" fillId="0" fontId="4" numFmtId="172" xfId="0">
      <alignment horizontal="center" vertical="center"/>
    </xf>
    <xf applyAlignment="true" applyBorder="false" applyFill="true" applyFont="true" applyNumberFormat="false" applyProtection="false" borderId="6" fillId="9" fontId="3" numFmtId="0" xfId="0">
      <alignment horizontal="center" vertical="center"/>
    </xf>
    <xf applyAlignment="true" applyBorder="false" applyFill="true" applyFont="true" applyNumberFormat="true" applyProtection="false" borderId="6" fillId="9" fontId="3" numFmtId="167" xfId="0">
      <alignment horizontal="center" vertical="center"/>
    </xf>
    <xf applyAlignment="true" applyBorder="false" applyFill="true" applyFont="true" applyNumberFormat="true" applyProtection="false" borderId="6" fillId="9" fontId="3" numFmtId="168" xfId="0">
      <alignment horizontal="center" vertical="center"/>
    </xf>
    <xf applyAlignment="true" applyBorder="false" applyFill="true" applyFont="true" applyNumberFormat="true" applyProtection="false" borderId="6" fillId="9" fontId="3" numFmtId="169" xfId="0">
      <alignment horizontal="center" vertical="center"/>
    </xf>
    <xf applyAlignment="true" applyBorder="false" applyFill="true" applyFont="true" applyNumberFormat="true" applyProtection="false" borderId="6" fillId="9" fontId="3" numFmtId="171" xfId="0">
      <alignment horizontal="center" vertical="center"/>
    </xf>
    <xf applyAlignment="true" applyBorder="false" applyFill="true" applyFont="true" applyNumberFormat="true" applyProtection="false" borderId="7" fillId="9" fontId="3" numFmtId="169" xfId="0">
      <alignment horizontal="center" vertical="center"/>
    </xf>
    <xf applyAlignment="true" applyBorder="false" applyFill="true" applyFont="true" applyNumberFormat="true" applyProtection="false" borderId="7" fillId="9" fontId="3" numFmtId="168" xfId="0">
      <alignment horizontal="center" vertical="center"/>
    </xf>
    <xf applyAlignment="true" applyBorder="false" applyFill="true" applyFont="true" applyNumberFormat="true" applyProtection="false" borderId="6" fillId="9" fontId="3" numFmtId="172" xfId="0">
      <alignment horizontal="center" vertical="center"/>
    </xf>
    <xf applyAlignment="true" applyBorder="false" applyFill="false" applyFont="true" applyNumberFormat="true" applyProtection="false" borderId="7" fillId="0" fontId="4" numFmtId="168" xfId="0">
      <alignment horizontal="center" vertical="center"/>
    </xf>
    <xf applyAlignment="true" applyBorder="false" applyFill="true" applyFont="true" applyNumberFormat="true" applyProtection="false" borderId="6" fillId="9" fontId="3" numFmtId="173" xfId="0">
      <alignment horizontal="center" vertical="center"/>
    </xf>
    <xf applyAlignment="true" applyBorder="false" applyFill="true" applyFont="true" applyNumberFormat="true" applyProtection="false" borderId="6" fillId="9" fontId="4" numFmtId="172" xfId="0">
      <alignment horizontal="center" vertical="center"/>
    </xf>
    <xf applyAlignment="true" applyBorder="false" applyFill="true" applyFont="true" applyNumberFormat="true" applyProtection="false" borderId="6" fillId="9" fontId="4" numFmtId="172" xfId="0">
      <alignment horizontal="center" vertical="center"/>
    </xf>
    <xf applyAlignment="true" applyBorder="false" applyFill="true" applyFont="true" applyNumberFormat="false" applyProtection="false" borderId="6" fillId="4" fontId="3" numFmtId="0" xfId="0">
      <alignment horizontal="center" vertical="center"/>
    </xf>
    <xf applyAlignment="true" applyBorder="false" applyFill="true" applyFont="true" applyNumberFormat="true" applyProtection="false" borderId="6" fillId="4" fontId="4" numFmtId="167" xfId="0">
      <alignment horizontal="center" vertical="center"/>
    </xf>
    <xf applyAlignment="true" applyBorder="false" applyFill="true" applyFont="true" applyNumberFormat="true" applyProtection="false" borderId="6" fillId="4" fontId="4" numFmtId="168" xfId="0">
      <alignment horizontal="center" vertical="center"/>
    </xf>
    <xf applyAlignment="true" applyBorder="false" applyFill="true" applyFont="true" applyNumberFormat="true" applyProtection="false" borderId="6" fillId="4" fontId="3" numFmtId="168" xfId="0">
      <alignment horizontal="center" vertical="center"/>
    </xf>
    <xf applyAlignment="true" applyBorder="false" applyFill="true" applyFont="true" applyNumberFormat="true" applyProtection="false" borderId="9" fillId="10" fontId="5" numFmtId="168" xfId="0">
      <alignment horizontal="center" vertical="center"/>
    </xf>
    <xf applyAlignment="true" applyBorder="false" applyFill="true" applyFont="true" applyNumberFormat="true" applyProtection="false" borderId="6" fillId="4" fontId="4" numFmtId="169" xfId="0">
      <alignment horizontal="center" vertical="center"/>
    </xf>
    <xf applyAlignment="true" applyBorder="false" applyFill="true" applyFont="true" applyNumberFormat="true" applyProtection="false" borderId="6" fillId="4" fontId="3" numFmtId="167" xfId="0">
      <alignment horizontal="center" vertical="center"/>
    </xf>
    <xf applyAlignment="true" applyBorder="false" applyFill="true" applyFont="true" applyNumberFormat="true" applyProtection="false" borderId="6" fillId="4" fontId="4" numFmtId="171" xfId="0">
      <alignment horizontal="center" vertical="center"/>
    </xf>
    <xf applyAlignment="true" applyBorder="false" applyFill="true" applyFont="true" applyNumberFormat="true" applyProtection="false" borderId="7" fillId="4" fontId="3" numFmtId="169" xfId="0">
      <alignment horizontal="center" vertical="center"/>
    </xf>
    <xf applyAlignment="true" applyBorder="false" applyFill="true" applyFont="true" applyNumberFormat="true" applyProtection="false" borderId="7" fillId="4" fontId="3" numFmtId="168" xfId="0">
      <alignment horizontal="center" vertical="center"/>
    </xf>
    <xf applyAlignment="true" applyBorder="false" applyFill="true" applyFont="true" applyNumberFormat="true" applyProtection="false" borderId="6" fillId="4" fontId="4" numFmtId="172" xfId="0">
      <alignment horizontal="center" vertical="center"/>
    </xf>
    <xf applyAlignment="true" applyBorder="false" applyFill="true" applyFont="true" applyNumberFormat="true" applyProtection="false" borderId="6" fillId="4" fontId="4" numFmtId="172" xfId="0">
      <alignment horizontal="center" vertical="center"/>
    </xf>
    <xf applyAlignment="true" applyBorder="false" applyFill="true" applyFont="true" applyNumberFormat="false" applyProtection="false" borderId="6" fillId="6" fontId="3" numFmtId="0" xfId="0">
      <alignment horizontal="center" vertical="center"/>
    </xf>
    <xf applyAlignment="true" applyBorder="false" applyFill="false" applyFont="true" applyNumberFormat="true" applyProtection="false" borderId="9" fillId="0" fontId="5" numFmtId="168" xfId="0">
      <alignment horizontal="center" vertical="center"/>
    </xf>
    <xf applyAlignment="true" applyBorder="false" applyFill="true" applyFont="true" applyNumberFormat="true" applyProtection="false" borderId="6" fillId="4" fontId="4" numFmtId="167" xfId="0">
      <alignment horizontal="center" vertical="center"/>
    </xf>
    <xf applyAlignment="true" applyBorder="false" applyFill="true" applyFont="true" applyNumberFormat="true" applyProtection="false" borderId="6" fillId="4" fontId="4" numFmtId="168" xfId="0">
      <alignment horizontal="center" vertical="center"/>
    </xf>
    <xf applyAlignment="true" applyBorder="false" applyFill="true" applyFont="true" applyNumberFormat="true" applyProtection="false" borderId="11" fillId="8" fontId="9" numFmtId="168" xfId="0">
      <alignment horizontal="right" vertical="center" wrapText="true"/>
    </xf>
    <xf applyAlignment="true" applyBorder="false" applyFill="false" applyFont="true" applyNumberFormat="true" applyProtection="false" borderId="0" fillId="0" fontId="5" numFmtId="168" xfId="0">
      <alignment vertical="center"/>
    </xf>
    <xf applyAlignment="true" applyBorder="false" applyFill="false" applyFont="true" applyNumberFormat="true" applyProtection="false" borderId="0" fillId="0" fontId="5" numFmtId="168" xfId="0">
      <alignment vertical="center"/>
    </xf>
    <xf applyAlignment="true" applyBorder="false" applyFill="false" applyFont="true" applyNumberFormat="true" applyProtection="false" borderId="0" fillId="0" fontId="5" numFmtId="169" xfId="0">
      <alignment vertical="center"/>
    </xf>
    <xf applyAlignment="true" applyBorder="false" applyFill="false" applyFont="true" applyNumberFormat="true" applyProtection="false" borderId="0" fillId="0" fontId="4" numFmtId="174" xfId="0">
      <alignment vertical="center"/>
    </xf>
    <xf applyAlignment="true" applyBorder="false" applyFill="true" applyFont="true" applyNumberFormat="false" applyProtection="false" borderId="12" fillId="11" fontId="1" numFmtId="0" xfId="0">
      <alignment horizontal="center" vertical="center"/>
    </xf>
    <xf applyAlignment="true" applyBorder="false" applyFill="true" applyFont="true" applyNumberFormat="true" applyProtection="false" borderId="12" fillId="11" fontId="1" numFmtId="175" xfId="0">
      <alignment horizontal="center" vertical="center"/>
    </xf>
    <xf applyAlignment="true" applyBorder="false" applyFill="true" applyFont="true" applyNumberFormat="true" applyProtection="false" borderId="12" fillId="11" fontId="1" numFmtId="176" xfId="0">
      <alignment horizontal="center" vertical="center"/>
    </xf>
    <xf applyAlignment="true" applyBorder="false" applyFill="true" applyFont="true" applyNumberFormat="true" applyProtection="false" borderId="12" fillId="11" fontId="6" numFmtId="176" xfId="0">
      <alignment horizontal="center" vertical="center"/>
    </xf>
    <xf applyAlignment="true" applyBorder="false" applyFill="true" applyFont="true" applyNumberFormat="true" applyProtection="false" borderId="12" fillId="11" fontId="6" numFmtId="177" xfId="0">
      <alignment horizontal="center" vertical="center"/>
    </xf>
    <xf applyAlignment="true" applyBorder="false" applyFill="true" applyFont="true" applyNumberFormat="false" applyProtection="false" borderId="12" fillId="11" fontId="1" numFmtId="0" xfId="0">
      <alignment horizontal="center" vertical="center"/>
    </xf>
    <xf applyAlignment="true" applyBorder="false" applyFill="true" applyFont="true" applyNumberFormat="false" applyProtection="false" borderId="13" fillId="12" fontId="1" numFmtId="0" xfId="0">
      <alignment horizontal="center" vertical="center"/>
    </xf>
    <xf applyAlignment="true" applyBorder="false" applyFill="true" applyFont="true" applyNumberFormat="false" applyProtection="false" borderId="13" fillId="12" fontId="1" numFmtId="0" xfId="0">
      <alignment horizontal="center" vertical="center"/>
    </xf>
    <xf applyAlignment="true" applyBorder="false" applyFill="true" applyFont="true" applyNumberFormat="false" applyProtection="false" borderId="12" fillId="11" fontId="4" numFmtId="0" xfId="0">
      <alignment horizontal="center" vertical="center"/>
    </xf>
    <xf applyAlignment="true" applyBorder="false" applyFill="true" applyFont="true" applyNumberFormat="false" applyProtection="false" borderId="12" fillId="11" fontId="4" numFmtId="0" xfId="0">
      <alignment horizontal="center" vertical="center"/>
    </xf>
    <xf applyAlignment="true" applyBorder="false" applyFill="true" applyFont="true" applyNumberFormat="true" applyProtection="false" borderId="0" fillId="13" fontId="4" numFmtId="176" xfId="0">
      <alignment horizontal="center" vertical="center"/>
    </xf>
    <xf applyAlignment="true" applyBorder="false" applyFill="true" applyFont="true" applyNumberFormat="true" applyProtection="false" borderId="0" fillId="14" fontId="8" numFmtId="176" xfId="0">
      <alignment horizontal="center" vertical="center"/>
    </xf>
    <xf applyAlignment="true" applyBorder="false" applyFill="false" applyFont="true" applyNumberFormat="true" applyProtection="false" borderId="12" fillId="0" fontId="3" numFmtId="178" xfId="0">
      <alignment horizontal="center" vertical="center"/>
    </xf>
    <xf applyAlignment="true" applyBorder="false" applyFill="true" applyFont="true" applyNumberFormat="false" applyProtection="false" borderId="12" fillId="13" fontId="3" numFmtId="0" xfId="0">
      <alignment horizontal="center" vertical="center"/>
    </xf>
    <xf applyAlignment="true" applyBorder="false" applyFill="false" applyFont="true" applyNumberFormat="true" applyProtection="false" borderId="12" fillId="0" fontId="4" numFmtId="175" xfId="0">
      <alignment horizontal="center" vertical="center"/>
    </xf>
    <xf applyAlignment="true" applyBorder="false" applyFill="true" applyFont="true" applyNumberFormat="true" applyProtection="false" borderId="12" fillId="13" fontId="3" numFmtId="176" xfId="0">
      <alignment horizontal="center" vertical="center"/>
    </xf>
    <xf applyAlignment="true" applyBorder="false" applyFill="true" applyFont="true" applyNumberFormat="true" applyProtection="false" borderId="12" fillId="13" fontId="3" numFmtId="176" xfId="0">
      <alignment horizontal="center" vertical="center"/>
    </xf>
    <xf applyAlignment="true" applyBorder="false" applyFill="false" applyFont="true" applyNumberFormat="true" applyProtection="false" borderId="12" fillId="0" fontId="3" numFmtId="176" xfId="0">
      <alignment horizontal="center" vertical="center"/>
    </xf>
    <xf applyAlignment="true" applyBorder="false" applyFill="false" applyFont="true" applyNumberFormat="true" applyProtection="false" borderId="12" fillId="0" fontId="4" numFmtId="176" xfId="0">
      <alignment horizontal="center" vertical="center"/>
    </xf>
    <xf applyAlignment="true" applyBorder="false" applyFill="false" applyFont="true" applyNumberFormat="true" applyProtection="false" borderId="12" fillId="0" fontId="4" numFmtId="177" xfId="0">
      <alignment horizontal="center" vertical="center"/>
    </xf>
    <xf applyAlignment="true" applyBorder="false" applyFill="false" applyFont="true" applyNumberFormat="true" applyProtection="false" borderId="12" fillId="0" fontId="4" numFmtId="179" xfId="0">
      <alignment horizontal="center" vertical="center"/>
    </xf>
    <xf applyAlignment="true" applyBorder="false" applyFill="false" applyFont="true" applyNumberFormat="false" applyProtection="false" borderId="12" fillId="0" fontId="3" numFmtId="0" xfId="0">
      <alignment horizontal="center" vertical="center"/>
    </xf>
    <xf applyAlignment="true" applyBorder="false" applyFill="false" applyFont="true" applyNumberFormat="true" applyProtection="false" borderId="13" fillId="0" fontId="3" numFmtId="177" xfId="0">
      <alignment horizontal="center" vertical="center"/>
    </xf>
    <xf applyAlignment="true" applyBorder="false" applyFill="false" applyFont="true" applyNumberFormat="true" applyProtection="false" borderId="13" fillId="0" fontId="3" numFmtId="176" xfId="0">
      <alignment horizontal="center" vertical="center"/>
    </xf>
    <xf applyAlignment="true" applyBorder="false" applyFill="false" applyFont="true" applyNumberFormat="true" applyProtection="false" borderId="12" fillId="0" fontId="4" numFmtId="180" xfId="0">
      <alignment horizontal="center" vertical="center"/>
    </xf>
    <xf applyAlignment="true" applyBorder="false" applyFill="false" applyFont="true" applyNumberFormat="true" applyProtection="false" borderId="12" fillId="0" fontId="4" numFmtId="180" xfId="0">
      <alignment horizontal="center" vertical="center"/>
    </xf>
    <xf applyAlignment="true" applyBorder="false" applyFill="false" applyFont="true" applyNumberFormat="true" applyProtection="false" borderId="14" fillId="0" fontId="5" numFmtId="176" xfId="0">
      <alignment horizontal="center" vertical="center"/>
    </xf>
    <xf applyAlignment="true" applyBorder="false" applyFill="false" applyFont="true" applyNumberFormat="true" applyProtection="false" borderId="15" fillId="0" fontId="5" numFmtId="175" xfId="0">
      <alignment horizontal="center" vertical="center"/>
    </xf>
    <xf applyAlignment="true" applyBorder="false" applyFill="true" applyFont="true" applyNumberFormat="true" applyProtection="false" borderId="15" fillId="15" fontId="3" numFmtId="176" xfId="0">
      <alignment horizontal="center" vertical="center"/>
    </xf>
    <xf applyAlignment="true" applyBorder="false" applyFill="false" applyFont="true" applyNumberFormat="true" applyProtection="false" borderId="15" fillId="0" fontId="5" numFmtId="176" xfId="0">
      <alignment horizontal="center" vertical="center"/>
    </xf>
    <xf applyAlignment="true" applyBorder="false" applyFill="false" applyFont="true" applyNumberFormat="true" applyProtection="false" borderId="15" fillId="0" fontId="5" numFmtId="177" xfId="0">
      <alignment horizontal="center" vertical="center"/>
    </xf>
    <xf applyAlignment="true" applyBorder="false" applyFill="false" applyFont="true" applyNumberFormat="true" applyProtection="false" borderId="15" fillId="0" fontId="5" numFmtId="179" xfId="0">
      <alignment horizontal="center" vertical="center"/>
    </xf>
    <xf applyAlignment="true" applyBorder="false" applyFill="false" applyFont="true" applyNumberFormat="true" applyProtection="false" borderId="16" fillId="0" fontId="3" numFmtId="177" xfId="0">
      <alignment horizontal="center" vertical="center"/>
    </xf>
    <xf applyAlignment="true" applyBorder="false" applyFill="false" applyFont="true" applyNumberFormat="true" applyProtection="false" borderId="14" fillId="0" fontId="5" numFmtId="176" xfId="0">
      <alignment horizontal="center" vertical="center"/>
    </xf>
    <xf applyAlignment="true" applyBorder="false" applyFill="false" applyFont="true" applyNumberFormat="true" applyProtection="false" borderId="15" fillId="0" fontId="5" numFmtId="176" xfId="0">
      <alignment horizontal="center" vertical="center"/>
    </xf>
    <xf applyAlignment="true" applyBorder="false" applyFill="false" applyFont="true" applyNumberFormat="true" applyProtection="false" borderId="15" fillId="0" fontId="3" numFmtId="176" xfId="0">
      <alignment horizontal="center" vertical="center"/>
    </xf>
    <xf applyAlignment="true" applyBorder="false" applyFill="false" applyFont="true" applyNumberFormat="true" applyProtection="false" borderId="15" fillId="0" fontId="5" numFmtId="180" xfId="0">
      <alignment horizontal="center" vertical="center"/>
    </xf>
    <xf applyAlignment="true" applyBorder="false" applyFill="false" applyFont="true" applyNumberFormat="true" applyProtection="false" borderId="16" fillId="0" fontId="5" numFmtId="180" xfId="0">
      <alignment horizontal="center" vertical="center"/>
    </xf>
    <xf applyAlignment="true" applyBorder="false" applyFill="false" applyFont="true" applyNumberFormat="true" applyProtection="false" borderId="13" fillId="0" fontId="4" numFmtId="180" xfId="0">
      <alignment horizontal="center" vertical="center"/>
    </xf>
    <xf applyAlignment="true" applyBorder="false" applyFill="true" applyFont="true" applyNumberFormat="false" applyProtection="false" borderId="12" fillId="16" fontId="3" numFmtId="0" xfId="0">
      <alignment horizontal="center" vertical="center"/>
    </xf>
    <xf applyAlignment="true" applyBorder="false" applyFill="true" applyFont="true" applyNumberFormat="true" applyProtection="false" borderId="12" fillId="16" fontId="3" numFmtId="175" xfId="0">
      <alignment horizontal="center" vertical="center"/>
    </xf>
    <xf applyAlignment="true" applyBorder="false" applyFill="true" applyFont="true" applyNumberFormat="true" applyProtection="false" borderId="12" fillId="16" fontId="3" numFmtId="176" xfId="0">
      <alignment horizontal="center" vertical="center"/>
    </xf>
    <xf applyAlignment="true" applyBorder="false" applyFill="true" applyFont="true" applyNumberFormat="true" applyProtection="false" borderId="12" fillId="16" fontId="3" numFmtId="177" xfId="0">
      <alignment horizontal="center" vertical="center"/>
    </xf>
    <xf applyAlignment="true" applyBorder="false" applyFill="true" applyFont="true" applyNumberFormat="true" applyProtection="false" borderId="12" fillId="16" fontId="3" numFmtId="179" xfId="0">
      <alignment horizontal="center" vertical="center"/>
    </xf>
    <xf applyAlignment="true" applyBorder="false" applyFill="true" applyFont="true" applyNumberFormat="true" applyProtection="false" borderId="13" fillId="16" fontId="3" numFmtId="177" xfId="0">
      <alignment horizontal="center" vertical="center"/>
    </xf>
    <xf applyAlignment="true" applyBorder="false" applyFill="true" applyFont="true" applyNumberFormat="true" applyProtection="false" borderId="13" fillId="16" fontId="3" numFmtId="176" xfId="0">
      <alignment horizontal="center" vertical="center"/>
    </xf>
    <xf applyAlignment="true" applyBorder="false" applyFill="true" applyFont="true" applyNumberFormat="true" applyProtection="false" borderId="12" fillId="16" fontId="3" numFmtId="180" xfId="0">
      <alignment horizontal="center" vertical="center"/>
    </xf>
    <xf applyAlignment="true" applyBorder="false" applyFill="false" applyFont="true" applyNumberFormat="true" applyProtection="false" borderId="13" fillId="0" fontId="4" numFmtId="176" xfId="0">
      <alignment horizontal="center" vertical="center"/>
    </xf>
    <xf applyAlignment="true" applyBorder="false" applyFill="true" applyFont="true" applyNumberFormat="false" applyProtection="false" borderId="12" fillId="13" fontId="3" numFmtId="0" xfId="0">
      <alignment horizontal="center" vertical="center"/>
    </xf>
    <xf applyAlignment="true" applyBorder="false" applyFill="true" applyFont="true" applyNumberFormat="true" applyProtection="false" borderId="12" fillId="16" fontId="3" numFmtId="181" xfId="0">
      <alignment horizontal="center" vertical="center"/>
    </xf>
    <xf applyAlignment="true" applyBorder="false" applyFill="true" applyFont="true" applyNumberFormat="true" applyProtection="false" borderId="12" fillId="16" fontId="4" numFmtId="180" xfId="0">
      <alignment horizontal="center" vertical="center"/>
    </xf>
    <xf applyAlignment="true" applyBorder="false" applyFill="true" applyFont="true" applyNumberFormat="true" applyProtection="false" borderId="12" fillId="16" fontId="4" numFmtId="180" xfId="0">
      <alignment horizontal="center" vertical="center"/>
    </xf>
    <xf applyAlignment="true" applyBorder="false" applyFill="true" applyFont="true" applyNumberFormat="false" applyProtection="false" borderId="12" fillId="11" fontId="3" numFmtId="0" xfId="0">
      <alignment horizontal="center" vertical="center"/>
    </xf>
    <xf applyAlignment="true" applyBorder="false" applyFill="true" applyFont="true" applyNumberFormat="true" applyProtection="false" borderId="12" fillId="11" fontId="4" numFmtId="175" xfId="0">
      <alignment horizontal="center" vertical="center"/>
    </xf>
    <xf applyAlignment="true" applyBorder="false" applyFill="true" applyFont="true" applyNumberFormat="true" applyProtection="false" borderId="12" fillId="11" fontId="4" numFmtId="176" xfId="0">
      <alignment horizontal="center" vertical="center"/>
    </xf>
    <xf applyAlignment="true" applyBorder="false" applyFill="true" applyFont="true" applyNumberFormat="true" applyProtection="false" borderId="12" fillId="11" fontId="3" numFmtId="176" xfId="0">
      <alignment horizontal="center" vertical="center"/>
    </xf>
    <xf applyAlignment="true" applyBorder="false" applyFill="true" applyFont="true" applyNumberFormat="true" applyProtection="false" borderId="15" fillId="17" fontId="5" numFmtId="176" xfId="0">
      <alignment horizontal="center" vertical="center"/>
    </xf>
    <xf applyAlignment="true" applyBorder="false" applyFill="true" applyFont="true" applyNumberFormat="true" applyProtection="false" borderId="12" fillId="11" fontId="4" numFmtId="177" xfId="0">
      <alignment horizontal="center" vertical="center"/>
    </xf>
    <xf applyAlignment="true" applyBorder="false" applyFill="true" applyFont="true" applyNumberFormat="true" applyProtection="false" borderId="13" fillId="11" fontId="3" numFmtId="177" xfId="0">
      <alignment horizontal="center" vertical="center"/>
    </xf>
    <xf applyAlignment="true" applyBorder="false" applyFill="true" applyFont="true" applyNumberFormat="true" applyProtection="false" borderId="13" fillId="11" fontId="3" numFmtId="176" xfId="0">
      <alignment horizontal="center" vertical="center"/>
    </xf>
    <xf applyAlignment="true" applyBorder="false" applyFill="true" applyFont="true" applyNumberFormat="true" applyProtection="false" borderId="12" fillId="11" fontId="4" numFmtId="180" xfId="0">
      <alignment horizontal="center" vertical="center"/>
    </xf>
    <xf applyAlignment="true" applyBorder="false" applyFill="true" applyFont="true" applyNumberFormat="true" applyProtection="false" borderId="12" fillId="11" fontId="4" numFmtId="180" xfId="0">
      <alignment horizontal="center" vertical="center"/>
    </xf>
    <xf applyAlignment="true" applyBorder="false" applyFill="true" applyFont="true" applyNumberFormat="true" applyProtection="false" borderId="12" fillId="11" fontId="3" numFmtId="175" xfId="0">
      <alignment horizontal="center" vertical="center"/>
    </xf>
    <xf applyAlignment="true" applyBorder="false" applyFill="true" applyFont="true" applyNumberFormat="true" applyProtection="false" borderId="12" fillId="11" fontId="4" numFmtId="182" xfId="0">
      <alignment horizontal="center" vertical="center"/>
    </xf>
    <xf applyAlignment="true" applyBorder="false" applyFill="true" applyFont="true" applyNumberFormat="true" applyProtection="false" borderId="12" fillId="16" fontId="3" numFmtId="182" xfId="0">
      <alignment horizontal="center" vertical="center"/>
    </xf>
    <xf applyAlignment="true" applyBorder="false" applyFill="true" applyFont="true" applyNumberFormat="true" applyProtection="false" borderId="12" fillId="11" fontId="4" numFmtId="177" xfId="0">
      <alignment horizontal="center" vertical="center"/>
    </xf>
    <xf applyAlignment="true" applyBorder="false" applyFill="true" applyFont="true" applyNumberFormat="true" applyProtection="false" borderId="12" fillId="11" fontId="4" numFmtId="179" xfId="0">
      <alignment horizontal="center" vertical="center"/>
    </xf>
    <xf applyAlignment="true" applyBorder="false" applyFill="false" applyFont="true" applyNumberFormat="true" applyProtection="false" borderId="0" fillId="0" fontId="4" numFmtId="176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true" applyProtection="false" borderId="0" fillId="0" fontId="4" numFmtId="177" xfId="0">
      <alignment vertical="center"/>
    </xf>
    <xf applyAlignment="true" applyBorder="false" applyFill="true" applyFont="true" applyNumberFormat="true" applyProtection="false" borderId="17" fillId="15" fontId="9" numFmtId="176" xfId="0">
      <alignment horizontal="right" vertical="center" wrapText="true"/>
    </xf>
    <xf applyAlignment="true" applyBorder="false" applyFill="false" applyFont="true" applyNumberFormat="true" applyProtection="false" borderId="0" fillId="0" fontId="5" numFmtId="176" xfId="0">
      <alignment vertical="center"/>
    </xf>
    <xf applyAlignment="true" applyBorder="false" applyFill="false" applyFont="true" applyNumberFormat="true" applyProtection="false" borderId="0" fillId="0" fontId="5" numFmtId="177" xfId="0">
      <alignment vertical="center"/>
    </xf>
    <xf applyAlignment="true" applyBorder="false" applyFill="true" applyFont="true" applyNumberFormat="false" applyProtection="false" borderId="18" fillId="18" fontId="1" numFmtId="0" xfId="0">
      <alignment horizontal="center" vertical="center"/>
    </xf>
    <xf applyAlignment="true" applyBorder="false" applyFill="true" applyFont="true" applyNumberFormat="true" applyProtection="false" borderId="18" fillId="18" fontId="1" numFmtId="183" xfId="0">
      <alignment horizontal="center" vertical="center"/>
    </xf>
    <xf applyAlignment="true" applyBorder="false" applyFill="true" applyFont="true" applyNumberFormat="true" applyProtection="false" borderId="18" fillId="18" fontId="1" numFmtId="184" xfId="0">
      <alignment horizontal="center" vertical="center"/>
    </xf>
    <xf applyAlignment="true" applyBorder="false" applyFill="true" applyFont="true" applyNumberFormat="true" applyProtection="false" borderId="18" fillId="18" fontId="6" numFmtId="184" xfId="0">
      <alignment horizontal="center" vertical="center"/>
    </xf>
    <xf applyAlignment="true" applyBorder="false" applyFill="true" applyFont="true" applyNumberFormat="true" applyProtection="false" borderId="18" fillId="18" fontId="6" numFmtId="183" xfId="0">
      <alignment horizontal="center" vertical="center"/>
    </xf>
    <xf applyAlignment="true" applyBorder="false" applyFill="true" applyFont="true" applyNumberFormat="false" applyProtection="false" borderId="18" fillId="18" fontId="1" numFmtId="0" xfId="0">
      <alignment horizontal="center" vertical="center"/>
    </xf>
    <xf applyAlignment="true" applyBorder="false" applyFill="true" applyFont="true" applyNumberFormat="false" applyProtection="false" borderId="19" fillId="19" fontId="1" numFmtId="0" xfId="0">
      <alignment horizontal="center" vertical="center"/>
    </xf>
    <xf applyAlignment="true" applyBorder="false" applyFill="true" applyFont="true" applyNumberFormat="false" applyProtection="false" borderId="19" fillId="19" fontId="1" numFmtId="0" xfId="0">
      <alignment horizontal="center" vertical="center"/>
    </xf>
    <xf applyAlignment="true" applyBorder="false" applyFill="true" applyFont="true" applyNumberFormat="false" applyProtection="false" borderId="18" fillId="18" fontId="4" numFmtId="0" xfId="0">
      <alignment horizontal="center" vertical="center"/>
    </xf>
    <xf applyAlignment="true" applyBorder="false" applyFill="true" applyFont="true" applyNumberFormat="false" applyProtection="false" borderId="18" fillId="18" fontId="4" numFmtId="0" xfId="0">
      <alignment horizontal="center" vertical="center"/>
    </xf>
    <xf applyAlignment="true" applyBorder="false" applyFill="true" applyFont="true" applyNumberFormat="true" applyProtection="false" borderId="0" fillId="20" fontId="4" numFmtId="184" xfId="0">
      <alignment horizontal="center" vertical="center"/>
    </xf>
    <xf applyAlignment="true" applyBorder="false" applyFill="true" applyFont="true" applyNumberFormat="true" applyProtection="false" borderId="0" fillId="21" fontId="8" numFmtId="184" xfId="0">
      <alignment horizontal="center" vertical="center"/>
    </xf>
    <xf applyAlignment="true" applyBorder="false" applyFill="false" applyFont="true" applyNumberFormat="true" applyProtection="false" borderId="18" fillId="0" fontId="3" numFmtId="185" xfId="0">
      <alignment horizontal="center" vertical="center"/>
    </xf>
    <xf applyAlignment="true" applyBorder="false" applyFill="true" applyFont="true" applyNumberFormat="false" applyProtection="false" borderId="18" fillId="20" fontId="3" numFmtId="0" xfId="0">
      <alignment horizontal="center" vertical="center"/>
    </xf>
    <xf applyAlignment="true" applyBorder="false" applyFill="true" applyFont="true" applyNumberFormat="false" applyProtection="false" borderId="18" fillId="20" fontId="3" numFmtId="0" xfId="0">
      <alignment horizontal="center" vertical="center"/>
    </xf>
    <xf applyAlignment="true" applyBorder="false" applyFill="false" applyFont="true" applyNumberFormat="true" applyProtection="false" borderId="18" fillId="0" fontId="4" numFmtId="183" xfId="0">
      <alignment horizontal="center" vertical="center"/>
    </xf>
    <xf applyAlignment="true" applyBorder="false" applyFill="true" applyFont="true" applyNumberFormat="true" applyProtection="false" borderId="18" fillId="20" fontId="3" numFmtId="186" xfId="0">
      <alignment horizontal="center" vertical="center"/>
    </xf>
    <xf applyAlignment="true" applyBorder="false" applyFill="false" applyFont="true" applyNumberFormat="false" applyProtection="false" borderId="18" fillId="0" fontId="3" numFmtId="0" xfId="0">
      <alignment horizontal="center" vertical="center"/>
    </xf>
    <xf applyAlignment="true" applyBorder="false" applyFill="false" applyFont="true" applyNumberFormat="true" applyProtection="false" borderId="18" fillId="0" fontId="4" numFmtId="186" xfId="0">
      <alignment horizontal="center" vertical="center"/>
    </xf>
    <xf applyAlignment="true" applyBorder="false" applyFill="false" applyFont="true" applyNumberFormat="false" applyProtection="false" borderId="18" fillId="0" fontId="4" numFmtId="0" xfId="0">
      <alignment horizontal="center" vertical="center"/>
    </xf>
    <xf applyAlignment="true" applyBorder="false" applyFill="false" applyFont="true" applyNumberFormat="true" applyProtection="false" borderId="18" fillId="0" fontId="3" numFmtId="184" xfId="0">
      <alignment horizontal="center" vertical="center"/>
    </xf>
    <xf applyAlignment="true" applyBorder="false" applyFill="false" applyFont="true" applyNumberFormat="false" applyProtection="false" borderId="18" fillId="0" fontId="3" numFmtId="0" xfId="0">
      <alignment horizontal="center" vertical="center"/>
    </xf>
    <xf applyAlignment="true" applyBorder="false" applyFill="false" applyFont="true" applyNumberFormat="true" applyProtection="false" borderId="19" fillId="0" fontId="3" numFmtId="187" xfId="0">
      <alignment horizontal="center" vertical="center"/>
    </xf>
    <xf applyAlignment="true" applyBorder="false" applyFill="false" applyFont="true" applyNumberFormat="true" applyProtection="false" borderId="18" fillId="0" fontId="4" numFmtId="184" xfId="0">
      <alignment horizontal="center" vertical="center"/>
    </xf>
    <xf applyAlignment="true" applyBorder="false" applyFill="false" applyFont="true" applyNumberFormat="true" applyProtection="false" borderId="18" fillId="0" fontId="4" numFmtId="188" xfId="0">
      <alignment horizontal="center" vertical="center"/>
    </xf>
    <xf applyAlignment="true" applyBorder="false" applyFill="false" applyFont="true" applyNumberFormat="true" applyProtection="false" borderId="18" fillId="0" fontId="4" numFmtId="188" xfId="0">
      <alignment horizontal="center" vertical="center"/>
    </xf>
    <xf applyAlignment="true" applyBorder="false" applyFill="false" applyFont="true" applyNumberFormat="true" applyProtection="false" borderId="0" fillId="0" fontId="4" numFmtId="184" xfId="0">
      <alignment horizontal="center" vertical="center"/>
    </xf>
    <xf applyAlignment="true" applyBorder="false" applyFill="false" applyFont="true" applyNumberFormat="true" applyProtection="false" borderId="20" fillId="0" fontId="5" numFmtId="184" xfId="0">
      <alignment horizontal="center" vertical="center"/>
    </xf>
    <xf applyAlignment="true" applyBorder="false" applyFill="false" applyFont="true" applyNumberFormat="true" applyProtection="false" borderId="18" fillId="0" fontId="4" numFmtId="183" xfId="0">
      <alignment horizontal="center" vertical="center"/>
    </xf>
    <xf applyAlignment="true" applyBorder="false" applyFill="false" applyFont="true" applyNumberFormat="true" applyProtection="false" borderId="0" fillId="0" fontId="4" numFmtId="184" xfId="0">
      <alignment horizontal="center" vertical="center"/>
    </xf>
    <xf applyAlignment="true" applyBorder="false" applyFill="true" applyFont="true" applyNumberFormat="false" applyProtection="false" borderId="18" fillId="22" fontId="3" numFmtId="0" xfId="0">
      <alignment horizontal="center" vertical="center"/>
    </xf>
    <xf applyAlignment="true" applyBorder="false" applyFill="true" applyFont="true" applyNumberFormat="true" applyProtection="false" borderId="18" fillId="22" fontId="3" numFmtId="183" xfId="0">
      <alignment horizontal="center" vertical="center"/>
    </xf>
    <xf applyAlignment="true" applyBorder="false" applyFill="true" applyFont="true" applyNumberFormat="true" applyProtection="false" borderId="18" fillId="22" fontId="3" numFmtId="186" xfId="0">
      <alignment horizontal="center" vertical="center"/>
    </xf>
    <xf applyAlignment="true" applyBorder="false" applyFill="true" applyFont="true" applyNumberFormat="false" applyProtection="false" borderId="18" fillId="22" fontId="3" numFmtId="0" xfId="0">
      <alignment horizontal="center" vertical="center"/>
    </xf>
    <xf applyAlignment="true" applyBorder="false" applyFill="true" applyFont="true" applyNumberFormat="true" applyProtection="false" borderId="18" fillId="22" fontId="3" numFmtId="184" xfId="0">
      <alignment horizontal="center" vertical="center"/>
    </xf>
    <xf applyAlignment="true" applyBorder="false" applyFill="true" applyFont="true" applyNumberFormat="true" applyProtection="false" borderId="19" fillId="22" fontId="3" numFmtId="187" xfId="0">
      <alignment horizontal="center" vertical="center"/>
    </xf>
    <xf applyAlignment="true" applyBorder="false" applyFill="true" applyFont="true" applyNumberFormat="true" applyProtection="false" borderId="19" fillId="22" fontId="3" numFmtId="184" xfId="0">
      <alignment horizontal="center" vertical="center"/>
    </xf>
    <xf applyAlignment="true" applyBorder="false" applyFill="true" applyFont="true" applyNumberFormat="true" applyProtection="false" borderId="18" fillId="22" fontId="4" numFmtId="188" xfId="0">
      <alignment horizontal="center" vertical="center"/>
    </xf>
    <xf applyAlignment="true" applyBorder="false" applyFill="true" applyFont="true" applyNumberFormat="true" applyProtection="false" borderId="18" fillId="22" fontId="4" numFmtId="188" xfId="0">
      <alignment horizontal="center" vertical="center"/>
    </xf>
    <xf applyAlignment="true" applyBorder="false" applyFill="false" applyFont="true" applyNumberFormat="true" applyProtection="false" borderId="19" fillId="0" fontId="3" numFmtId="184" xfId="0">
      <alignment horizontal="center" vertical="center"/>
    </xf>
    <xf applyAlignment="true" applyBorder="false" applyFill="true" applyFont="true" applyNumberFormat="true" applyProtection="false" borderId="18" fillId="22" fontId="3" numFmtId="188" xfId="0">
      <alignment horizontal="center" vertical="center"/>
    </xf>
    <xf applyAlignment="true" applyBorder="false" applyFill="false" applyFont="true" applyNumberFormat="true" applyProtection="false" borderId="18" fillId="0" fontId="4" numFmtId="186" xfId="0">
      <alignment horizontal="center" vertical="center"/>
    </xf>
    <xf applyAlignment="true" applyBorder="false" applyFill="false" applyFont="true" applyNumberFormat="true" applyProtection="false" borderId="18" fillId="0" fontId="4" numFmtId="184" xfId="0">
      <alignment horizontal="center" vertical="center"/>
    </xf>
    <xf applyAlignment="true" applyBorder="false" applyFill="true" applyFont="true" applyNumberFormat="false" applyProtection="false" borderId="18" fillId="18" fontId="3" numFmtId="0" xfId="0">
      <alignment horizontal="center" vertical="center"/>
    </xf>
    <xf applyAlignment="true" applyBorder="false" applyFill="true" applyFont="true" applyNumberFormat="true" applyProtection="false" borderId="18" fillId="18" fontId="4" numFmtId="183" xfId="0">
      <alignment horizontal="center" vertical="center"/>
    </xf>
    <xf applyAlignment="true" applyBorder="false" applyFill="true" applyFont="true" applyNumberFormat="true" applyProtection="false" borderId="18" fillId="18" fontId="4" numFmtId="186" xfId="0">
      <alignment horizontal="center" vertical="center"/>
    </xf>
    <xf applyAlignment="true" applyBorder="false" applyFill="true" applyFont="true" applyNumberFormat="true" applyProtection="false" borderId="18" fillId="18" fontId="3" numFmtId="184" xfId="0">
      <alignment horizontal="center" vertical="center"/>
    </xf>
    <xf applyAlignment="true" applyBorder="false" applyFill="true" applyFont="true" applyNumberFormat="true" applyProtection="false" borderId="18" fillId="18" fontId="4" numFmtId="184" xfId="0">
      <alignment horizontal="center" vertical="center"/>
    </xf>
    <xf applyAlignment="true" applyBorder="false" applyFill="true" applyFont="true" applyNumberFormat="true" applyProtection="false" borderId="19" fillId="18" fontId="3" numFmtId="187" xfId="0">
      <alignment horizontal="center" vertical="center"/>
    </xf>
    <xf applyAlignment="true" applyBorder="false" applyFill="true" applyFont="true" applyNumberFormat="true" applyProtection="false" borderId="19" fillId="18" fontId="3" numFmtId="184" xfId="0">
      <alignment horizontal="center" vertical="center"/>
    </xf>
    <xf applyAlignment="true" applyBorder="false" applyFill="true" applyFont="true" applyNumberFormat="true" applyProtection="false" borderId="18" fillId="18" fontId="4" numFmtId="188" xfId="0">
      <alignment horizontal="center" vertical="center"/>
    </xf>
    <xf applyAlignment="true" applyBorder="false" applyFill="true" applyFont="true" applyNumberFormat="true" applyProtection="false" borderId="18" fillId="18" fontId="4" numFmtId="188" xfId="0">
      <alignment horizontal="center" vertical="center"/>
    </xf>
    <xf applyAlignment="true" applyBorder="false" applyFill="false" applyFont="true" applyNumberFormat="true" applyProtection="false" borderId="19" fillId="0" fontId="4" numFmtId="188" xfId="0">
      <alignment horizontal="center" vertical="center"/>
    </xf>
    <xf applyAlignment="true" applyBorder="false" applyFill="false" applyFont="true" applyNumberFormat="true" applyProtection="false" borderId="21" fillId="0" fontId="5" numFmtId="184" xfId="0">
      <alignment horizontal="center" vertical="center"/>
    </xf>
    <xf applyAlignment="true" applyBorder="false" applyFill="true" applyFont="true" applyNumberFormat="true" applyProtection="false" borderId="22" fillId="22" fontId="3" numFmtId="184" xfId="0">
      <alignment horizontal="center" vertical="center"/>
    </xf>
    <xf applyAlignment="true" applyBorder="false" applyFill="true" applyFont="true" applyNumberFormat="true" applyProtection="false" borderId="23" fillId="22" fontId="3" numFmtId="184" xfId="0">
      <alignment horizontal="center" vertical="center"/>
    </xf>
    <xf applyAlignment="true" applyBorder="false" applyFill="false" applyFont="true" applyNumberFormat="true" applyProtection="false" borderId="19" fillId="0" fontId="4" numFmtId="184" xfId="0">
      <alignment horizontal="center" vertical="center"/>
    </xf>
    <xf applyAlignment="true" applyBorder="false" applyFill="false" applyFont="true" applyNumberFormat="true" applyProtection="false" borderId="20" fillId="0" fontId="5" numFmtId="183" xfId="0">
      <alignment horizontal="center" vertical="center"/>
    </xf>
    <xf applyAlignment="true" applyBorder="false" applyFill="true" applyFont="true" applyNumberFormat="true" applyProtection="false" borderId="20" fillId="23" fontId="3" numFmtId="186" xfId="0">
      <alignment horizontal="center" vertical="center"/>
    </xf>
    <xf applyAlignment="true" applyBorder="false" applyFill="false" applyFont="true" applyNumberFormat="true" applyProtection="false" borderId="20" fillId="0" fontId="3" numFmtId="184" xfId="0">
      <alignment horizontal="center" vertical="center"/>
    </xf>
    <xf applyAlignment="true" applyBorder="false" applyFill="false" applyFont="true" applyNumberFormat="true" applyProtection="false" borderId="20" fillId="0" fontId="5" numFmtId="186" xfId="0">
      <alignment horizontal="center" vertical="center"/>
    </xf>
    <xf applyAlignment="true" applyBorder="false" applyFill="false" applyFont="true" applyNumberFormat="false" applyProtection="false" borderId="20" fillId="0" fontId="5" numFmtId="0" xfId="0">
      <alignment horizontal="center" vertical="center"/>
    </xf>
    <xf applyAlignment="true" applyBorder="false" applyFill="false" applyFont="true" applyNumberFormat="false" applyProtection="false" borderId="20" fillId="0" fontId="3" numFmtId="0" xfId="0">
      <alignment horizontal="center" vertical="center"/>
    </xf>
    <xf applyAlignment="true" applyBorder="false" applyFill="false" applyFont="true" applyNumberFormat="true" applyProtection="false" borderId="24" fillId="0" fontId="3" numFmtId="187" xfId="0">
      <alignment horizontal="center" vertical="center"/>
    </xf>
    <xf applyAlignment="true" applyBorder="false" applyFill="false" applyFont="true" applyNumberFormat="true" applyProtection="false" borderId="24" fillId="0" fontId="3" numFmtId="184" xfId="0">
      <alignment horizontal="center" vertical="center"/>
    </xf>
    <xf applyAlignment="true" applyBorder="false" applyFill="false" applyFont="true" applyNumberFormat="true" applyProtection="false" borderId="20" fillId="0" fontId="5" numFmtId="188" xfId="0">
      <alignment horizontal="center" vertical="center"/>
    </xf>
    <xf applyAlignment="true" applyBorder="false" applyFill="false" applyFont="true" applyNumberFormat="true" applyProtection="false" borderId="24" fillId="0" fontId="5" numFmtId="188" xfId="0">
      <alignment horizontal="center" vertical="center"/>
    </xf>
    <xf applyAlignment="true" applyBorder="false" applyFill="false" applyFont="true" applyNumberFormat="true" applyProtection="false" borderId="20" fillId="0" fontId="5" numFmtId="184" xfId="0">
      <alignment horizontal="center" vertical="center"/>
    </xf>
    <xf applyAlignment="true" applyBorder="false" applyFill="true" applyFont="true" applyNumberFormat="true" applyProtection="false" borderId="18" fillId="20" fontId="3" numFmtId="186" xfId="0">
      <alignment horizontal="center" vertical="center"/>
    </xf>
    <xf applyAlignment="true" applyBorder="false" applyFill="true" applyFont="true" applyNumberFormat="true" applyProtection="false" borderId="18" fillId="20" fontId="3" numFmtId="184" xfId="0">
      <alignment horizontal="center" vertical="center"/>
    </xf>
    <xf applyAlignment="true" applyBorder="false" applyFill="true" applyFont="true" applyNumberFormat="true" applyProtection="false" borderId="20" fillId="23" fontId="3" numFmtId="184" xfId="0">
      <alignment horizontal="center" vertical="center"/>
    </xf>
    <xf applyAlignment="true" applyBorder="false" applyFill="false" applyFont="true" applyNumberFormat="true" applyProtection="false" borderId="20" fillId="0" fontId="5" numFmtId="186" xfId="0">
      <alignment horizontal="center" vertical="center"/>
    </xf>
    <xf applyAlignment="true" applyBorder="false" applyFill="true" applyFont="true" applyNumberFormat="true" applyProtection="false" borderId="18" fillId="20" fontId="3" numFmtId="184" xfId="0">
      <alignment horizontal="center" vertical="center"/>
    </xf>
    <xf applyAlignment="true" applyBorder="false" applyFill="true" applyFont="true" applyNumberFormat="true" applyProtection="false" borderId="19" fillId="22" fontId="3" numFmtId="184" xfId="0">
      <alignment horizontal="center" vertical="center"/>
    </xf>
    <xf applyAlignment="true" applyBorder="false" applyFill="true" applyFont="true" applyNumberFormat="true" applyProtection="false" borderId="20" fillId="24" fontId="5" numFmtId="183" xfId="0">
      <alignment horizontal="center" vertical="center"/>
    </xf>
    <xf applyAlignment="true" applyBorder="false" applyFill="true" applyFont="true" applyNumberFormat="true" applyProtection="false" borderId="20" fillId="24" fontId="5" numFmtId="184" xfId="0">
      <alignment horizontal="center" vertical="center"/>
    </xf>
    <xf applyAlignment="true" applyBorder="false" applyFill="true" applyFont="true" applyNumberFormat="true" applyProtection="false" borderId="18" fillId="22" fontId="3" numFmtId="189" xfId="0">
      <alignment horizontal="center" vertical="center"/>
    </xf>
    <xf applyAlignment="true" applyBorder="false" applyFill="true" applyFont="true" applyNumberFormat="true" applyProtection="false" borderId="20" fillId="23" fontId="3" numFmtId="184" xfId="0">
      <alignment horizontal="center" vertical="center"/>
    </xf>
    <xf applyAlignment="true" applyBorder="false" applyFill="false" applyFont="true" applyNumberFormat="true" applyProtection="false" borderId="21" fillId="0" fontId="5" numFmtId="184" xfId="0">
      <alignment horizontal="center" vertical="center"/>
    </xf>
    <xf applyAlignment="true" applyBorder="false" applyFill="true" applyFont="true" applyNumberFormat="true" applyProtection="false" borderId="18" fillId="22" fontId="3" numFmtId="190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true" applyProtection="false" borderId="0" fillId="0" fontId="4" numFmtId="184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true" applyProtection="false" borderId="0" fillId="0" fontId="4" numFmtId="183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true" applyProtection="false" borderId="0" fillId="0" fontId="4" numFmtId="183" xfId="0">
      <alignment vertical="center"/>
    </xf>
    <xf applyAlignment="true" applyBorder="false" applyFill="false" applyFont="true" applyNumberFormat="true" applyProtection="false" borderId="0" fillId="0" fontId="4" numFmtId="184" xfId="0">
      <alignment vertical="center"/>
    </xf>
    <xf applyAlignment="true" applyBorder="false" applyFill="true" applyFont="true" applyNumberFormat="false" applyProtection="false" borderId="25" fillId="25" fontId="1" numFmtId="0" xfId="0">
      <alignment horizontal="center" vertical="center"/>
    </xf>
    <xf applyAlignment="true" applyBorder="false" applyFill="true" applyFont="true" applyNumberFormat="true" applyProtection="false" borderId="25" fillId="25" fontId="1" numFmtId="191" xfId="0">
      <alignment horizontal="center" vertical="center"/>
    </xf>
    <xf applyAlignment="true" applyBorder="false" applyFill="true" applyFont="true" applyNumberFormat="true" applyProtection="false" borderId="25" fillId="25" fontId="1" numFmtId="192" xfId="0">
      <alignment horizontal="center" vertical="center"/>
    </xf>
    <xf applyAlignment="true" applyBorder="false" applyFill="true" applyFont="true" applyNumberFormat="true" applyProtection="false" borderId="25" fillId="25" fontId="6" numFmtId="192" xfId="0">
      <alignment horizontal="center" vertical="center"/>
    </xf>
    <xf applyAlignment="true" applyBorder="false" applyFill="true" applyFont="true" applyNumberFormat="true" applyProtection="false" borderId="25" fillId="25" fontId="6" numFmtId="191" xfId="0">
      <alignment horizontal="center" vertical="center"/>
    </xf>
    <xf applyAlignment="true" applyBorder="false" applyFill="true" applyFont="true" applyNumberFormat="false" applyProtection="false" borderId="25" fillId="25" fontId="1" numFmtId="0" xfId="0">
      <alignment horizontal="center" vertical="center"/>
    </xf>
    <xf applyAlignment="true" applyBorder="false" applyFill="true" applyFont="true" applyNumberFormat="false" applyProtection="false" borderId="26" fillId="26" fontId="1" numFmtId="0" xfId="0">
      <alignment horizontal="center" vertical="center"/>
    </xf>
    <xf applyAlignment="true" applyBorder="false" applyFill="true" applyFont="true" applyNumberFormat="false" applyProtection="false" borderId="26" fillId="26" fontId="1" numFmtId="0" xfId="0">
      <alignment horizontal="center" vertical="center"/>
    </xf>
    <xf applyAlignment="true" applyBorder="false" applyFill="true" applyFont="true" applyNumberFormat="false" applyProtection="false" borderId="25" fillId="25" fontId="4" numFmtId="0" xfId="0">
      <alignment horizontal="center" vertical="center"/>
    </xf>
    <xf applyAlignment="true" applyBorder="false" applyFill="true" applyFont="true" applyNumberFormat="false" applyProtection="false" borderId="25" fillId="25" fontId="4" numFmtId="0" xfId="0">
      <alignment horizontal="center" vertical="center"/>
    </xf>
    <xf applyAlignment="true" applyBorder="false" applyFill="true" applyFont="true" applyNumberFormat="true" applyProtection="false" borderId="0" fillId="27" fontId="4" numFmtId="192" xfId="0">
      <alignment horizontal="center" vertical="center"/>
    </xf>
    <xf applyAlignment="true" applyBorder="false" applyFill="true" applyFont="true" applyNumberFormat="true" applyProtection="false" borderId="0" fillId="28" fontId="8" numFmtId="192" xfId="0">
      <alignment horizontal="center" vertical="center"/>
    </xf>
    <xf applyAlignment="true" applyBorder="false" applyFill="false" applyFont="true" applyNumberFormat="true" applyProtection="false" borderId="25" fillId="0" fontId="3" numFmtId="193" xfId="0">
      <alignment horizontal="center" vertical="center"/>
    </xf>
    <xf applyAlignment="true" applyBorder="false" applyFill="true" applyFont="true" applyNumberFormat="false" applyProtection="false" borderId="25" fillId="27" fontId="3" numFmtId="0" xfId="0">
      <alignment horizontal="center" vertical="center"/>
    </xf>
    <xf applyAlignment="true" applyBorder="false" applyFill="false" applyFont="true" applyNumberFormat="true" applyProtection="false" borderId="25" fillId="0" fontId="4" numFmtId="191" xfId="0">
      <alignment horizontal="center" vertical="center"/>
    </xf>
    <xf applyAlignment="true" applyBorder="false" applyFill="true" applyFont="true" applyNumberFormat="true" applyProtection="false" borderId="25" fillId="27" fontId="3" numFmtId="192" xfId="0">
      <alignment horizontal="center" vertical="center"/>
    </xf>
    <xf applyAlignment="true" applyBorder="false" applyFill="false" applyFont="true" applyNumberFormat="true" applyProtection="false" borderId="25" fillId="0" fontId="3" numFmtId="192" xfId="0">
      <alignment horizontal="center" vertical="center"/>
    </xf>
    <xf applyAlignment="true" applyBorder="false" applyFill="false" applyFont="true" applyNumberFormat="true" applyProtection="false" borderId="25" fillId="0" fontId="4" numFmtId="192" xfId="0">
      <alignment horizontal="center" vertical="center"/>
    </xf>
    <xf applyAlignment="true" applyBorder="false" applyFill="false" applyFont="true" applyNumberFormat="true" applyProtection="false" borderId="25" fillId="0" fontId="4" numFmtId="194" xfId="0">
      <alignment horizontal="center" vertical="center"/>
    </xf>
    <xf applyAlignment="true" applyBorder="false" applyFill="false" applyFont="true" applyNumberFormat="true" applyProtection="false" borderId="25" fillId="0" fontId="4" numFmtId="195" xfId="0">
      <alignment horizontal="center" vertical="center"/>
    </xf>
    <xf applyAlignment="true" applyBorder="false" applyFill="false" applyFont="true" applyNumberFormat="false" applyProtection="false" borderId="25" fillId="0" fontId="3" numFmtId="0" xfId="0">
      <alignment horizontal="center" vertical="center"/>
    </xf>
    <xf applyAlignment="true" applyBorder="false" applyFill="false" applyFont="true" applyNumberFormat="true" applyProtection="false" borderId="26" fillId="0" fontId="3" numFmtId="194" xfId="0">
      <alignment horizontal="center" vertical="center"/>
    </xf>
    <xf applyAlignment="true" applyBorder="false" applyFill="false" applyFont="true" applyNumberFormat="true" applyProtection="false" borderId="26" fillId="0" fontId="3" numFmtId="192" xfId="0">
      <alignment horizontal="center" vertical="center"/>
    </xf>
    <xf applyAlignment="true" applyBorder="false" applyFill="false" applyFont="true" applyNumberFormat="true" applyProtection="false" borderId="25" fillId="0" fontId="4" numFmtId="196" xfId="0">
      <alignment horizontal="center" vertical="center"/>
    </xf>
    <xf applyAlignment="true" applyBorder="false" applyFill="false" applyFont="true" applyNumberFormat="true" applyProtection="false" borderId="25" fillId="0" fontId="4" numFmtId="196" xfId="0">
      <alignment horizontal="center" vertical="center"/>
    </xf>
    <xf applyAlignment="true" applyBorder="false" applyFill="false" applyFont="true" applyNumberFormat="true" applyProtection="false" borderId="27" fillId="0" fontId="5" numFmtId="192" xfId="0">
      <alignment horizontal="center" vertical="center"/>
    </xf>
    <xf applyAlignment="true" applyBorder="false" applyFill="false" applyFont="true" applyNumberFormat="true" applyProtection="false" borderId="28" fillId="0" fontId="5" numFmtId="191" xfId="0">
      <alignment horizontal="center" vertical="center"/>
    </xf>
    <xf applyAlignment="true" applyBorder="false" applyFill="true" applyFont="true" applyNumberFormat="true" applyProtection="false" borderId="28" fillId="29" fontId="3" numFmtId="192" xfId="0">
      <alignment horizontal="center" vertical="center"/>
    </xf>
    <xf applyAlignment="true" applyBorder="false" applyFill="false" applyFont="true" applyNumberFormat="true" applyProtection="false" borderId="28" fillId="0" fontId="5" numFmtId="192" xfId="0">
      <alignment horizontal="center" vertical="center"/>
    </xf>
    <xf applyAlignment="true" applyBorder="false" applyFill="false" applyFont="true" applyNumberFormat="true" applyProtection="false" borderId="28" fillId="0" fontId="5" numFmtId="194" xfId="0">
      <alignment horizontal="center" vertical="center"/>
    </xf>
    <xf applyAlignment="true" applyBorder="false" applyFill="false" applyFont="true" applyNumberFormat="true" applyProtection="false" borderId="28" fillId="0" fontId="5" numFmtId="195" xfId="0">
      <alignment horizontal="center" vertical="center"/>
    </xf>
    <xf applyAlignment="true" applyBorder="false" applyFill="false" applyFont="true" applyNumberFormat="true" applyProtection="false" borderId="29" fillId="0" fontId="3" numFmtId="194" xfId="0">
      <alignment horizontal="center" vertical="center"/>
    </xf>
    <xf applyAlignment="true" applyBorder="false" applyFill="false" applyFont="true" applyNumberFormat="true" applyProtection="false" borderId="28" fillId="0" fontId="5" numFmtId="192" xfId="0">
      <alignment horizontal="center" vertical="center"/>
    </xf>
    <xf applyAlignment="true" applyBorder="false" applyFill="false" applyFont="true" applyNumberFormat="true" applyProtection="false" borderId="28" fillId="0" fontId="3" numFmtId="192" xfId="0">
      <alignment horizontal="center" vertical="center"/>
    </xf>
    <xf applyAlignment="true" applyBorder="false" applyFill="false" applyFont="true" applyNumberFormat="true" applyProtection="false" borderId="28" fillId="0" fontId="5" numFmtId="196" xfId="0">
      <alignment horizontal="center" vertical="center"/>
    </xf>
    <xf applyAlignment="true" applyBorder="false" applyFill="false" applyFont="true" applyNumberFormat="true" applyProtection="false" borderId="29" fillId="0" fontId="5" numFmtId="196" xfId="0">
      <alignment horizontal="center" vertical="center"/>
    </xf>
    <xf applyAlignment="true" applyBorder="false" applyFill="false" applyFont="true" applyNumberFormat="true" applyProtection="false" borderId="26" fillId="0" fontId="4" numFmtId="196" xfId="0">
      <alignment horizontal="center" vertical="center"/>
    </xf>
    <xf applyAlignment="true" applyBorder="false" applyFill="true" applyFont="true" applyNumberFormat="false" applyProtection="false" borderId="25" fillId="30" fontId="3" numFmtId="0" xfId="0">
      <alignment horizontal="center" vertical="center"/>
    </xf>
    <xf applyAlignment="true" applyBorder="false" applyFill="true" applyFont="true" applyNumberFormat="true" applyProtection="false" borderId="25" fillId="30" fontId="3" numFmtId="191" xfId="0">
      <alignment horizontal="center" vertical="center"/>
    </xf>
    <xf applyAlignment="true" applyBorder="false" applyFill="true" applyFont="true" applyNumberFormat="true" applyProtection="false" borderId="25" fillId="30" fontId="3" numFmtId="192" xfId="0">
      <alignment horizontal="center" vertical="center"/>
    </xf>
    <xf applyAlignment="true" applyBorder="false" applyFill="true" applyFont="true" applyNumberFormat="true" applyProtection="false" borderId="25" fillId="30" fontId="3" numFmtId="194" xfId="0">
      <alignment horizontal="center" vertical="center"/>
    </xf>
    <xf applyAlignment="true" applyBorder="false" applyFill="true" applyFont="true" applyNumberFormat="true" applyProtection="false" borderId="25" fillId="30" fontId="3" numFmtId="195" xfId="0">
      <alignment horizontal="center" vertical="center"/>
    </xf>
    <xf applyAlignment="true" applyBorder="false" applyFill="true" applyFont="true" applyNumberFormat="true" applyProtection="false" borderId="26" fillId="30" fontId="3" numFmtId="194" xfId="0">
      <alignment horizontal="center" vertical="center"/>
    </xf>
    <xf applyAlignment="true" applyBorder="false" applyFill="true" applyFont="true" applyNumberFormat="true" applyProtection="false" borderId="26" fillId="30" fontId="3" numFmtId="192" xfId="0">
      <alignment horizontal="center" vertical="center"/>
    </xf>
    <xf applyAlignment="true" applyBorder="false" applyFill="true" applyFont="true" applyNumberFormat="true" applyProtection="false" borderId="25" fillId="30" fontId="3" numFmtId="196" xfId="0">
      <alignment horizontal="center" vertical="center"/>
    </xf>
    <xf applyAlignment="true" applyBorder="false" applyFill="false" applyFont="true" applyNumberFormat="true" applyProtection="false" borderId="26" fillId="0" fontId="4" numFmtId="192" xfId="0">
      <alignment horizontal="center" vertical="center"/>
    </xf>
    <xf applyAlignment="true" applyBorder="false" applyFill="true" applyFont="true" applyNumberFormat="true" applyProtection="false" borderId="25" fillId="30" fontId="3" numFmtId="197" xfId="0">
      <alignment horizontal="center" vertical="center"/>
    </xf>
    <xf applyAlignment="true" applyBorder="false" applyFill="true" applyFont="true" applyNumberFormat="true" applyProtection="false" borderId="25" fillId="30" fontId="4" numFmtId="196" xfId="0">
      <alignment horizontal="center" vertical="center"/>
    </xf>
    <xf applyAlignment="true" applyBorder="false" applyFill="true" applyFont="true" applyNumberFormat="true" applyProtection="false" borderId="25" fillId="30" fontId="4" numFmtId="196" xfId="0">
      <alignment horizontal="center" vertical="center"/>
    </xf>
    <xf applyAlignment="true" applyBorder="false" applyFill="true" applyFont="true" applyNumberFormat="false" applyProtection="false" borderId="25" fillId="25" fontId="3" numFmtId="0" xfId="0">
      <alignment horizontal="center" vertical="center"/>
    </xf>
    <xf applyAlignment="true" applyBorder="false" applyFill="true" applyFont="true" applyNumberFormat="true" applyProtection="false" borderId="25" fillId="25" fontId="4" numFmtId="191" xfId="0">
      <alignment horizontal="center" vertical="center"/>
    </xf>
    <xf applyAlignment="true" applyBorder="false" applyFill="true" applyFont="true" applyNumberFormat="true" applyProtection="false" borderId="25" fillId="25" fontId="4" numFmtId="192" xfId="0">
      <alignment horizontal="center" vertical="center"/>
    </xf>
    <xf applyAlignment="true" applyBorder="false" applyFill="true" applyFont="true" applyNumberFormat="true" applyProtection="false" borderId="25" fillId="25" fontId="3" numFmtId="192" xfId="0">
      <alignment horizontal="center" vertical="center"/>
    </xf>
    <xf applyAlignment="true" applyBorder="false" applyFill="true" applyFont="true" applyNumberFormat="true" applyProtection="false" borderId="28" fillId="31" fontId="5" numFmtId="192" xfId="0">
      <alignment horizontal="center" vertical="center"/>
    </xf>
    <xf applyAlignment="true" applyBorder="false" applyFill="true" applyFont="true" applyNumberFormat="true" applyProtection="false" borderId="25" fillId="25" fontId="4" numFmtId="194" xfId="0">
      <alignment horizontal="center" vertical="center"/>
    </xf>
    <xf applyAlignment="true" applyBorder="false" applyFill="true" applyFont="true" applyNumberFormat="true" applyProtection="false" borderId="25" fillId="25" fontId="3" numFmtId="191" xfId="0">
      <alignment horizontal="center" vertical="center"/>
    </xf>
    <xf applyAlignment="true" applyBorder="false" applyFill="true" applyFont="true" applyNumberFormat="true" applyProtection="false" borderId="25" fillId="25" fontId="4" numFmtId="195" xfId="0">
      <alignment horizontal="center" vertical="center"/>
    </xf>
    <xf applyAlignment="true" applyBorder="false" applyFill="true" applyFont="true" applyNumberFormat="true" applyProtection="false" borderId="26" fillId="25" fontId="3" numFmtId="194" xfId="0">
      <alignment horizontal="center" vertical="center"/>
    </xf>
    <xf applyAlignment="true" applyBorder="false" applyFill="true" applyFont="true" applyNumberFormat="true" applyProtection="false" borderId="26" fillId="25" fontId="3" numFmtId="192" xfId="0">
      <alignment horizontal="center" vertical="center"/>
    </xf>
    <xf applyAlignment="true" applyBorder="false" applyFill="true" applyFont="true" applyNumberFormat="true" applyProtection="false" borderId="25" fillId="25" fontId="4" numFmtId="196" xfId="0">
      <alignment horizontal="center" vertical="center"/>
    </xf>
    <xf applyAlignment="true" applyBorder="false" applyFill="true" applyFont="true" applyNumberFormat="true" applyProtection="false" borderId="25" fillId="25" fontId="4" numFmtId="196" xfId="0">
      <alignment horizontal="center" vertical="center"/>
    </xf>
    <xf applyAlignment="true" applyBorder="false" applyFill="false" applyFont="true" applyNumberFormat="false" applyProtection="false" borderId="0" fillId="0" fontId="5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RowHeight="16"/>
  <cols>
    <col collapsed="false" customWidth="true" hidden="false" max="3" min="3" style="0" width="11.211267605633802"/>
    <col collapsed="false" customWidth="true" hidden="false" max="5" min="5" style="0" width="9.408450704225352"/>
    <col collapsed="false" customWidth="true" hidden="false" max="7" min="7" style="0" width="12.338028169014084"/>
    <col collapsed="false" customWidth="true" hidden="false" max="9" min="9" style="0" width="12.225352112676056"/>
    <col collapsed="false" customWidth="true" hidden="false" max="2" min="2" style="0" width="13.014084507042254"/>
    <col collapsed="false" customWidth="true" hidden="false" max="4" min="4" style="0" width="11.211267605633802"/>
    <col collapsed="false" customWidth="true" hidden="false" max="6" min="6" style="0" width="9.408450704225352"/>
    <col collapsed="false" customWidth="true" hidden="false" max="8" min="8" style="0" width="11.211267605633802"/>
  </cols>
  <sheetData>
    <row r="1">
      <c r="A1" s="1" t="s">
        <v>1</v>
      </c>
      <c r="B1" s="1" t="s">
        <v>2</v>
      </c>
      <c r="C1" s="2" t="s">
        <v>3</v>
      </c>
      <c r="D1" s="3" t="s">
        <v>4</v>
      </c>
      <c r="E1" s="4" t="s">
        <v>5</v>
      </c>
      <c r="F1" s="3" t="s">
        <v>6</v>
      </c>
      <c r="G1" s="3" t="s">
        <v>7</v>
      </c>
      <c r="H1" s="1" t="s">
        <v>8</v>
      </c>
      <c r="I1" s="1" t="s">
        <v>9</v>
      </c>
      <c r="J1" s="5"/>
      <c r="K1" s="5"/>
      <c r="L1" s="5"/>
      <c r="M1" s="5"/>
      <c r="N1" s="5"/>
      <c r="O1" s="6"/>
      <c r="P1" s="6"/>
      <c r="Q1" s="6"/>
      <c r="R1" s="6"/>
    </row>
    <row hidden="true" r="2">
      <c r="A2" s="7">
        <v>46223</v>
      </c>
      <c r="B2" s="8">
        <v>2424</v>
      </c>
      <c r="C2" s="9">
        <f t="shared" ref="C2:C50" si="0">B2/I2</f>
      </c>
      <c r="D2" s="10">
        <v>0.0785</v>
      </c>
      <c r="E2" s="11">
        <v>0.09014514896867838</v>
      </c>
      <c r="F2" s="10">
        <v>0.012</v>
      </c>
      <c r="G2" s="10">
        <f>242/2840</f>
      </c>
      <c r="H2" s="12">
        <v>46</v>
      </c>
      <c r="I2" s="12">
        <v>8</v>
      </c>
      <c r="J2" s="13"/>
      <c r="K2" s="5"/>
      <c r="L2" s="5"/>
      <c r="M2" s="5"/>
      <c r="N2" s="5"/>
      <c r="O2" s="6"/>
      <c r="P2" s="6"/>
      <c r="Q2" s="6"/>
      <c r="R2" s="6"/>
    </row>
    <row hidden="true" r="3">
      <c r="A3" s="7">
        <v>46224</v>
      </c>
      <c r="B3" s="14">
        <v>1523</v>
      </c>
      <c r="C3" s="9">
        <f t="shared" si="0"/>
      </c>
      <c r="D3" s="15">
        <v>0.1093</v>
      </c>
      <c r="E3" s="16">
        <v>0.11212675198049969</v>
      </c>
      <c r="F3" s="15">
        <v>0.0072</v>
      </c>
      <c r="G3" s="16">
        <f>191/1822</f>
      </c>
      <c r="H3" s="14">
        <v>51</v>
      </c>
      <c r="I3" s="12">
        <v>8</v>
      </c>
      <c r="J3" s="13"/>
      <c r="K3" s="5"/>
      <c r="L3" s="5"/>
      <c r="M3" s="5"/>
      <c r="N3" s="5"/>
      <c r="O3" s="6"/>
      <c r="P3" s="6"/>
      <c r="Q3" s="6"/>
      <c r="R3" s="6"/>
    </row>
    <row hidden="true" r="4">
      <c r="A4" s="7">
        <v>46225</v>
      </c>
      <c r="B4" s="12">
        <v>442</v>
      </c>
      <c r="C4" s="9">
        <f t="shared" si="0"/>
      </c>
      <c r="D4" s="10">
        <v>0.0805</v>
      </c>
      <c r="E4" s="11">
        <v>0.13122171945701358</v>
      </c>
      <c r="F4" s="10">
        <v>0.0068</v>
      </c>
      <c r="G4" s="11">
        <f>64/512</f>
      </c>
      <c r="H4" s="12">
        <v>53</v>
      </c>
      <c r="I4" s="12">
        <v>8</v>
      </c>
      <c r="J4" s="13"/>
      <c r="K4" s="5"/>
      <c r="L4" s="5"/>
      <c r="M4" s="5"/>
      <c r="N4" s="5"/>
      <c r="O4" s="6"/>
      <c r="P4" s="6"/>
      <c r="Q4" s="6"/>
      <c r="R4" s="6"/>
    </row>
    <row hidden="true" r="5">
      <c r="A5" s="7">
        <v>46226</v>
      </c>
      <c r="B5" s="14">
        <v>4169</v>
      </c>
      <c r="C5" s="9">
        <f t="shared" si="0"/>
      </c>
      <c r="D5" s="15">
        <v>0.0733</v>
      </c>
      <c r="E5" s="16">
        <v>0.09260888693356797</v>
      </c>
      <c r="F5" s="15">
        <v>0.0053</v>
      </c>
      <c r="G5" s="16">
        <f>744/4832</f>
      </c>
      <c r="H5" s="14">
        <v>51</v>
      </c>
      <c r="I5" s="12">
        <v>8</v>
      </c>
      <c r="J5" s="13"/>
      <c r="K5" s="5"/>
      <c r="L5" s="5"/>
      <c r="M5" s="5"/>
      <c r="N5" s="5"/>
      <c r="O5" s="6"/>
      <c r="P5" s="6"/>
      <c r="Q5" s="6"/>
      <c r="R5" s="6"/>
    </row>
    <row hidden="true" r="6">
      <c r="A6" s="7">
        <v>46227</v>
      </c>
      <c r="B6" s="12">
        <v>4165</v>
      </c>
      <c r="C6" s="9">
        <f t="shared" si="0"/>
      </c>
      <c r="D6" s="10">
        <v>0.0584</v>
      </c>
      <c r="E6" s="11">
        <v>0.11501316944688324</v>
      </c>
      <c r="F6" s="10">
        <v>0.0065</v>
      </c>
      <c r="G6" s="11">
        <f>555/4835</f>
      </c>
      <c r="H6" s="12">
        <v>75</v>
      </c>
      <c r="I6" s="12">
        <v>8</v>
      </c>
      <c r="J6" s="13"/>
      <c r="K6" s="5"/>
      <c r="L6" s="5"/>
      <c r="M6" s="5"/>
      <c r="N6" s="5"/>
      <c r="O6" s="6"/>
      <c r="P6" s="6"/>
      <c r="Q6" s="6"/>
      <c r="R6" s="6"/>
    </row>
    <row hidden="true" r="7">
      <c r="A7" s="7">
        <v>46228</v>
      </c>
      <c r="B7" s="14">
        <v>4542</v>
      </c>
      <c r="C7" s="9">
        <f t="shared" si="0"/>
      </c>
      <c r="D7" s="15">
        <v>0.0577</v>
      </c>
      <c r="E7" s="16">
        <v>0.1028863145493815</v>
      </c>
      <c r="F7" s="15">
        <v>0.0073</v>
      </c>
      <c r="G7" s="15">
        <f>618/5378</f>
      </c>
      <c r="H7" s="14">
        <v>62</v>
      </c>
      <c r="I7" s="12">
        <v>8</v>
      </c>
      <c r="J7" s="13"/>
      <c r="K7" s="5"/>
      <c r="L7" s="5"/>
      <c r="M7" s="5"/>
      <c r="N7" s="5"/>
      <c r="O7" s="6"/>
      <c r="P7" s="6"/>
      <c r="Q7" s="6"/>
      <c r="R7" s="6"/>
    </row>
    <row hidden="true" r="8">
      <c r="A8" s="7">
        <v>46229</v>
      </c>
      <c r="B8" s="12">
        <v>5052</v>
      </c>
      <c r="C8" s="9">
        <f t="shared" si="0"/>
      </c>
      <c r="D8" s="10">
        <v>0.0702</v>
      </c>
      <c r="E8" s="11">
        <v>0.10567238027920127</v>
      </c>
      <c r="F8" s="10">
        <v>0.0061</v>
      </c>
      <c r="G8" s="11">
        <f>644/5954</f>
      </c>
      <c r="H8" s="12">
        <v>63</v>
      </c>
      <c r="I8" s="12">
        <v>8</v>
      </c>
      <c r="J8" s="13"/>
      <c r="K8" s="5"/>
      <c r="L8" s="5"/>
      <c r="M8" s="5"/>
      <c r="N8" s="5"/>
      <c r="O8" s="6"/>
      <c r="P8" s="6"/>
      <c r="Q8" s="6"/>
      <c r="R8" s="6"/>
    </row>
    <row hidden="true" r="9">
      <c r="A9" s="7">
        <v>46230</v>
      </c>
      <c r="B9" s="12">
        <v>1997</v>
      </c>
      <c r="C9" s="9">
        <f t="shared" si="0"/>
      </c>
      <c r="D9" s="15">
        <v>0.07135</v>
      </c>
      <c r="E9" s="16">
        <v>0.12119129438717068</v>
      </c>
      <c r="F9" s="15">
        <v>0.0071</v>
      </c>
      <c r="G9" s="16">
        <v>0.13836669271480836</v>
      </c>
      <c r="H9" s="17">
        <v>66.5</v>
      </c>
      <c r="I9" s="14">
        <v>8</v>
      </c>
      <c r="J9" s="13"/>
      <c r="K9" s="5"/>
      <c r="L9" s="5"/>
      <c r="M9" s="5"/>
      <c r="N9" s="5"/>
      <c r="O9" s="6"/>
      <c r="P9" s="6"/>
      <c r="Q9" s="6"/>
      <c r="R9" s="6"/>
    </row>
    <row hidden="true" r="10">
      <c r="A10" s="7">
        <v>46231</v>
      </c>
      <c r="B10" s="12">
        <v>3302</v>
      </c>
      <c r="C10" s="9">
        <f t="shared" si="0"/>
      </c>
      <c r="D10" s="10">
        <v>0.0743</v>
      </c>
      <c r="E10" s="10">
        <v>0.121</v>
      </c>
      <c r="F10" s="10">
        <v>0.007</v>
      </c>
      <c r="G10" s="11">
        <f>544/3929</f>
      </c>
      <c r="H10" s="12">
        <v>76</v>
      </c>
      <c r="I10" s="12">
        <v>8</v>
      </c>
      <c r="J10" s="13"/>
      <c r="K10" s="5"/>
      <c r="L10" s="5"/>
      <c r="M10" s="5"/>
      <c r="N10" s="5"/>
      <c r="O10" s="6"/>
      <c r="P10" s="6"/>
      <c r="Q10" s="6"/>
      <c r="R10" s="6"/>
    </row>
    <row hidden="true" r="11">
      <c r="A11" s="7">
        <v>46232</v>
      </c>
      <c r="B11" s="14">
        <v>2786</v>
      </c>
      <c r="C11" s="9">
        <f t="shared" si="0"/>
      </c>
      <c r="D11" s="15">
        <v>0.0657</v>
      </c>
      <c r="E11" s="16">
        <v>0.1224937343358396</v>
      </c>
      <c r="F11" s="15">
        <v>0.0086</v>
      </c>
      <c r="G11" s="16">
        <f>524/3407</f>
      </c>
      <c r="H11" s="14">
        <v>72</v>
      </c>
      <c r="I11" s="14">
        <v>8</v>
      </c>
      <c r="J11" s="13"/>
      <c r="K11" s="5"/>
      <c r="L11" s="5"/>
      <c r="M11" s="5"/>
      <c r="N11" s="5"/>
      <c r="O11" s="6"/>
      <c r="P11" s="6"/>
      <c r="Q11" s="6"/>
      <c r="R11" s="6"/>
    </row>
    <row hidden="true" r="12">
      <c r="A12" s="7">
        <v>46233</v>
      </c>
      <c r="B12" s="12">
        <v>2360</v>
      </c>
      <c r="C12" s="9">
        <f t="shared" si="0"/>
      </c>
      <c r="D12" s="10">
        <v>0.0836</v>
      </c>
      <c r="E12" s="10">
        <v>0.106</v>
      </c>
      <c r="F12" s="10">
        <v>0.0072</v>
      </c>
      <c r="G12" s="11">
        <f>402/2784</f>
      </c>
      <c r="H12" s="12">
        <v>70</v>
      </c>
      <c r="I12" s="12">
        <v>8</v>
      </c>
      <c r="J12" s="18"/>
      <c r="K12" s="19"/>
      <c r="L12" s="19"/>
      <c r="M12" s="19"/>
      <c r="N12" s="19"/>
      <c r="O12" s="6"/>
      <c r="P12" s="6"/>
      <c r="Q12" s="6"/>
      <c r="R12" s="6"/>
    </row>
    <row hidden="true" r="13">
      <c r="A13" s="7">
        <v>46234</v>
      </c>
      <c r="B13" s="12">
        <v>2065</v>
      </c>
      <c r="C13" s="9">
        <f t="shared" si="0"/>
      </c>
      <c r="D13" s="15">
        <v>0.0839</v>
      </c>
      <c r="E13" s="15">
        <v>0.1026</v>
      </c>
      <c r="F13" s="15">
        <v>0.0068</v>
      </c>
      <c r="G13" s="15">
        <v>0.1242</v>
      </c>
      <c r="H13" s="14">
        <v>71</v>
      </c>
      <c r="I13" s="14">
        <v>8</v>
      </c>
      <c r="J13" s="18"/>
      <c r="K13" s="19"/>
      <c r="L13" s="19"/>
      <c r="M13" s="19"/>
      <c r="N13" s="19"/>
      <c r="O13" s="6"/>
      <c r="P13" s="6"/>
      <c r="Q13" s="6"/>
      <c r="R13" s="6"/>
    </row>
    <row hidden="true" r="14">
      <c r="A14" s="7">
        <v>46235</v>
      </c>
      <c r="B14" s="20">
        <v>1679</v>
      </c>
      <c r="C14" s="9">
        <f t="shared" si="0"/>
      </c>
      <c r="D14" s="21">
        <v>0.0731</v>
      </c>
      <c r="E14" s="22">
        <v>0.08299595141700405</v>
      </c>
      <c r="F14" s="21">
        <v>0.003</v>
      </c>
      <c r="G14" s="22">
        <f>189/2013</f>
      </c>
      <c r="H14" s="20">
        <v>50</v>
      </c>
      <c r="I14" s="20">
        <v>8</v>
      </c>
      <c r="J14" s="6"/>
      <c r="K14" s="6"/>
      <c r="L14" s="6"/>
      <c r="M14" s="6"/>
      <c r="N14" s="6"/>
      <c r="O14" s="6"/>
      <c r="P14" s="6"/>
      <c r="Q14" s="6"/>
      <c r="R14" s="6"/>
    </row>
    <row hidden="true" r="15">
      <c r="A15" s="7">
        <v>46236</v>
      </c>
      <c r="B15" s="20">
        <v>1766</v>
      </c>
      <c r="C15" s="9">
        <f t="shared" si="0"/>
      </c>
      <c r="D15" s="21">
        <v>0.0854</v>
      </c>
      <c r="E15" s="21">
        <v>0.1106</v>
      </c>
      <c r="F15" s="21">
        <v>0.0056</v>
      </c>
      <c r="G15" s="22">
        <f>0.1215</f>
      </c>
      <c r="H15" s="20">
        <f>(55+42)/2</f>
      </c>
      <c r="I15" s="20">
        <v>8</v>
      </c>
      <c r="J15" s="6"/>
      <c r="K15" s="6"/>
      <c r="L15" s="6"/>
      <c r="M15" s="6"/>
      <c r="N15" s="6"/>
      <c r="O15" s="6"/>
      <c r="P15" s="6"/>
      <c r="Q15" s="6"/>
      <c r="R15" s="6"/>
    </row>
    <row hidden="true" r="16">
      <c r="A16" s="7">
        <v>46237</v>
      </c>
      <c r="B16" s="20">
        <v>712</v>
      </c>
      <c r="C16" s="9">
        <f t="shared" si="0"/>
      </c>
      <c r="D16" s="21">
        <v>0.0682</v>
      </c>
      <c r="E16" s="21">
        <v>0.1137</v>
      </c>
      <c r="F16" s="21">
        <v>0.0084</v>
      </c>
      <c r="G16" s="21">
        <f>92/798</f>
      </c>
      <c r="H16" s="20">
        <v>41</v>
      </c>
      <c r="I16" s="20">
        <v>3.5</v>
      </c>
      <c r="J16" s="6"/>
      <c r="K16" s="6"/>
      <c r="L16" s="6"/>
      <c r="M16" s="6"/>
      <c r="N16" s="6"/>
      <c r="O16" s="6"/>
      <c r="P16" s="6"/>
      <c r="Q16" s="6"/>
      <c r="R16" s="6"/>
    </row>
    <row hidden="true" r="17">
      <c r="A17" s="7">
        <v>46238</v>
      </c>
      <c r="B17" s="20">
        <v>1828</v>
      </c>
      <c r="C17" s="9">
        <f t="shared" si="0"/>
      </c>
      <c r="D17" s="21">
        <v>0.0871</v>
      </c>
      <c r="E17" s="21">
        <v>0.1071</v>
      </c>
      <c r="F17" s="21">
        <v>0.0104</v>
      </c>
      <c r="G17" s="22">
        <f>236/2142</f>
      </c>
      <c r="H17" s="20">
        <v>45</v>
      </c>
      <c r="I17" s="20">
        <v>8</v>
      </c>
      <c r="J17" s="6"/>
      <c r="K17" s="6"/>
      <c r="L17" s="6"/>
      <c r="M17" s="6"/>
      <c r="N17" s="6"/>
      <c r="O17" s="6"/>
      <c r="P17" s="6"/>
      <c r="Q17" s="6"/>
      <c r="R17" s="6"/>
    </row>
    <row hidden="true" r="18">
      <c r="A18" s="7">
        <v>46239</v>
      </c>
      <c r="B18" s="23">
        <f>809+457</f>
      </c>
      <c r="C18" s="9">
        <f t="shared" si="0"/>
      </c>
      <c r="D18" s="22">
        <v>0.05375</v>
      </c>
      <c r="E18" s="21">
        <v>0.1388</v>
      </c>
      <c r="F18" s="21">
        <v>0.00685</v>
      </c>
      <c r="G18" s="22">
        <v>0.1503923234039111</v>
      </c>
      <c r="H18" s="20">
        <v>72</v>
      </c>
      <c r="I18" s="20">
        <v>8</v>
      </c>
      <c r="J18" s="6"/>
      <c r="K18" s="6"/>
      <c r="L18" s="6"/>
      <c r="M18" s="6"/>
      <c r="N18" s="6"/>
      <c r="O18" s="6"/>
      <c r="P18" s="6"/>
      <c r="Q18" s="6"/>
      <c r="R18" s="6"/>
    </row>
    <row hidden="true" r="19">
      <c r="A19" s="7">
        <v>46240</v>
      </c>
      <c r="B19" s="20">
        <v>1712</v>
      </c>
      <c r="C19" s="9">
        <f t="shared" si="0"/>
      </c>
      <c r="D19" s="21">
        <v>0.0748</v>
      </c>
      <c r="E19" s="21">
        <v>0.1389</v>
      </c>
      <c r="F19" s="21">
        <v>0.0088</v>
      </c>
      <c r="G19" s="22">
        <f>269/2071</f>
      </c>
      <c r="H19" s="20">
        <v>59</v>
      </c>
      <c r="I19" s="20">
        <v>8</v>
      </c>
      <c r="J19" s="6"/>
      <c r="K19" s="6"/>
      <c r="L19" s="6"/>
      <c r="M19" s="6"/>
      <c r="N19" s="6"/>
      <c r="O19" s="6"/>
      <c r="P19" s="6"/>
      <c r="Q19" s="6"/>
      <c r="R19" s="6"/>
    </row>
    <row hidden="true" r="20">
      <c r="A20" s="7">
        <v>46241</v>
      </c>
      <c r="B20" s="20">
        <v>1016</v>
      </c>
      <c r="C20" s="9">
        <f t="shared" si="0"/>
      </c>
      <c r="D20" s="21">
        <v>0.0645</v>
      </c>
      <c r="E20" s="22">
        <v>0.17295873573309922</v>
      </c>
      <c r="F20" s="21">
        <v>0.003</v>
      </c>
      <c r="G20" s="22">
        <f>198/1207</f>
      </c>
      <c r="H20" s="20">
        <v>68</v>
      </c>
      <c r="I20" s="20">
        <v>4</v>
      </c>
      <c r="J20" s="6"/>
      <c r="K20" s="6"/>
      <c r="L20" s="6"/>
      <c r="M20" s="6"/>
      <c r="N20" s="6"/>
      <c r="O20" s="6"/>
      <c r="P20" s="6"/>
      <c r="Q20" s="6"/>
      <c r="R20" s="6"/>
    </row>
    <row hidden="true" r="21">
      <c r="A21" s="7">
        <v>46242</v>
      </c>
      <c r="B21" s="20">
        <v>1505</v>
      </c>
      <c r="C21" s="9">
        <f t="shared" si="0"/>
      </c>
      <c r="D21" s="21">
        <v>0.0699</v>
      </c>
      <c r="E21" s="22">
        <v>0.12231100184388445</v>
      </c>
      <c r="F21" s="21">
        <v>0.0047</v>
      </c>
      <c r="G21" s="22">
        <f>210/1706</f>
      </c>
      <c r="H21" s="20">
        <v>54</v>
      </c>
      <c r="I21" s="20">
        <v>4</v>
      </c>
      <c r="J21" s="6"/>
      <c r="K21" s="6"/>
      <c r="L21" s="6"/>
      <c r="M21" s="6"/>
      <c r="N21" s="6"/>
      <c r="O21" s="6"/>
      <c r="P21" s="6"/>
      <c r="Q21" s="6"/>
      <c r="R21" s="6"/>
    </row>
    <row hidden="true" r="22">
      <c r="A22" s="7">
        <v>46243</v>
      </c>
      <c r="B22" s="20">
        <v>1951</v>
      </c>
      <c r="C22" s="9">
        <f t="shared" si="0"/>
      </c>
      <c r="D22" s="21">
        <v>0.0575</v>
      </c>
      <c r="E22" s="21">
        <v>0.1656</v>
      </c>
      <c r="F22" s="21">
        <v>0.0062</v>
      </c>
      <c r="G22" s="22">
        <f>345/2204</f>
      </c>
      <c r="H22" s="20">
        <v>61</v>
      </c>
      <c r="I22" s="20">
        <v>4</v>
      </c>
      <c r="J22" s="6"/>
      <c r="K22" s="6"/>
      <c r="L22" s="6"/>
      <c r="M22" s="6"/>
      <c r="N22" s="6"/>
      <c r="O22" s="6"/>
      <c r="P22" s="6"/>
      <c r="Q22" s="6"/>
      <c r="R22" s="6"/>
    </row>
    <row hidden="true" r="23">
      <c r="A23" s="7">
        <v>46244</v>
      </c>
      <c r="B23" s="20">
        <v>2657</v>
      </c>
      <c r="C23" s="9">
        <f t="shared" si="0"/>
      </c>
      <c r="D23" s="21">
        <v>0.0314</v>
      </c>
      <c r="E23" s="21">
        <v>0.144</v>
      </c>
      <c r="F23" s="21">
        <v>0.006</v>
      </c>
      <c r="G23" s="22">
        <f>450/3028</f>
      </c>
      <c r="H23" s="20">
        <v>66</v>
      </c>
      <c r="I23" s="20">
        <v>4</v>
      </c>
      <c r="J23" s="6"/>
      <c r="K23" s="6"/>
      <c r="L23" s="6"/>
      <c r="M23" s="6"/>
      <c r="N23" s="6"/>
      <c r="O23" s="6"/>
      <c r="P23" s="6"/>
      <c r="Q23" s="6"/>
      <c r="R23" s="6"/>
    </row>
    <row hidden="true" r="24">
      <c r="A24" s="7">
        <v>46245</v>
      </c>
      <c r="B24" s="20">
        <v>3041</v>
      </c>
      <c r="C24" s="9">
        <f t="shared" si="0"/>
      </c>
      <c r="D24" s="21">
        <v>0.0575</v>
      </c>
      <c r="E24" s="21">
        <v>0.1437</v>
      </c>
      <c r="F24" s="21">
        <v>0.0076</v>
      </c>
      <c r="G24" s="22">
        <f>486/3444</f>
      </c>
      <c r="H24" s="20">
        <v>55</v>
      </c>
      <c r="I24" s="20">
        <v>5</v>
      </c>
      <c r="J24" s="6"/>
      <c r="K24" s="6"/>
      <c r="L24" s="6"/>
      <c r="M24" s="6"/>
      <c r="N24" s="6"/>
      <c r="O24" s="6"/>
      <c r="P24" s="6"/>
      <c r="Q24" s="6"/>
      <c r="R24" s="6"/>
    </row>
    <row hidden="true" r="25">
      <c r="A25" s="7">
        <v>46246</v>
      </c>
      <c r="B25" s="20">
        <v>2589</v>
      </c>
      <c r="C25" s="9">
        <f t="shared" si="0"/>
      </c>
      <c r="D25" s="21">
        <v>0.0541</v>
      </c>
      <c r="E25" s="21">
        <v>0.1501</v>
      </c>
      <c r="F25" s="21">
        <v>0.0073</v>
      </c>
      <c r="G25" s="22">
        <f>452/2996</f>
      </c>
      <c r="H25" s="20">
        <v>66</v>
      </c>
      <c r="I25" s="20">
        <v>5</v>
      </c>
      <c r="J25" s="6"/>
      <c r="K25" s="6"/>
      <c r="L25" s="6"/>
      <c r="M25" s="6"/>
      <c r="N25" s="6"/>
      <c r="O25" s="6"/>
      <c r="P25" s="6"/>
      <c r="Q25" s="6"/>
      <c r="R25" s="6"/>
    </row>
    <row hidden="true" r="26">
      <c r="A26" s="7">
        <v>46247</v>
      </c>
      <c r="B26" s="20">
        <v>1755</v>
      </c>
      <c r="C26" s="9">
        <f t="shared" si="0"/>
      </c>
      <c r="D26" s="21">
        <v>0.0606</v>
      </c>
      <c r="E26" s="22">
        <v>0.17159450897571277</v>
      </c>
      <c r="F26" s="21">
        <v>0.0068</v>
      </c>
      <c r="G26" s="22">
        <f>327/1995</f>
      </c>
      <c r="H26" s="20">
        <v>60</v>
      </c>
      <c r="I26" s="20">
        <v>4</v>
      </c>
      <c r="J26" s="6"/>
      <c r="K26" s="6"/>
      <c r="L26" s="6"/>
      <c r="M26" s="6"/>
      <c r="N26" s="6"/>
      <c r="O26" s="6"/>
      <c r="P26" s="6"/>
      <c r="Q26" s="6"/>
      <c r="R26" s="6"/>
    </row>
    <row hidden="true" r="27">
      <c r="A27" s="24">
        <v>46248</v>
      </c>
      <c r="B27" s="25">
        <v>2350</v>
      </c>
      <c r="C27" s="9">
        <f t="shared" si="0"/>
      </c>
      <c r="D27" s="26">
        <v>0.0399</v>
      </c>
      <c r="E27" s="27">
        <v>0.2183320220298977</v>
      </c>
      <c r="F27" s="26">
        <v>0.0102</v>
      </c>
      <c r="G27" s="27">
        <f>497/2668</f>
      </c>
      <c r="H27" s="25">
        <v>78</v>
      </c>
      <c r="I27" s="20">
        <v>5</v>
      </c>
      <c r="J27" s="6"/>
      <c r="K27" s="6"/>
      <c r="L27" s="6"/>
      <c r="M27" s="6"/>
      <c r="N27" s="6"/>
      <c r="O27" s="6"/>
      <c r="P27" s="6"/>
      <c r="Q27" s="6"/>
      <c r="R27" s="6"/>
    </row>
    <row hidden="true" r="28">
      <c r="A28" s="7">
        <v>46249</v>
      </c>
      <c r="B28" s="25">
        <v>3302</v>
      </c>
      <c r="C28" s="9">
        <f t="shared" si="0"/>
      </c>
      <c r="D28" s="26">
        <v>0.0418</v>
      </c>
      <c r="E28" s="27">
        <v>0.24274852154322726</v>
      </c>
      <c r="F28" s="26">
        <v>0.0079</v>
      </c>
      <c r="G28" s="27">
        <f>779/3719</f>
      </c>
      <c r="H28" s="25">
        <v>80</v>
      </c>
      <c r="I28" s="20">
        <v>5</v>
      </c>
      <c r="J28" s="6"/>
      <c r="K28" s="6"/>
      <c r="L28" s="6"/>
      <c r="M28" s="6"/>
      <c r="N28" s="6"/>
      <c r="O28" s="6"/>
      <c r="P28" s="6"/>
      <c r="Q28" s="6"/>
      <c r="R28" s="6"/>
    </row>
    <row hidden="true" r="29">
      <c r="A29" s="7">
        <v>46250</v>
      </c>
      <c r="B29" s="25">
        <v>2796</v>
      </c>
      <c r="C29" s="9">
        <f t="shared" si="0"/>
      </c>
      <c r="D29" s="26">
        <v>0.0595</v>
      </c>
      <c r="E29" s="27">
        <v>0.15096217650962176</v>
      </c>
      <c r="F29" s="26">
        <v>0.0097</v>
      </c>
      <c r="G29" s="27">
        <f>555/3145</f>
      </c>
      <c r="H29" s="25">
        <v>67</v>
      </c>
      <c r="I29" s="25">
        <v>5</v>
      </c>
      <c r="J29" s="6"/>
      <c r="K29" s="6"/>
      <c r="L29" s="6"/>
      <c r="M29" s="6"/>
      <c r="N29" s="6"/>
      <c r="O29" s="6"/>
      <c r="P29" s="6"/>
      <c r="Q29" s="6"/>
      <c r="R29" s="6"/>
    </row>
    <row hidden="true" r="30">
      <c r="A30" s="7">
        <v>46251</v>
      </c>
      <c r="B30" s="25">
        <v>4813</v>
      </c>
      <c r="C30" s="9">
        <f t="shared" si="0"/>
      </c>
      <c r="D30" s="26">
        <v>0.0578</v>
      </c>
      <c r="E30" s="27">
        <v>0.12898330804248861</v>
      </c>
      <c r="F30" s="26">
        <v>0.0075</v>
      </c>
      <c r="G30" s="27">
        <f>940/5526</f>
      </c>
      <c r="H30" s="25">
        <v>67</v>
      </c>
      <c r="I30" s="25">
        <v>5</v>
      </c>
      <c r="J30" s="6"/>
      <c r="K30" s="6"/>
      <c r="L30" s="6"/>
      <c r="M30" s="6"/>
      <c r="N30" s="6"/>
      <c r="O30" s="6"/>
      <c r="P30" s="6"/>
      <c r="Q30" s="6"/>
      <c r="R30" s="6"/>
    </row>
    <row hidden="true" r="31">
      <c r="A31" s="7">
        <v>46252</v>
      </c>
      <c r="B31" s="25">
        <v>2107</v>
      </c>
      <c r="C31" s="9">
        <f t="shared" si="0"/>
      </c>
      <c r="D31" s="26">
        <v>0.0474</v>
      </c>
      <c r="E31" s="27">
        <v>0.13964757709251102</v>
      </c>
      <c r="F31" s="26">
        <v>0.0038</v>
      </c>
      <c r="G31" s="27">
        <f>416/2354</f>
      </c>
      <c r="H31" s="25">
        <v>69</v>
      </c>
      <c r="I31" s="25">
        <v>4</v>
      </c>
      <c r="J31" s="6"/>
      <c r="K31" s="6"/>
      <c r="L31" s="6"/>
      <c r="M31" s="6"/>
      <c r="N31" s="6"/>
      <c r="O31" s="6"/>
      <c r="P31" s="6"/>
      <c r="Q31" s="6"/>
      <c r="R31" s="6"/>
    </row>
    <row hidden="true" r="32">
      <c r="A32" s="7">
        <v>46253</v>
      </c>
      <c r="B32" s="25">
        <v>1822</v>
      </c>
      <c r="C32" s="9">
        <f t="shared" si="0"/>
      </c>
      <c r="D32" s="26">
        <v>0.0499</v>
      </c>
      <c r="E32" s="27">
        <v>0.16842634489693314</v>
      </c>
      <c r="F32" s="26">
        <v>0.0049</v>
      </c>
      <c r="G32" s="27">
        <f>357/2084</f>
      </c>
      <c r="H32" s="25">
        <v>68</v>
      </c>
      <c r="I32" s="25">
        <v>4</v>
      </c>
      <c r="J32" s="6"/>
      <c r="K32" s="6"/>
      <c r="L32" s="6"/>
      <c r="M32" s="6"/>
      <c r="N32" s="6"/>
      <c r="O32" s="6"/>
      <c r="P32" s="6"/>
      <c r="Q32" s="6"/>
      <c r="R32" s="6"/>
    </row>
    <row hidden="true" r="33">
      <c r="A33" s="7">
        <v>46254</v>
      </c>
      <c r="B33" s="25">
        <v>1935</v>
      </c>
      <c r="C33" s="9">
        <f t="shared" si="0"/>
      </c>
      <c r="D33" s="26">
        <v>0.0532</v>
      </c>
      <c r="E33" s="27">
        <v>0.14521452145214522</v>
      </c>
      <c r="F33" s="26">
        <v>0.0052</v>
      </c>
      <c r="G33" s="27">
        <f>378/2212</f>
      </c>
      <c r="H33" s="25">
        <v>68</v>
      </c>
      <c r="I33" s="25">
        <v>4</v>
      </c>
      <c r="J33" s="6"/>
      <c r="K33" s="6"/>
      <c r="L33" s="6"/>
      <c r="M33" s="6"/>
      <c r="N33" s="6"/>
      <c r="O33" s="6"/>
      <c r="P33" s="6"/>
      <c r="Q33" s="6"/>
      <c r="R33" s="6"/>
    </row>
    <row hidden="true" r="34">
      <c r="A34" s="7">
        <v>46255</v>
      </c>
      <c r="B34" s="25">
        <v>1548</v>
      </c>
      <c r="C34" s="9">
        <f t="shared" si="0"/>
      </c>
      <c r="D34" s="26">
        <v>0.0664</v>
      </c>
      <c r="E34" s="27">
        <v>0.1081242532855436</v>
      </c>
      <c r="F34" s="26">
        <v>0.0084</v>
      </c>
      <c r="G34" s="27">
        <f>277/1745</f>
      </c>
      <c r="H34" s="25">
        <v>58</v>
      </c>
      <c r="I34" s="25">
        <v>3</v>
      </c>
      <c r="J34" s="6"/>
      <c r="K34" s="6"/>
      <c r="L34" s="6"/>
      <c r="M34" s="6"/>
      <c r="N34" s="6"/>
      <c r="O34" s="6"/>
      <c r="P34" s="6"/>
      <c r="Q34" s="6"/>
      <c r="R34" s="6"/>
    </row>
    <row hidden="true" r="35">
      <c r="A35" s="7">
        <v>46256</v>
      </c>
      <c r="B35" s="25">
        <v>1654</v>
      </c>
      <c r="C35" s="9">
        <f t="shared" si="0"/>
      </c>
      <c r="D35" s="26">
        <v>0.0783</v>
      </c>
      <c r="E35" s="27">
        <v>0.09125893347993402</v>
      </c>
      <c r="F35" s="26">
        <v>0.006</v>
      </c>
      <c r="G35" s="27">
        <f>270/1912</f>
      </c>
      <c r="H35" s="25">
        <v>57</v>
      </c>
      <c r="I35" s="25">
        <v>4</v>
      </c>
      <c r="J35" s="6"/>
      <c r="K35" s="6"/>
      <c r="L35" s="6"/>
      <c r="M35" s="6"/>
      <c r="N35" s="6"/>
      <c r="O35" s="6"/>
      <c r="P35" s="6"/>
      <c r="Q35" s="6"/>
      <c r="R35" s="6"/>
    </row>
    <row hidden="true" r="36">
      <c r="A36" s="7">
        <v>46257</v>
      </c>
      <c r="B36" s="25">
        <v>1408</v>
      </c>
      <c r="C36" s="9">
        <f t="shared" si="0"/>
      </c>
      <c r="D36" s="26">
        <v>0.0533</v>
      </c>
      <c r="E36" s="27">
        <v>0.12308715901530273</v>
      </c>
      <c r="F36" s="26">
        <v>0.0085</v>
      </c>
      <c r="G36" s="27">
        <f>243/1574</f>
      </c>
      <c r="H36" s="25">
        <v>57</v>
      </c>
      <c r="I36" s="25">
        <v>4</v>
      </c>
      <c r="J36" s="6"/>
      <c r="K36" s="6"/>
      <c r="L36" s="6"/>
      <c r="M36" s="6"/>
      <c r="N36" s="6"/>
      <c r="O36" s="6"/>
      <c r="P36" s="6"/>
      <c r="Q36" s="6"/>
      <c r="R36" s="6"/>
    </row>
    <row hidden="true" r="37">
      <c r="A37" s="7">
        <v>46258</v>
      </c>
      <c r="B37" s="25">
        <v>1540</v>
      </c>
      <c r="C37" s="9">
        <f t="shared" si="0"/>
      </c>
      <c r="D37" s="26">
        <v>0.0571</v>
      </c>
      <c r="E37" s="27">
        <v>0.1204250295159386</v>
      </c>
      <c r="F37" s="26">
        <v>0.0091</v>
      </c>
      <c r="G37" s="27">
        <f>261/1774</f>
      </c>
      <c r="H37" s="25">
        <v>53</v>
      </c>
      <c r="I37" s="25">
        <v>4</v>
      </c>
      <c r="J37" s="6"/>
      <c r="K37" s="6"/>
      <c r="L37" s="6"/>
      <c r="M37" s="6"/>
      <c r="N37" s="6"/>
      <c r="O37" s="6"/>
      <c r="P37" s="6"/>
      <c r="Q37" s="6"/>
      <c r="R37" s="6"/>
    </row>
    <row hidden="true" r="38">
      <c r="A38" s="7">
        <v>46259</v>
      </c>
      <c r="B38" s="25">
        <v>1413</v>
      </c>
      <c r="C38" s="9">
        <f t="shared" si="0"/>
      </c>
      <c r="D38" s="26">
        <v>0.0535</v>
      </c>
      <c r="E38" s="27">
        <v>0.1569806279225117</v>
      </c>
      <c r="F38" s="26">
        <v>0.0012</v>
      </c>
      <c r="G38" s="27">
        <f>268/1614</f>
      </c>
      <c r="H38" s="25">
        <v>62</v>
      </c>
      <c r="I38" s="25">
        <v>4</v>
      </c>
      <c r="J38" s="6"/>
      <c r="K38" s="6"/>
      <c r="L38" s="6"/>
      <c r="M38" s="6"/>
      <c r="N38" s="6"/>
      <c r="O38" s="6"/>
      <c r="P38" s="6"/>
      <c r="Q38" s="6"/>
      <c r="R38" s="6"/>
    </row>
    <row hidden="true" r="39">
      <c r="A39" s="7">
        <v>46260</v>
      </c>
      <c r="B39" s="25">
        <v>1379</v>
      </c>
      <c r="C39" s="9">
        <f t="shared" si="0"/>
      </c>
      <c r="D39" s="26">
        <v>0.0559</v>
      </c>
      <c r="E39" s="27">
        <v>0.13114754098360656</v>
      </c>
      <c r="F39" s="26">
        <v>0.008</v>
      </c>
      <c r="G39" s="27">
        <f>290/1604</f>
      </c>
      <c r="H39" s="25">
        <v>69</v>
      </c>
      <c r="I39" s="25">
        <v>4</v>
      </c>
      <c r="J39" s="6"/>
      <c r="K39" s="6"/>
      <c r="L39" s="6"/>
      <c r="M39" s="6"/>
      <c r="N39" s="6"/>
      <c r="O39" s="6"/>
      <c r="P39" s="6"/>
      <c r="Q39" s="6"/>
      <c r="R39" s="6"/>
    </row>
    <row hidden="true" r="40">
      <c r="A40" s="7">
        <v>46261</v>
      </c>
      <c r="B40" s="25">
        <v>1224</v>
      </c>
      <c r="C40" s="9">
        <f t="shared" si="0"/>
      </c>
      <c r="D40" s="26">
        <v>0.0392</v>
      </c>
      <c r="E40" s="27">
        <v>0.216793893129771</v>
      </c>
      <c r="F40" s="26">
        <v>0.0082</v>
      </c>
      <c r="G40" s="27">
        <f>288/1400</f>
      </c>
      <c r="H40" s="25">
        <v>80</v>
      </c>
      <c r="I40" s="25">
        <v>4</v>
      </c>
      <c r="J40" s="6"/>
      <c r="K40" s="6"/>
      <c r="L40" s="6"/>
      <c r="M40" s="6"/>
      <c r="N40" s="6"/>
      <c r="O40" s="6"/>
      <c r="P40" s="6"/>
      <c r="Q40" s="6"/>
      <c r="R40" s="6"/>
    </row>
    <row hidden="true" r="41">
      <c r="A41" s="7">
        <v>46262</v>
      </c>
      <c r="B41" s="25">
        <v>1289</v>
      </c>
      <c r="C41" s="9">
        <f t="shared" si="0"/>
      </c>
      <c r="D41" s="26">
        <v>0.0489</v>
      </c>
      <c r="E41" s="27">
        <v>0.20622286541244572</v>
      </c>
      <c r="F41" s="26">
        <v>0.0047</v>
      </c>
      <c r="G41" s="27">
        <f>284/1477</f>
      </c>
      <c r="H41" s="25">
        <v>72</v>
      </c>
      <c r="I41" s="25">
        <v>4</v>
      </c>
      <c r="J41" s="6"/>
      <c r="K41" s="6"/>
      <c r="L41" s="6"/>
      <c r="M41" s="6"/>
      <c r="N41" s="6"/>
      <c r="O41" s="6"/>
      <c r="P41" s="6"/>
      <c r="Q41" s="6"/>
      <c r="R41" s="6"/>
    </row>
    <row hidden="true" r="42">
      <c r="A42" s="7">
        <v>46263</v>
      </c>
      <c r="B42" s="25">
        <v>1892</v>
      </c>
      <c r="C42" s="9">
        <f t="shared" si="0"/>
      </c>
      <c r="D42" s="26">
        <v>0.0579</v>
      </c>
      <c r="E42" s="27">
        <v>0.17258382642998027</v>
      </c>
      <c r="F42" s="26">
        <v>0.0106</v>
      </c>
      <c r="G42" s="27">
        <f>341/2123</f>
      </c>
      <c r="H42" s="25">
        <v>56</v>
      </c>
      <c r="I42" s="25">
        <v>4</v>
      </c>
      <c r="J42" s="6"/>
      <c r="K42" s="6"/>
      <c r="L42" s="6"/>
      <c r="M42" s="6"/>
      <c r="N42" s="6"/>
      <c r="O42" s="6"/>
      <c r="P42" s="6"/>
      <c r="Q42" s="6"/>
      <c r="R42" s="6"/>
    </row>
    <row hidden="true" r="43">
      <c r="A43" s="7">
        <v>46264</v>
      </c>
      <c r="B43" s="25">
        <v>1466</v>
      </c>
      <c r="C43" s="9">
        <f t="shared" si="0"/>
      </c>
      <c r="D43" s="26">
        <v>0.0442</v>
      </c>
      <c r="E43" s="27">
        <v>0.2161654135338346</v>
      </c>
      <c r="F43" s="26">
        <v>0.0082</v>
      </c>
      <c r="G43" s="26">
        <f>302/1648</f>
      </c>
      <c r="H43" s="25">
        <v>61</v>
      </c>
      <c r="I43" s="25">
        <v>4</v>
      </c>
      <c r="J43" s="6"/>
      <c r="K43" s="6"/>
      <c r="L43" s="6"/>
      <c r="M43" s="6"/>
      <c r="N43" s="6"/>
      <c r="O43" s="6"/>
      <c r="P43" s="6"/>
      <c r="Q43" s="6"/>
      <c r="R43" s="6"/>
    </row>
    <row hidden="true" r="44">
      <c r="A44" s="7">
        <v>46265</v>
      </c>
      <c r="B44" s="28">
        <v>1207.5</v>
      </c>
      <c r="C44" s="9">
        <f t="shared" si="0"/>
      </c>
      <c r="D44" s="27">
        <v>0.058800000000000005</v>
      </c>
      <c r="E44" s="27">
        <v>0.1504424778761062</v>
      </c>
      <c r="F44" s="26">
        <v>0.00575</v>
      </c>
      <c r="G44" s="27">
        <v>0.148685717730753</v>
      </c>
      <c r="H44" s="25">
        <v>62</v>
      </c>
      <c r="I44" s="25">
        <v>7</v>
      </c>
      <c r="J44" s="6"/>
      <c r="K44" s="6"/>
      <c r="L44" s="6"/>
      <c r="M44" s="6"/>
      <c r="N44" s="6"/>
      <c r="O44" s="6"/>
      <c r="P44" s="6"/>
      <c r="Q44" s="6"/>
      <c r="R44" s="6"/>
    </row>
    <row hidden="true" r="45">
      <c r="A45" s="7">
        <v>46266</v>
      </c>
      <c r="B45" s="25">
        <v>1920</v>
      </c>
      <c r="C45" s="9">
        <f t="shared" si="0"/>
      </c>
      <c r="D45" s="26">
        <v>0.0604</v>
      </c>
      <c r="E45" s="27">
        <v>0.11534839924670433</v>
      </c>
      <c r="F45" s="26">
        <v>0.0083</v>
      </c>
      <c r="G45" s="27">
        <f>311/2277</f>
      </c>
      <c r="H45" s="25">
        <v>60</v>
      </c>
      <c r="I45" s="25">
        <v>7</v>
      </c>
      <c r="J45" s="6"/>
      <c r="K45" s="6"/>
      <c r="L45" s="6"/>
      <c r="M45" s="6"/>
      <c r="N45" s="6"/>
      <c r="O45" s="6"/>
      <c r="P45" s="6"/>
      <c r="Q45" s="6"/>
      <c r="R45" s="6"/>
    </row>
    <row hidden="true" r="46">
      <c r="A46" s="7">
        <v>46267</v>
      </c>
      <c r="B46" s="25">
        <v>1771</v>
      </c>
      <c r="C46" s="9">
        <f t="shared" si="0"/>
      </c>
      <c r="D46" s="26">
        <v>0.0729</v>
      </c>
      <c r="E46" s="27">
        <v>0.11134127395132055</v>
      </c>
      <c r="F46" s="26">
        <v>0.0079</v>
      </c>
      <c r="G46" s="27">
        <f>272/2060</f>
      </c>
      <c r="H46" s="25">
        <v>56</v>
      </c>
      <c r="I46" s="25">
        <v>7</v>
      </c>
      <c r="J46" s="6"/>
      <c r="K46" s="6"/>
      <c r="L46" s="6"/>
      <c r="M46" s="6"/>
      <c r="N46" s="6"/>
      <c r="O46" s="6"/>
      <c r="P46" s="6"/>
      <c r="Q46" s="6"/>
      <c r="R46" s="6"/>
    </row>
    <row hidden="true" r="47">
      <c r="A47" s="7">
        <v>46268</v>
      </c>
      <c r="B47" s="25">
        <v>1465</v>
      </c>
      <c r="C47" s="9">
        <f t="shared" si="0"/>
      </c>
      <c r="D47" s="26">
        <v>0.0522</v>
      </c>
      <c r="E47" s="27">
        <v>0.1376440460947503</v>
      </c>
      <c r="F47" s="26">
        <v>0.0048</v>
      </c>
      <c r="G47" s="27">
        <f>236/1679</f>
      </c>
      <c r="H47" s="25">
        <v>58</v>
      </c>
      <c r="I47" s="25">
        <v>6</v>
      </c>
      <c r="J47" s="6"/>
      <c r="K47" s="6"/>
      <c r="L47" s="6"/>
      <c r="M47" s="6"/>
      <c r="N47" s="6"/>
      <c r="O47" s="6"/>
      <c r="P47" s="6"/>
      <c r="Q47" s="6"/>
      <c r="R47" s="6"/>
    </row>
    <row r="48">
      <c r="A48" s="7">
        <v>46269</v>
      </c>
      <c r="B48" s="29">
        <v>435</v>
      </c>
      <c r="C48" s="9">
        <f t="shared" si="0"/>
      </c>
      <c r="D48" s="30">
        <v>0.0459</v>
      </c>
      <c r="E48" s="27">
        <v>0.11428571428571428</v>
      </c>
      <c r="F48" s="30">
        <v>0.0115</v>
      </c>
      <c r="G48" s="31">
        <f>58/511</f>
      </c>
      <c r="H48" s="29">
        <v>41</v>
      </c>
      <c r="I48" s="29">
        <v>2.5</v>
      </c>
      <c r="J48" s="6"/>
      <c r="K48" s="6"/>
      <c r="L48" s="6"/>
      <c r="M48" s="6"/>
      <c r="N48" s="6"/>
      <c r="O48" s="6"/>
      <c r="P48" s="6"/>
      <c r="Q48" s="6"/>
      <c r="R48" s="6"/>
    </row>
    <row hidden="true" r="49">
      <c r="A49" s="7">
        <v>46270</v>
      </c>
      <c r="B49" s="6"/>
      <c r="C49" s="9">
        <f t="shared" si="0"/>
      </c>
      <c r="D49" s="27"/>
      <c r="E49" s="27"/>
      <c r="F49" s="27"/>
      <c r="G49" s="2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</row>
    <row hidden="true" r="50">
      <c r="A50" s="7">
        <v>46271</v>
      </c>
      <c r="B50" s="6"/>
      <c r="C50" s="9">
        <f t="shared" si="0"/>
      </c>
      <c r="D50" s="27"/>
      <c r="E50" s="27"/>
      <c r="F50" s="27"/>
      <c r="G50" s="2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</row>
    <row hidden="true" r="51">
      <c r="A51" s="6"/>
      <c r="B51" s="6"/>
      <c r="C51" s="28"/>
      <c r="D51" s="27"/>
      <c r="E51" s="27"/>
      <c r="F51" s="26"/>
      <c r="G51" s="2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</row>
    <row r="52">
      <c r="A52" s="6"/>
      <c r="B52" s="6"/>
      <c r="C52" s="28"/>
      <c r="D52" s="27"/>
      <c r="E52" s="27"/>
      <c r="F52" s="27"/>
      <c r="G52" s="2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</row>
    <row r="53">
      <c r="A53" s="6"/>
      <c r="B53" s="28"/>
      <c r="C53" s="28"/>
      <c r="D53" s="27"/>
      <c r="E53" s="27"/>
      <c r="F53" s="27"/>
      <c r="G53" s="27"/>
      <c r="H53" s="28"/>
      <c r="I53" s="6"/>
      <c r="J53" s="6"/>
      <c r="K53" s="6"/>
      <c r="L53" s="6"/>
      <c r="M53" s="6"/>
      <c r="N53" s="6"/>
      <c r="O53" s="6"/>
      <c r="P53" s="6"/>
      <c r="Q53" s="6"/>
      <c r="R53" s="6"/>
    </row>
    <row r="54">
      <c r="A54" s="6"/>
      <c r="B54" s="6"/>
      <c r="C54" s="6"/>
      <c r="D54" s="27"/>
      <c r="E54" s="6"/>
      <c r="F54" s="27"/>
      <c r="G54" s="2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</row>
    <row r="55">
      <c r="A55" s="6"/>
      <c r="B55" s="25"/>
      <c r="C55" s="28"/>
      <c r="D55" s="26"/>
      <c r="E55" s="27"/>
      <c r="F55" s="26"/>
      <c r="G55" s="27"/>
      <c r="H55" s="25"/>
      <c r="I55" s="6"/>
      <c r="J55" s="6"/>
      <c r="K55" s="6"/>
      <c r="L55" s="6"/>
      <c r="M55" s="6"/>
      <c r="N55" s="6"/>
      <c r="O55" s="6"/>
      <c r="P55" s="6"/>
      <c r="Q55" s="6"/>
      <c r="R55" s="6"/>
    </row>
    <row r="56">
      <c r="A56" s="6"/>
      <c r="B56" s="25"/>
      <c r="C56" s="28"/>
      <c r="D56" s="26"/>
      <c r="E56" s="27"/>
      <c r="F56" s="26"/>
      <c r="G56" s="27"/>
      <c r="H56" s="25"/>
      <c r="I56" s="6"/>
      <c r="J56" s="6"/>
      <c r="K56" s="6"/>
      <c r="L56" s="6"/>
      <c r="M56" s="6"/>
      <c r="N56" s="6"/>
      <c r="O56" s="6"/>
      <c r="P56" s="6"/>
      <c r="Q56" s="6"/>
      <c r="R56" s="6"/>
    </row>
    <row r="57">
      <c r="A57" s="6"/>
      <c r="B57" s="6"/>
      <c r="C57" s="28"/>
      <c r="D57" s="27"/>
      <c r="E57" s="27"/>
      <c r="F57" s="27"/>
      <c r="G57" s="2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</row>
    <row r="58">
      <c r="A58" s="6"/>
      <c r="B58" s="6"/>
      <c r="C58" s="28"/>
      <c r="D58" s="27"/>
      <c r="E58" s="27"/>
      <c r="F58" s="27"/>
      <c r="G58" s="2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</row>
    <row r="59">
      <c r="A59" s="6"/>
      <c r="B59" s="6"/>
      <c r="C59" s="28"/>
      <c r="D59" s="27"/>
      <c r="E59" s="27"/>
      <c r="F59" s="27"/>
      <c r="G59" s="2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</row>
    <row r="60">
      <c r="A60" s="6"/>
      <c r="B60" s="6"/>
      <c r="C60" s="28"/>
      <c r="D60" s="27"/>
      <c r="E60" s="27"/>
      <c r="F60" s="27"/>
      <c r="G60" s="2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</row>
    <row r="61">
      <c r="A61" s="6"/>
      <c r="B61" s="6"/>
      <c r="C61" s="28"/>
      <c r="D61" s="27"/>
      <c r="E61" s="27"/>
      <c r="F61" s="27"/>
      <c r="G61" s="2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</row>
    <row r="62">
      <c r="A62" s="6"/>
      <c r="B62" s="6"/>
      <c r="C62" s="28"/>
      <c r="D62" s="27"/>
      <c r="E62" s="27"/>
      <c r="F62" s="27"/>
      <c r="G62" s="2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</row>
    <row r="63">
      <c r="A63" s="6"/>
      <c r="B63" s="6"/>
      <c r="C63" s="28"/>
      <c r="D63" s="27"/>
      <c r="E63" s="27"/>
      <c r="F63" s="27"/>
      <c r="G63" s="2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</row>
    <row r="64">
      <c r="A64" s="6"/>
      <c r="B64" s="6"/>
      <c r="C64" s="28"/>
      <c r="D64" s="27"/>
      <c r="E64" s="27"/>
      <c r="F64" s="27"/>
      <c r="G64" s="2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</row>
    <row r="65">
      <c r="A65" s="6"/>
      <c r="B65" s="6"/>
      <c r="C65" s="28"/>
      <c r="D65" s="27"/>
      <c r="E65" s="27"/>
      <c r="F65" s="27"/>
      <c r="G65" s="2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</row>
    <row r="66">
      <c r="A66" s="6"/>
      <c r="B66" s="6"/>
      <c r="C66" s="28"/>
      <c r="D66" s="27"/>
      <c r="E66" s="27"/>
      <c r="F66" s="27"/>
      <c r="G66" s="2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</row>
    <row r="67">
      <c r="A67" s="6"/>
      <c r="B67" s="6"/>
      <c r="C67" s="28"/>
      <c r="D67" s="27"/>
      <c r="E67" s="27"/>
      <c r="F67" s="27"/>
      <c r="G67" s="27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</row>
    <row r="68">
      <c r="A68" s="6"/>
      <c r="B68" s="6"/>
      <c r="C68" s="28"/>
      <c r="D68" s="27"/>
      <c r="E68" s="27"/>
      <c r="F68" s="27"/>
      <c r="G68" s="27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</row>
    <row r="69">
      <c r="A69" s="6"/>
      <c r="B69" s="6"/>
      <c r="C69" s="28"/>
      <c r="D69" s="27"/>
      <c r="E69" s="27"/>
      <c r="F69" s="27"/>
      <c r="G69" s="27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</row>
    <row r="70">
      <c r="A70" s="6"/>
      <c r="B70" s="6"/>
      <c r="C70" s="28"/>
      <c r="D70" s="27"/>
      <c r="E70" s="27"/>
      <c r="F70" s="27"/>
      <c r="G70" s="27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</row>
    <row r="71">
      <c r="A71" s="6"/>
      <c r="B71" s="6"/>
      <c r="C71" s="28"/>
      <c r="D71" s="27"/>
      <c r="E71" s="27"/>
      <c r="F71" s="27"/>
      <c r="G71" s="27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</row>
    <row r="72">
      <c r="A72" s="6"/>
      <c r="B72" s="6"/>
      <c r="C72" s="28"/>
      <c r="D72" s="27"/>
      <c r="E72" s="27"/>
      <c r="F72" s="27"/>
      <c r="G72" s="27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</row>
    <row r="73">
      <c r="A73" s="6"/>
      <c r="B73" s="6"/>
      <c r="C73" s="28"/>
      <c r="D73" s="27"/>
      <c r="E73" s="27"/>
      <c r="F73" s="27"/>
      <c r="G73" s="27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</row>
    <row r="74">
      <c r="A74" s="6"/>
      <c r="B74" s="6"/>
      <c r="C74" s="28"/>
      <c r="D74" s="27"/>
      <c r="E74" s="27"/>
      <c r="F74" s="27"/>
      <c r="G74" s="27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</row>
    <row r="75">
      <c r="A75" s="6"/>
      <c r="B75" s="6"/>
      <c r="C75" s="28"/>
      <c r="D75" s="27"/>
      <c r="E75" s="27"/>
      <c r="F75" s="27"/>
      <c r="G75" s="27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</row>
    <row r="76">
      <c r="A76" s="6"/>
      <c r="B76" s="6"/>
      <c r="C76" s="28"/>
      <c r="D76" s="27"/>
      <c r="E76" s="27"/>
      <c r="F76" s="27"/>
      <c r="G76" s="27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</row>
    <row r="77">
      <c r="A77" s="6"/>
      <c r="B77" s="6"/>
      <c r="C77" s="28"/>
      <c r="D77" s="27"/>
      <c r="E77" s="27"/>
      <c r="F77" s="27"/>
      <c r="G77" s="27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</row>
    <row r="78">
      <c r="A78" s="6"/>
      <c r="B78" s="6"/>
      <c r="C78" s="28"/>
      <c r="D78" s="27"/>
      <c r="E78" s="27"/>
      <c r="F78" s="27"/>
      <c r="G78" s="27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</row>
    <row r="79">
      <c r="A79" s="6"/>
      <c r="B79" s="6"/>
      <c r="C79" s="28"/>
      <c r="D79" s="27"/>
      <c r="E79" s="27"/>
      <c r="F79" s="27"/>
      <c r="G79" s="27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</row>
    <row r="80">
      <c r="A80" s="6"/>
      <c r="B80" s="6"/>
      <c r="C80" s="28"/>
      <c r="D80" s="27"/>
      <c r="E80" s="27"/>
      <c r="F80" s="27"/>
      <c r="G80" s="27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</row>
    <row r="81">
      <c r="A81" s="6"/>
      <c r="B81" s="6"/>
      <c r="C81" s="28"/>
      <c r="D81" s="27"/>
      <c r="E81" s="27"/>
      <c r="F81" s="27"/>
      <c r="G81" s="27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</row>
    <row r="82">
      <c r="A82" s="6"/>
      <c r="B82" s="6"/>
      <c r="C82" s="28"/>
      <c r="D82" s="27"/>
      <c r="E82" s="27"/>
      <c r="F82" s="27"/>
      <c r="G82" s="27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</row>
    <row r="83">
      <c r="A83" s="6"/>
      <c r="B83" s="6"/>
      <c r="C83" s="28"/>
      <c r="D83" s="27"/>
      <c r="E83" s="27"/>
      <c r="F83" s="27"/>
      <c r="G83" s="27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</row>
    <row r="84">
      <c r="A84" s="6"/>
      <c r="B84" s="6"/>
      <c r="C84" s="28"/>
      <c r="D84" s="27"/>
      <c r="E84" s="27"/>
      <c r="F84" s="27"/>
      <c r="G84" s="27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</row>
    <row r="85">
      <c r="A85" s="6"/>
      <c r="B85" s="6"/>
      <c r="C85" s="28"/>
      <c r="D85" s="27"/>
      <c r="E85" s="27"/>
      <c r="F85" s="27"/>
      <c r="G85" s="27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</row>
    <row r="86">
      <c r="A86" s="6"/>
      <c r="B86" s="6"/>
      <c r="C86" s="28"/>
      <c r="D86" s="27"/>
      <c r="E86" s="27"/>
      <c r="F86" s="27"/>
      <c r="G86" s="27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</row>
    <row r="87">
      <c r="A87" s="6"/>
      <c r="B87" s="6"/>
      <c r="C87" s="28"/>
      <c r="D87" s="27"/>
      <c r="E87" s="27"/>
      <c r="F87" s="27"/>
      <c r="G87" s="27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</row>
    <row r="88">
      <c r="A88" s="6"/>
      <c r="B88" s="6"/>
      <c r="C88" s="28"/>
      <c r="D88" s="27"/>
      <c r="E88" s="27"/>
      <c r="F88" s="27"/>
      <c r="G88" s="27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</row>
    <row r="89">
      <c r="A89" s="6"/>
      <c r="B89" s="6"/>
      <c r="C89" s="28"/>
      <c r="D89" s="27"/>
      <c r="E89" s="27"/>
      <c r="F89" s="27"/>
      <c r="G89" s="27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</row>
    <row r="90">
      <c r="A90" s="6"/>
      <c r="B90" s="6"/>
      <c r="C90" s="28"/>
      <c r="D90" s="27"/>
      <c r="E90" s="27"/>
      <c r="F90" s="27"/>
      <c r="G90" s="27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</row>
    <row r="91">
      <c r="A91" s="6"/>
      <c r="B91" s="6"/>
      <c r="C91" s="28"/>
      <c r="D91" s="27"/>
      <c r="E91" s="27"/>
      <c r="F91" s="27"/>
      <c r="G91" s="27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</row>
    <row r="92">
      <c r="A92" s="6"/>
      <c r="B92" s="6"/>
      <c r="C92" s="28"/>
      <c r="D92" s="27"/>
      <c r="E92" s="27"/>
      <c r="F92" s="27"/>
      <c r="G92" s="27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</row>
    <row r="93">
      <c r="A93" s="6"/>
      <c r="B93" s="6"/>
      <c r="C93" s="28"/>
      <c r="D93" s="27"/>
      <c r="E93" s="27"/>
      <c r="F93" s="27"/>
      <c r="G93" s="27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</row>
    <row r="94">
      <c r="A94" s="6"/>
      <c r="B94" s="6"/>
      <c r="C94" s="28"/>
      <c r="D94" s="27"/>
      <c r="E94" s="27"/>
      <c r="F94" s="27"/>
      <c r="G94" s="27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</row>
    <row r="95">
      <c r="A95" s="6"/>
      <c r="B95" s="6"/>
      <c r="C95" s="28"/>
      <c r="D95" s="27"/>
      <c r="E95" s="27"/>
      <c r="F95" s="27"/>
      <c r="G95" s="27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</row>
    <row r="96">
      <c r="A96" s="6"/>
      <c r="B96" s="6"/>
      <c r="C96" s="28"/>
      <c r="D96" s="27"/>
      <c r="E96" s="27"/>
      <c r="F96" s="27"/>
      <c r="G96" s="27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</row>
    <row r="97">
      <c r="A97" s="6"/>
      <c r="B97" s="6"/>
      <c r="C97" s="28"/>
      <c r="D97" s="27"/>
      <c r="E97" s="27"/>
      <c r="F97" s="27"/>
      <c r="G97" s="27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</row>
    <row r="98">
      <c r="A98" s="6"/>
      <c r="B98" s="6"/>
      <c r="C98" s="28"/>
      <c r="D98" s="27"/>
      <c r="E98" s="27"/>
      <c r="F98" s="27"/>
      <c r="G98" s="27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</row>
    <row r="99">
      <c r="A99" s="6"/>
      <c r="B99" s="6"/>
      <c r="C99" s="28"/>
      <c r="D99" s="27"/>
      <c r="E99" s="27"/>
      <c r="F99" s="27"/>
      <c r="G99" s="27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</row>
    <row r="100">
      <c r="A100" s="6"/>
      <c r="B100" s="6"/>
      <c r="C100" s="28"/>
      <c r="D100" s="27"/>
      <c r="E100" s="27"/>
      <c r="F100" s="27"/>
      <c r="G100" s="27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</row>
    <row r="101">
      <c r="A101" s="6"/>
      <c r="B101" s="6"/>
      <c r="C101" s="28"/>
      <c r="D101" s="27"/>
      <c r="E101" s="27"/>
      <c r="F101" s="27"/>
      <c r="G101" s="27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</row>
    <row r="102">
      <c r="A102" s="6"/>
      <c r="B102" s="6"/>
      <c r="C102" s="28"/>
      <c r="D102" s="27"/>
      <c r="E102" s="27"/>
      <c r="F102" s="27"/>
      <c r="G102" s="27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</row>
    <row r="103">
      <c r="A103" s="6"/>
      <c r="B103" s="6"/>
      <c r="C103" s="28"/>
      <c r="D103" s="27"/>
      <c r="E103" s="27"/>
      <c r="F103" s="27"/>
      <c r="G103" s="27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</row>
    <row r="104">
      <c r="A104" s="6"/>
      <c r="B104" s="6"/>
      <c r="C104" s="28"/>
      <c r="D104" s="27"/>
      <c r="E104" s="27"/>
      <c r="F104" s="27"/>
      <c r="G104" s="27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</row>
    <row r="105">
      <c r="A105" s="6"/>
      <c r="B105" s="6"/>
      <c r="C105" s="28"/>
      <c r="D105" s="27"/>
      <c r="E105" s="27"/>
      <c r="F105" s="27"/>
      <c r="G105" s="27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</row>
    <row r="106">
      <c r="A106" s="6"/>
      <c r="B106" s="6"/>
      <c r="C106" s="28"/>
      <c r="D106" s="27"/>
      <c r="E106" s="27"/>
      <c r="F106" s="27"/>
      <c r="G106" s="27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</row>
    <row r="107">
      <c r="A107" s="6"/>
      <c r="B107" s="6"/>
      <c r="C107" s="28"/>
      <c r="D107" s="27"/>
      <c r="E107" s="27"/>
      <c r="F107" s="27"/>
      <c r="G107" s="27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</row>
    <row r="108">
      <c r="A108" s="6"/>
      <c r="B108" s="6"/>
      <c r="C108" s="28"/>
      <c r="D108" s="27"/>
      <c r="E108" s="27"/>
      <c r="F108" s="27"/>
      <c r="G108" s="27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</row>
    <row r="109">
      <c r="A109" s="6"/>
      <c r="B109" s="6"/>
      <c r="C109" s="28"/>
      <c r="D109" s="27"/>
      <c r="E109" s="27"/>
      <c r="F109" s="27"/>
      <c r="G109" s="27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</row>
    <row r="110">
      <c r="A110" s="6"/>
      <c r="B110" s="6"/>
      <c r="C110" s="28"/>
      <c r="D110" s="27"/>
      <c r="E110" s="27"/>
      <c r="F110" s="27"/>
      <c r="G110" s="27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</row>
    <row r="111">
      <c r="A111" s="6"/>
      <c r="B111" s="6"/>
      <c r="C111" s="28"/>
      <c r="D111" s="27"/>
      <c r="E111" s="27"/>
      <c r="F111" s="27"/>
      <c r="G111" s="27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</row>
    <row r="112">
      <c r="A112" s="6"/>
      <c r="B112" s="6"/>
      <c r="C112" s="28"/>
      <c r="D112" s="27"/>
      <c r="E112" s="27"/>
      <c r="F112" s="27"/>
      <c r="G112" s="27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</row>
    <row r="113">
      <c r="A113" s="6"/>
      <c r="B113" s="6"/>
      <c r="C113" s="28"/>
      <c r="D113" s="27"/>
      <c r="E113" s="27"/>
      <c r="F113" s="27"/>
      <c r="G113" s="27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</row>
    <row r="114">
      <c r="A114" s="6"/>
      <c r="B114" s="6"/>
      <c r="C114" s="28"/>
      <c r="D114" s="27"/>
      <c r="E114" s="27"/>
      <c r="F114" s="27"/>
      <c r="G114" s="27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</row>
    <row r="115">
      <c r="A115" s="6"/>
      <c r="B115" s="6"/>
      <c r="C115" s="28"/>
      <c r="D115" s="27"/>
      <c r="E115" s="27"/>
      <c r="F115" s="27"/>
      <c r="G115" s="27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</row>
    <row r="116">
      <c r="A116" s="6"/>
      <c r="B116" s="6"/>
      <c r="C116" s="28"/>
      <c r="D116" s="27"/>
      <c r="E116" s="27"/>
      <c r="F116" s="27"/>
      <c r="G116" s="27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</row>
    <row r="117">
      <c r="A117" s="6"/>
      <c r="B117" s="6"/>
      <c r="C117" s="28"/>
      <c r="D117" s="27"/>
      <c r="E117" s="27"/>
      <c r="F117" s="27"/>
      <c r="G117" s="27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</row>
    <row r="118">
      <c r="A118" s="6"/>
      <c r="B118" s="6"/>
      <c r="C118" s="28"/>
      <c r="D118" s="27"/>
      <c r="E118" s="27"/>
      <c r="F118" s="27"/>
      <c r="G118" s="27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</row>
    <row r="119">
      <c r="A119" s="6"/>
      <c r="B119" s="6"/>
      <c r="C119" s="28"/>
      <c r="D119" s="27"/>
      <c r="E119" s="27"/>
      <c r="F119" s="27"/>
      <c r="G119" s="27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</row>
    <row r="120">
      <c r="A120" s="6"/>
      <c r="B120" s="6"/>
      <c r="C120" s="28"/>
      <c r="D120" s="27"/>
      <c r="E120" s="27"/>
      <c r="F120" s="27"/>
      <c r="G120" s="27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</row>
    <row r="121">
      <c r="A121" s="6"/>
      <c r="B121" s="6"/>
      <c r="C121" s="28"/>
      <c r="D121" s="27"/>
      <c r="E121" s="27"/>
      <c r="F121" s="27"/>
      <c r="G121" s="27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</row>
    <row r="122">
      <c r="A122" s="6"/>
      <c r="B122" s="6"/>
      <c r="C122" s="28"/>
      <c r="D122" s="27"/>
      <c r="E122" s="27"/>
      <c r="F122" s="27"/>
      <c r="G122" s="27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</row>
    <row r="123">
      <c r="A123" s="6"/>
      <c r="B123" s="6"/>
      <c r="C123" s="28"/>
      <c r="D123" s="27"/>
      <c r="E123" s="27"/>
      <c r="F123" s="27"/>
      <c r="G123" s="27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</row>
    <row r="124">
      <c r="A124" s="6"/>
      <c r="B124" s="6"/>
      <c r="C124" s="28"/>
      <c r="D124" s="27"/>
      <c r="E124" s="27"/>
      <c r="F124" s="27"/>
      <c r="G124" s="27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</row>
    <row r="125">
      <c r="A125" s="6"/>
      <c r="B125" s="6"/>
      <c r="C125" s="28"/>
      <c r="D125" s="27"/>
      <c r="E125" s="27"/>
      <c r="F125" s="27"/>
      <c r="G125" s="27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</row>
    <row r="126">
      <c r="A126" s="6"/>
      <c r="B126" s="6"/>
      <c r="C126" s="28"/>
      <c r="D126" s="27"/>
      <c r="E126" s="27"/>
      <c r="F126" s="27"/>
      <c r="G126" s="27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</row>
    <row r="127">
      <c r="A127" s="6"/>
      <c r="B127" s="6"/>
      <c r="C127" s="28"/>
      <c r="D127" s="27"/>
      <c r="E127" s="27"/>
      <c r="F127" s="27"/>
      <c r="G127" s="27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</row>
    <row r="128">
      <c r="A128" s="6"/>
      <c r="B128" s="6"/>
      <c r="C128" s="28"/>
      <c r="D128" s="27"/>
      <c r="E128" s="27"/>
      <c r="F128" s="27"/>
      <c r="G128" s="27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</row>
    <row r="129">
      <c r="A129" s="6"/>
      <c r="B129" s="6"/>
      <c r="C129" s="28"/>
      <c r="D129" s="27"/>
      <c r="E129" s="27"/>
      <c r="F129" s="27"/>
      <c r="G129" s="27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</row>
    <row r="130">
      <c r="A130" s="6"/>
      <c r="B130" s="6"/>
      <c r="C130" s="28"/>
      <c r="D130" s="27"/>
      <c r="E130" s="27"/>
      <c r="F130" s="27"/>
      <c r="G130" s="27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</row>
    <row r="131">
      <c r="A131" s="6"/>
      <c r="B131" s="6"/>
      <c r="C131" s="28"/>
      <c r="D131" s="27"/>
      <c r="E131" s="27"/>
      <c r="F131" s="27"/>
      <c r="G131" s="27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</row>
    <row r="132">
      <c r="A132" s="6"/>
      <c r="B132" s="6"/>
      <c r="C132" s="28"/>
      <c r="D132" s="27"/>
      <c r="E132" s="27"/>
      <c r="F132" s="27"/>
      <c r="G132" s="27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</row>
    <row r="133">
      <c r="A133" s="6"/>
      <c r="B133" s="6"/>
      <c r="C133" s="28"/>
      <c r="D133" s="27"/>
      <c r="E133" s="27"/>
      <c r="F133" s="27"/>
      <c r="G133" s="27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</row>
    <row r="134">
      <c r="A134" s="6"/>
      <c r="B134" s="6"/>
      <c r="C134" s="28"/>
      <c r="D134" s="27"/>
      <c r="E134" s="27"/>
      <c r="F134" s="27"/>
      <c r="G134" s="27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</row>
    <row r="135">
      <c r="A135" s="6"/>
      <c r="B135" s="6"/>
      <c r="C135" s="28"/>
      <c r="D135" s="27"/>
      <c r="E135" s="27"/>
      <c r="F135" s="27"/>
      <c r="G135" s="27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</row>
    <row r="136">
      <c r="A136" s="6"/>
      <c r="B136" s="6"/>
      <c r="C136" s="28"/>
      <c r="D136" s="27"/>
      <c r="E136" s="27"/>
      <c r="F136" s="27"/>
      <c r="G136" s="27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</row>
    <row r="137">
      <c r="A137" s="6"/>
      <c r="B137" s="6"/>
      <c r="C137" s="28"/>
      <c r="D137" s="27"/>
      <c r="E137" s="27"/>
      <c r="F137" s="27"/>
      <c r="G137" s="27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</row>
    <row r="138">
      <c r="A138" s="6"/>
      <c r="B138" s="6"/>
      <c r="C138" s="28"/>
      <c r="D138" s="27"/>
      <c r="E138" s="27"/>
      <c r="F138" s="27"/>
      <c r="G138" s="27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</row>
    <row r="139">
      <c r="A139" s="6"/>
      <c r="B139" s="6"/>
      <c r="C139" s="28"/>
      <c r="D139" s="27"/>
      <c r="E139" s="27"/>
      <c r="F139" s="27"/>
      <c r="G139" s="27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</row>
    <row r="140">
      <c r="A140" s="6"/>
      <c r="B140" s="6"/>
      <c r="C140" s="28"/>
      <c r="D140" s="27"/>
      <c r="E140" s="27"/>
      <c r="F140" s="27"/>
      <c r="G140" s="27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</row>
    <row r="141">
      <c r="A141" s="6"/>
      <c r="B141" s="6"/>
      <c r="C141" s="28"/>
      <c r="D141" s="27"/>
      <c r="E141" s="27"/>
      <c r="F141" s="27"/>
      <c r="G141" s="27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</row>
    <row r="142">
      <c r="A142" s="6"/>
      <c r="B142" s="6"/>
      <c r="C142" s="28"/>
      <c r="D142" s="27"/>
      <c r="E142" s="27"/>
      <c r="F142" s="27"/>
      <c r="G142" s="27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</row>
    <row r="143">
      <c r="A143" s="6"/>
      <c r="B143" s="6"/>
      <c r="C143" s="28"/>
      <c r="D143" s="27"/>
      <c r="E143" s="27"/>
      <c r="F143" s="27"/>
      <c r="G143" s="27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</row>
    <row r="144">
      <c r="A144" s="6"/>
      <c r="B144" s="6"/>
      <c r="C144" s="28"/>
      <c r="D144" s="27"/>
      <c r="E144" s="27"/>
      <c r="F144" s="27"/>
      <c r="G144" s="27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</row>
    <row r="145">
      <c r="A145" s="6"/>
      <c r="B145" s="6"/>
      <c r="C145" s="28"/>
      <c r="D145" s="27"/>
      <c r="E145" s="27"/>
      <c r="F145" s="27"/>
      <c r="G145" s="27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</row>
    <row r="146">
      <c r="A146" s="6"/>
      <c r="B146" s="6"/>
      <c r="C146" s="28"/>
      <c r="D146" s="27"/>
      <c r="E146" s="27"/>
      <c r="F146" s="27"/>
      <c r="G146" s="27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</row>
    <row r="147">
      <c r="A147" s="6"/>
      <c r="B147" s="6"/>
      <c r="C147" s="28"/>
      <c r="D147" s="27"/>
      <c r="E147" s="27"/>
      <c r="F147" s="27"/>
      <c r="G147" s="27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</row>
    <row r="148">
      <c r="A148" s="6"/>
      <c r="B148" s="6"/>
      <c r="C148" s="28"/>
      <c r="D148" s="27"/>
      <c r="E148" s="27"/>
      <c r="F148" s="27"/>
      <c r="G148" s="27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</row>
    <row r="149">
      <c r="A149" s="6"/>
      <c r="B149" s="6"/>
      <c r="C149" s="28"/>
      <c r="D149" s="27"/>
      <c r="E149" s="27"/>
      <c r="F149" s="27"/>
      <c r="G149" s="27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</row>
    <row r="150">
      <c r="A150" s="6"/>
      <c r="B150" s="6"/>
      <c r="C150" s="28"/>
      <c r="D150" s="27"/>
      <c r="E150" s="27"/>
      <c r="F150" s="27"/>
      <c r="G150" s="27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</row>
    <row r="151">
      <c r="A151" s="6"/>
      <c r="B151" s="6"/>
      <c r="C151" s="28"/>
      <c r="D151" s="27"/>
      <c r="E151" s="27"/>
      <c r="F151" s="27"/>
      <c r="G151" s="27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</row>
    <row r="152">
      <c r="A152" s="6"/>
      <c r="B152" s="6"/>
      <c r="C152" s="28"/>
      <c r="D152" s="27"/>
      <c r="E152" s="27"/>
      <c r="F152" s="27"/>
      <c r="G152" s="27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</row>
    <row r="153">
      <c r="A153" s="6"/>
      <c r="B153" s="6"/>
      <c r="C153" s="28"/>
      <c r="D153" s="27"/>
      <c r="E153" s="27"/>
      <c r="F153" s="27"/>
      <c r="G153" s="27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</row>
    <row r="154">
      <c r="A154" s="6"/>
      <c r="B154" s="6"/>
      <c r="C154" s="28"/>
      <c r="D154" s="27"/>
      <c r="E154" s="27"/>
      <c r="F154" s="27"/>
      <c r="G154" s="27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</row>
    <row r="155">
      <c r="A155" s="6"/>
      <c r="B155" s="6"/>
      <c r="C155" s="28"/>
      <c r="D155" s="27"/>
      <c r="E155" s="27"/>
      <c r="F155" s="27"/>
      <c r="G155" s="27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</row>
    <row r="156">
      <c r="A156" s="6"/>
      <c r="B156" s="6"/>
      <c r="C156" s="28"/>
      <c r="D156" s="27"/>
      <c r="E156" s="27"/>
      <c r="F156" s="27"/>
      <c r="G156" s="27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</row>
    <row r="157">
      <c r="A157" s="6"/>
      <c r="B157" s="6"/>
      <c r="C157" s="28"/>
      <c r="D157" s="27"/>
      <c r="E157" s="27"/>
      <c r="F157" s="27"/>
      <c r="G157" s="27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</row>
    <row r="158">
      <c r="A158" s="6"/>
      <c r="B158" s="6"/>
      <c r="C158" s="28"/>
      <c r="D158" s="27"/>
      <c r="E158" s="27"/>
      <c r="F158" s="27"/>
      <c r="G158" s="27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</row>
    <row r="159">
      <c r="A159" s="6"/>
      <c r="B159" s="6"/>
      <c r="C159" s="28"/>
      <c r="D159" s="27"/>
      <c r="E159" s="27"/>
      <c r="F159" s="27"/>
      <c r="G159" s="27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</row>
    <row r="160">
      <c r="A160" s="6"/>
      <c r="B160" s="6"/>
      <c r="C160" s="28"/>
      <c r="D160" s="27"/>
      <c r="E160" s="27"/>
      <c r="F160" s="27"/>
      <c r="G160" s="27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</row>
    <row r="161">
      <c r="A161" s="6"/>
      <c r="B161" s="6"/>
      <c r="C161" s="28"/>
      <c r="D161" s="27"/>
      <c r="E161" s="27"/>
      <c r="F161" s="27"/>
      <c r="G161" s="27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</row>
    <row r="162">
      <c r="A162" s="6"/>
      <c r="B162" s="6"/>
      <c r="C162" s="28"/>
      <c r="D162" s="27"/>
      <c r="E162" s="27"/>
      <c r="F162" s="27"/>
      <c r="G162" s="27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</row>
    <row r="163">
      <c r="A163" s="6"/>
      <c r="B163" s="6"/>
      <c r="C163" s="28"/>
      <c r="D163" s="27"/>
      <c r="E163" s="27"/>
      <c r="F163" s="27"/>
      <c r="G163" s="27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</row>
    <row r="164">
      <c r="A164" s="6"/>
      <c r="B164" s="6"/>
      <c r="C164" s="28"/>
      <c r="D164" s="27"/>
      <c r="E164" s="27"/>
      <c r="F164" s="27"/>
      <c r="G164" s="27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</row>
    <row r="165">
      <c r="A165" s="6"/>
      <c r="B165" s="6"/>
      <c r="C165" s="28"/>
      <c r="D165" s="27"/>
      <c r="E165" s="27"/>
      <c r="F165" s="27"/>
      <c r="G165" s="27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</row>
    <row r="166">
      <c r="A166" s="6"/>
      <c r="B166" s="6"/>
      <c r="C166" s="28"/>
      <c r="D166" s="27"/>
      <c r="E166" s="27"/>
      <c r="F166" s="27"/>
      <c r="G166" s="27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</row>
    <row r="167">
      <c r="A167" s="6"/>
      <c r="B167" s="6"/>
      <c r="C167" s="28"/>
      <c r="D167" s="27"/>
      <c r="E167" s="27"/>
      <c r="F167" s="27"/>
      <c r="G167" s="27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</row>
    <row r="168">
      <c r="A168" s="6"/>
      <c r="B168" s="6"/>
      <c r="C168" s="28"/>
      <c r="D168" s="27"/>
      <c r="E168" s="27"/>
      <c r="F168" s="27"/>
      <c r="G168" s="27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</row>
    <row r="169">
      <c r="A169" s="6"/>
      <c r="B169" s="6"/>
      <c r="C169" s="28"/>
      <c r="D169" s="27"/>
      <c r="E169" s="27"/>
      <c r="F169" s="27"/>
      <c r="G169" s="27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</row>
    <row r="170">
      <c r="A170" s="6"/>
      <c r="B170" s="6"/>
      <c r="C170" s="28"/>
      <c r="D170" s="27"/>
      <c r="E170" s="27"/>
      <c r="F170" s="27"/>
      <c r="G170" s="27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</row>
    <row r="171">
      <c r="A171" s="6"/>
      <c r="B171" s="6"/>
      <c r="C171" s="28"/>
      <c r="D171" s="27"/>
      <c r="E171" s="27"/>
      <c r="F171" s="27"/>
      <c r="G171" s="27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</row>
    <row r="172">
      <c r="A172" s="6"/>
      <c r="B172" s="6"/>
      <c r="C172" s="28"/>
      <c r="D172" s="27"/>
      <c r="E172" s="27"/>
      <c r="F172" s="27"/>
      <c r="G172" s="27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</row>
    <row r="173">
      <c r="A173" s="6"/>
      <c r="B173" s="6"/>
      <c r="C173" s="28"/>
      <c r="D173" s="27"/>
      <c r="E173" s="27"/>
      <c r="F173" s="27"/>
      <c r="G173" s="27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</row>
    <row r="174">
      <c r="A174" s="6"/>
      <c r="B174" s="6"/>
      <c r="C174" s="28"/>
      <c r="D174" s="27"/>
      <c r="E174" s="27"/>
      <c r="F174" s="27"/>
      <c r="G174" s="27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</row>
    <row r="175">
      <c r="A175" s="6"/>
      <c r="B175" s="6"/>
      <c r="C175" s="28"/>
      <c r="D175" s="27"/>
      <c r="E175" s="27"/>
      <c r="F175" s="27"/>
      <c r="G175" s="27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</row>
    <row r="176">
      <c r="A176" s="6"/>
      <c r="B176" s="6"/>
      <c r="C176" s="28"/>
      <c r="D176" s="27"/>
      <c r="E176" s="27"/>
      <c r="F176" s="27"/>
      <c r="G176" s="27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</row>
    <row r="177">
      <c r="A177" s="6"/>
      <c r="B177" s="6"/>
      <c r="C177" s="28"/>
      <c r="D177" s="27"/>
      <c r="E177" s="27"/>
      <c r="F177" s="27"/>
      <c r="G177" s="27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</row>
    <row r="178">
      <c r="A178" s="6"/>
      <c r="B178" s="6"/>
      <c r="C178" s="28"/>
      <c r="D178" s="27"/>
      <c r="E178" s="27"/>
      <c r="F178" s="27"/>
      <c r="G178" s="27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</row>
    <row r="179">
      <c r="A179" s="6"/>
      <c r="B179" s="6"/>
      <c r="C179" s="28"/>
      <c r="D179" s="27"/>
      <c r="E179" s="27"/>
      <c r="F179" s="27"/>
      <c r="G179" s="27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</row>
    <row r="180">
      <c r="A180" s="6"/>
      <c r="B180" s="6"/>
      <c r="C180" s="28"/>
      <c r="D180" s="27"/>
      <c r="E180" s="27"/>
      <c r="F180" s="27"/>
      <c r="G180" s="27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</row>
    <row r="181">
      <c r="A181" s="6"/>
      <c r="B181" s="6"/>
      <c r="C181" s="28"/>
      <c r="D181" s="27"/>
      <c r="E181" s="27"/>
      <c r="F181" s="27"/>
      <c r="G181" s="27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</row>
    <row r="182">
      <c r="A182" s="6"/>
      <c r="B182" s="6"/>
      <c r="C182" s="28"/>
      <c r="D182" s="27"/>
      <c r="E182" s="27"/>
      <c r="F182" s="27"/>
      <c r="G182" s="27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</row>
    <row r="183">
      <c r="A183" s="6"/>
      <c r="B183" s="6"/>
      <c r="C183" s="28"/>
      <c r="D183" s="27"/>
      <c r="E183" s="27"/>
      <c r="F183" s="27"/>
      <c r="G183" s="27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</row>
    <row r="184">
      <c r="A184" s="6"/>
      <c r="B184" s="6"/>
      <c r="C184" s="28"/>
      <c r="D184" s="27"/>
      <c r="E184" s="27"/>
      <c r="F184" s="27"/>
      <c r="G184" s="27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</row>
    <row r="185">
      <c r="A185" s="6"/>
      <c r="B185" s="6"/>
      <c r="C185" s="28"/>
      <c r="D185" s="27"/>
      <c r="E185" s="27"/>
      <c r="F185" s="27"/>
      <c r="G185" s="27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</row>
    <row r="186">
      <c r="A186" s="6"/>
      <c r="B186" s="6"/>
      <c r="C186" s="28"/>
      <c r="D186" s="27"/>
      <c r="E186" s="27"/>
      <c r="F186" s="27"/>
      <c r="G186" s="27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</row>
    <row r="187">
      <c r="A187" s="6"/>
      <c r="B187" s="6"/>
      <c r="C187" s="28"/>
      <c r="D187" s="27"/>
      <c r="E187" s="27"/>
      <c r="F187" s="27"/>
      <c r="G187" s="27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</row>
    <row r="188">
      <c r="A188" s="6"/>
      <c r="B188" s="6"/>
      <c r="C188" s="28"/>
      <c r="D188" s="27"/>
      <c r="E188" s="27"/>
      <c r="F188" s="27"/>
      <c r="G188" s="27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</row>
    <row r="189">
      <c r="A189" s="6"/>
      <c r="B189" s="6"/>
      <c r="C189" s="28"/>
      <c r="D189" s="27"/>
      <c r="E189" s="27"/>
      <c r="F189" s="27"/>
      <c r="G189" s="27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</row>
    <row r="190">
      <c r="A190" s="6"/>
      <c r="B190" s="6"/>
      <c r="C190" s="28"/>
      <c r="D190" s="27"/>
      <c r="E190" s="27"/>
      <c r="F190" s="27"/>
      <c r="G190" s="27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</row>
    <row r="191">
      <c r="A191" s="6"/>
      <c r="B191" s="6"/>
      <c r="C191" s="28"/>
      <c r="D191" s="27"/>
      <c r="E191" s="27"/>
      <c r="F191" s="27"/>
      <c r="G191" s="27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</row>
    <row r="192">
      <c r="A192" s="6"/>
      <c r="B192" s="6"/>
      <c r="C192" s="28"/>
      <c r="D192" s="27"/>
      <c r="E192" s="27"/>
      <c r="F192" s="27"/>
      <c r="G192" s="27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</row>
    <row r="193">
      <c r="A193" s="6"/>
      <c r="B193" s="6"/>
      <c r="C193" s="28"/>
      <c r="D193" s="27"/>
      <c r="E193" s="27"/>
      <c r="F193" s="27"/>
      <c r="G193" s="27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</row>
    <row r="194">
      <c r="A194" s="6"/>
      <c r="B194" s="6"/>
      <c r="C194" s="28"/>
      <c r="D194" s="27"/>
      <c r="E194" s="27"/>
      <c r="F194" s="27"/>
      <c r="G194" s="27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</row>
    <row r="195">
      <c r="A195" s="6"/>
      <c r="B195" s="6"/>
      <c r="C195" s="28"/>
      <c r="D195" s="27"/>
      <c r="E195" s="27"/>
      <c r="F195" s="27"/>
      <c r="G195" s="27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</row>
    <row r="196">
      <c r="A196" s="6"/>
      <c r="B196" s="6"/>
      <c r="C196" s="28"/>
      <c r="D196" s="27"/>
      <c r="E196" s="27"/>
      <c r="F196" s="27"/>
      <c r="G196" s="27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</row>
    <row r="197">
      <c r="A197" s="6"/>
      <c r="B197" s="6"/>
      <c r="C197" s="28"/>
      <c r="D197" s="27"/>
      <c r="E197" s="27"/>
      <c r="F197" s="27"/>
      <c r="G197" s="27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</row>
    <row r="198">
      <c r="A198" s="6"/>
      <c r="B198" s="6"/>
      <c r="C198" s="28"/>
      <c r="D198" s="27"/>
      <c r="E198" s="27"/>
      <c r="F198" s="27"/>
      <c r="G198" s="27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</row>
    <row r="199">
      <c r="A199" s="6"/>
      <c r="B199" s="6"/>
      <c r="C199" s="28"/>
      <c r="D199" s="27"/>
      <c r="E199" s="27"/>
      <c r="F199" s="27"/>
      <c r="G199" s="27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</row>
    <row r="200">
      <c r="A200" s="6"/>
      <c r="B200" s="6"/>
      <c r="C200" s="28"/>
      <c r="D200" s="27"/>
      <c r="E200" s="27"/>
      <c r="F200" s="27"/>
      <c r="G200" s="27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</row>
  </sheetData>
  <autoFilter ref="A1:I51">
    <filterColumn colId="0">
      <filters>
        <filter val="9月4日"/>
      </filters>
    </filterColumn>
  </autoFilter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8" min="8" style="0" width="14.591549295774648"/>
    <col collapsed="false" customWidth="true" hidden="false" max="9" min="9" style="0" width="15.943661971830986"/>
    <col collapsed="false" customWidth="true" hidden="false" max="10" min="10" style="0" width="17.295774647887324"/>
    <col collapsed="false" customWidth="true" hidden="false" max="11" min="11" style="0" width="18.64788732394366"/>
    <col collapsed="false" customWidth="true" hidden="false" max="12" min="12" style="0" width="18.64788732394366"/>
  </cols>
  <sheetData>
    <row r="1">
      <c r="A1" s="32" t="s">
        <v>10</v>
      </c>
      <c r="B1" s="32" t="s">
        <v>11</v>
      </c>
      <c r="C1" s="32" t="s">
        <v>12</v>
      </c>
      <c r="D1" s="33" t="s">
        <v>13</v>
      </c>
      <c r="E1" s="34" t="s">
        <v>14</v>
      </c>
      <c r="F1" s="34" t="s">
        <v>15</v>
      </c>
      <c r="G1" s="32" t="s">
        <v>16</v>
      </c>
      <c r="H1" s="34" t="s">
        <v>17</v>
      </c>
      <c r="I1" s="35" t="s">
        <v>18</v>
      </c>
      <c r="J1" s="36" t="s">
        <v>19</v>
      </c>
      <c r="K1" s="35" t="s">
        <v>20</v>
      </c>
      <c r="L1" s="36" t="s">
        <v>21</v>
      </c>
      <c r="M1" s="34" t="s">
        <v>22</v>
      </c>
      <c r="N1" s="34" t="s">
        <v>23</v>
      </c>
      <c r="O1" s="34" t="s">
        <v>24</v>
      </c>
      <c r="P1" s="37" t="s">
        <v>25</v>
      </c>
      <c r="Q1" s="32" t="s">
        <v>26</v>
      </c>
      <c r="R1" s="38" t="s">
        <v>27</v>
      </c>
      <c r="S1" s="39" t="s">
        <v>28</v>
      </c>
      <c r="T1" s="40" t="s">
        <v>29</v>
      </c>
      <c r="U1" s="41" t="s">
        <v>30</v>
      </c>
      <c r="V1" s="41" t="s">
        <v>31</v>
      </c>
      <c r="W1" s="40" t="s">
        <v>32</v>
      </c>
      <c r="X1" s="41" t="s">
        <v>33</v>
      </c>
      <c r="Y1" s="41" t="s">
        <v>34</v>
      </c>
      <c r="Z1" s="42" t="s">
        <v>35</v>
      </c>
      <c r="AA1" s="42" t="s">
        <v>36</v>
      </c>
      <c r="AB1" s="42" t="s">
        <v>37</v>
      </c>
      <c r="AC1" s="42" t="s">
        <v>38</v>
      </c>
      <c r="AD1" s="42" t="s">
        <v>39</v>
      </c>
      <c r="AE1" s="43" t="s">
        <v>40</v>
      </c>
    </row>
    <row hidden="true" r="2">
      <c r="A2" s="44">
        <v>46266</v>
      </c>
      <c r="B2" s="45" t="s">
        <v>41</v>
      </c>
      <c r="C2" s="45" t="s">
        <v>42</v>
      </c>
      <c r="D2" s="46">
        <v>1799.76</v>
      </c>
      <c r="E2" s="47">
        <v>3</v>
      </c>
      <c r="F2" s="47">
        <v>1</v>
      </c>
      <c r="G2" s="48">
        <f t="shared" ref="G2:G35" si="41">D2/F2</f>
      </c>
      <c r="H2" s="49">
        <v>3</v>
      </c>
      <c r="I2" s="49">
        <v>0</v>
      </c>
      <c r="J2" s="50">
        <v>0</v>
      </c>
      <c r="K2" s="49">
        <v>1</v>
      </c>
      <c r="L2" s="51">
        <v>6008.4</v>
      </c>
      <c r="M2" s="49">
        <f t="shared" ref="M2:M5" si="19">K2+I2</f>
      </c>
      <c r="N2" s="48">
        <f t="shared" ref="N2:N35" si="16">D2/H2</f>
      </c>
      <c r="O2" s="48">
        <f t="shared" ref="O2:O35" si="7">D2/M2</f>
      </c>
      <c r="P2" s="52">
        <f t="shared" ref="P2:P5" si="42">J2+L2</f>
      </c>
      <c r="Q2" s="48">
        <f t="shared" ref="Q2:Q35" si="26">P2/M2</f>
      </c>
      <c r="R2" s="53">
        <f t="shared" ref="R2:R35" si="17">P2/D2</f>
      </c>
      <c r="S2" s="53">
        <f t="shared" ref="S2:S35" si="8">P2/(D2+AE2*300)</f>
      </c>
      <c r="T2" s="54">
        <f t="shared" ref="T2:T5" si="27">AA2/60</f>
      </c>
      <c r="U2" s="55">
        <f t="shared" ref="U2:U35" si="34">AA2/Z2</f>
      </c>
      <c r="V2" s="56">
        <f t="shared" ref="V2:V35" si="35">AB2/AA2</f>
      </c>
      <c r="W2" s="55">
        <f t="shared" ref="W2:W35" si="18">AC2/AA2</f>
      </c>
      <c r="X2" s="55">
        <f t="shared" ref="X2:X35" si="36">AD2/AC2</f>
      </c>
      <c r="Y2" s="55">
        <f t="shared" ref="Y2:Y3" si="37">AE2/AD2</f>
      </c>
      <c r="Z2" s="49">
        <v>5894</v>
      </c>
      <c r="AA2" s="49">
        <v>261</v>
      </c>
      <c r="AB2" s="49">
        <v>39</v>
      </c>
      <c r="AC2" s="49">
        <v>31</v>
      </c>
      <c r="AD2" s="49">
        <v>3</v>
      </c>
      <c r="AE2" s="57">
        <f t="shared" ref="AE2:AE5" si="9">COUNT(AD2)</f>
      </c>
    </row>
    <row hidden="true" r="3">
      <c r="A3" s="44"/>
      <c r="B3" s="45" t="s">
        <v>43</v>
      </c>
      <c r="C3" s="45" t="s">
        <v>42</v>
      </c>
      <c r="D3" s="58">
        <v>1681.17</v>
      </c>
      <c r="E3" s="59">
        <v>1</v>
      </c>
      <c r="F3" s="59">
        <v>0</v>
      </c>
      <c r="G3" s="48">
        <f t="shared" si="41"/>
      </c>
      <c r="H3" s="60">
        <v>2</v>
      </c>
      <c r="I3" s="60">
        <v>1</v>
      </c>
      <c r="J3" s="61">
        <v>196</v>
      </c>
      <c r="K3" s="60">
        <v>0</v>
      </c>
      <c r="L3" s="62">
        <v>0</v>
      </c>
      <c r="M3" s="49">
        <f t="shared" si="19"/>
      </c>
      <c r="N3" s="48">
        <f t="shared" si="16"/>
      </c>
      <c r="O3" s="48">
        <f t="shared" si="7"/>
      </c>
      <c r="P3" s="52">
        <f t="shared" si="42"/>
      </c>
      <c r="Q3" s="48">
        <f t="shared" si="26"/>
      </c>
      <c r="R3" s="53">
        <f t="shared" si="17"/>
      </c>
      <c r="S3" s="63">
        <f t="shared" si="8"/>
      </c>
      <c r="T3" s="54">
        <f t="shared" si="27"/>
      </c>
      <c r="U3" s="55">
        <f t="shared" si="34"/>
      </c>
      <c r="V3" s="56">
        <f t="shared" si="35"/>
      </c>
      <c r="W3" s="55">
        <f t="shared" si="18"/>
      </c>
      <c r="X3" s="55">
        <f t="shared" si="36"/>
      </c>
      <c r="Y3" s="55">
        <f t="shared" si="37"/>
      </c>
      <c r="Z3" s="49">
        <v>5610</v>
      </c>
      <c r="AA3" s="60">
        <v>260</v>
      </c>
      <c r="AB3" s="60">
        <v>29</v>
      </c>
      <c r="AC3" s="60">
        <v>29</v>
      </c>
      <c r="AD3" s="60">
        <v>2</v>
      </c>
      <c r="AE3" s="57">
        <f t="shared" si="9"/>
      </c>
    </row>
    <row hidden="true" r="4">
      <c r="A4" s="44"/>
      <c r="B4" s="45" t="s">
        <v>44</v>
      </c>
      <c r="C4" s="45" t="s">
        <v>42</v>
      </c>
      <c r="D4" s="58">
        <v>2387.89</v>
      </c>
      <c r="E4" s="59">
        <v>6</v>
      </c>
      <c r="F4" s="59">
        <v>4</v>
      </c>
      <c r="G4" s="48">
        <f t="shared" si="41"/>
      </c>
      <c r="H4" s="60">
        <v>6</v>
      </c>
      <c r="I4" s="60">
        <v>4</v>
      </c>
      <c r="J4" s="61">
        <v>3039.6000000000004</v>
      </c>
      <c r="K4" s="60">
        <v>1</v>
      </c>
      <c r="L4" s="62">
        <v>1669.1999999999998</v>
      </c>
      <c r="M4" s="64">
        <f t="shared" si="19"/>
      </c>
      <c r="N4" s="48">
        <f t="shared" si="16"/>
      </c>
      <c r="O4" s="65">
        <f t="shared" si="7"/>
      </c>
      <c r="P4" s="52">
        <f t="shared" si="42"/>
      </c>
      <c r="Q4" s="65">
        <f t="shared" si="26"/>
      </c>
      <c r="R4" s="63">
        <f t="shared" si="17"/>
      </c>
      <c r="S4" s="63">
        <f t="shared" si="8"/>
      </c>
      <c r="T4" s="54">
        <f t="shared" si="27"/>
      </c>
      <c r="U4" s="66">
        <f t="shared" si="34"/>
      </c>
      <c r="V4" s="66">
        <f t="shared" si="35"/>
      </c>
      <c r="W4" s="66">
        <f t="shared" si="18"/>
      </c>
      <c r="X4" s="66">
        <f t="shared" si="36"/>
      </c>
      <c r="Y4" s="67">
        <f t="shared" ref="Y4:Y7" si="0">M4/AD4</f>
      </c>
      <c r="Z4" s="49">
        <v>8110</v>
      </c>
      <c r="AA4" s="60">
        <v>375</v>
      </c>
      <c r="AB4" s="60">
        <v>93</v>
      </c>
      <c r="AC4" s="60">
        <v>45</v>
      </c>
      <c r="AD4" s="60">
        <v>6</v>
      </c>
      <c r="AE4" s="57">
        <f t="shared" si="9"/>
      </c>
    </row>
    <row hidden="true" r="5">
      <c r="A5" s="44"/>
      <c r="B5" s="45" t="s">
        <v>45</v>
      </c>
      <c r="C5" s="45" t="s">
        <v>42</v>
      </c>
      <c r="D5" s="46">
        <v>2335.3</v>
      </c>
      <c r="E5" s="47">
        <v>3</v>
      </c>
      <c r="F5" s="47">
        <v>2</v>
      </c>
      <c r="G5" s="48">
        <f t="shared" si="41"/>
      </c>
      <c r="H5" s="49">
        <v>5</v>
      </c>
      <c r="I5" s="49">
        <v>1</v>
      </c>
      <c r="J5" s="50">
        <v>720</v>
      </c>
      <c r="K5" s="49">
        <v>2</v>
      </c>
      <c r="L5" s="51">
        <v>3244.8</v>
      </c>
      <c r="M5" s="49">
        <f t="shared" si="19"/>
      </c>
      <c r="N5" s="48">
        <f t="shared" si="16"/>
      </c>
      <c r="O5" s="48">
        <f t="shared" si="7"/>
      </c>
      <c r="P5" s="52">
        <f t="shared" si="42"/>
      </c>
      <c r="Q5" s="48">
        <f t="shared" si="26"/>
      </c>
      <c r="R5" s="63">
        <f t="shared" si="17"/>
      </c>
      <c r="S5" s="63">
        <f t="shared" si="8"/>
      </c>
      <c r="T5" s="54">
        <f t="shared" si="27"/>
      </c>
      <c r="U5" s="55">
        <f t="shared" si="34"/>
      </c>
      <c r="V5" s="56">
        <f t="shared" si="35"/>
      </c>
      <c r="W5" s="66">
        <f t="shared" si="18"/>
      </c>
      <c r="X5" s="55">
        <f t="shared" si="36"/>
      </c>
      <c r="Y5" s="68">
        <f t="shared" si="0"/>
      </c>
      <c r="Z5" s="49">
        <v>8430</v>
      </c>
      <c r="AA5" s="49">
        <v>306</v>
      </c>
      <c r="AB5" s="49">
        <v>50</v>
      </c>
      <c r="AC5" s="49">
        <v>4</v>
      </c>
      <c r="AD5" s="49">
        <v>5</v>
      </c>
      <c r="AE5" s="57">
        <f t="shared" si="9"/>
      </c>
    </row>
    <row hidden="true" r="6">
      <c r="A6" s="44"/>
      <c r="B6" s="69" t="s">
        <v>46</v>
      </c>
      <c r="C6" s="69"/>
      <c r="D6" s="70">
        <f>SUM(D2:D5)</f>
      </c>
      <c r="E6" s="71">
        <f>SUM(E2:E5)</f>
      </c>
      <c r="F6" s="71">
        <f>SUM(F2:F5)</f>
      </c>
      <c r="G6" s="71">
        <f t="shared" si="41"/>
      </c>
      <c r="H6" s="71">
        <f>SUM(H2:H5)</f>
      </c>
      <c r="I6" s="71">
        <f>SUM(I2:I5)</f>
      </c>
      <c r="J6" s="72">
        <f>SUM(J2:J5)</f>
      </c>
      <c r="K6" s="73">
        <f>SUM(K2:K5)</f>
      </c>
      <c r="L6" s="73">
        <f>SUM(L2:L5)</f>
      </c>
      <c r="M6" s="71">
        <f>SUM(M2:M5)</f>
      </c>
      <c r="N6" s="71">
        <f t="shared" si="16"/>
      </c>
      <c r="O6" s="71">
        <f t="shared" si="7"/>
      </c>
      <c r="P6" s="73">
        <f>SUM(P2:P5)</f>
      </c>
      <c r="Q6" s="71">
        <f t="shared" si="26"/>
      </c>
      <c r="R6" s="74">
        <f t="shared" si="17"/>
      </c>
      <c r="S6" s="74">
        <f t="shared" si="8"/>
      </c>
      <c r="T6" s="75">
        <f>(T5+T3+T4+T2)/4</f>
      </c>
      <c r="U6" s="76">
        <f t="shared" si="34"/>
      </c>
      <c r="V6" s="76">
        <f t="shared" si="35"/>
      </c>
      <c r="W6" s="76">
        <f t="shared" si="18"/>
      </c>
      <c r="X6" s="76">
        <f t="shared" si="36"/>
      </c>
      <c r="Y6" s="76">
        <f t="shared" si="0"/>
      </c>
      <c r="Z6" s="71">
        <f>SUM(Z2:Z5)</f>
      </c>
      <c r="AA6" s="71">
        <f>SUM(AA2:AA5)</f>
      </c>
      <c r="AB6" s="71">
        <f>SUM(AB2:AB5)</f>
      </c>
      <c r="AC6" s="71">
        <f>SUM(AC2:AC5)</f>
      </c>
      <c r="AD6" s="71">
        <f>SUM(AD2:AD5)</f>
      </c>
      <c r="AE6" s="71">
        <f>SUM(AE2:AE5)</f>
      </c>
    </row>
    <row hidden="true" r="7">
      <c r="A7" s="44"/>
      <c r="B7" s="45" t="s">
        <v>47</v>
      </c>
      <c r="C7" s="45" t="s">
        <v>48</v>
      </c>
      <c r="D7" s="46">
        <v>2536.34</v>
      </c>
      <c r="E7" s="47">
        <v>5</v>
      </c>
      <c r="F7" s="47">
        <v>2</v>
      </c>
      <c r="G7" s="48">
        <f t="shared" si="41"/>
      </c>
      <c r="H7" s="49">
        <v>4</v>
      </c>
      <c r="I7" s="49">
        <v>1</v>
      </c>
      <c r="J7" s="50">
        <v>720</v>
      </c>
      <c r="K7" s="49">
        <v>0</v>
      </c>
      <c r="L7" s="51">
        <v>0</v>
      </c>
      <c r="M7" s="49">
        <f t="shared" ref="M7:M9" si="20">K7+I7</f>
      </c>
      <c r="N7" s="48">
        <f t="shared" si="16"/>
      </c>
      <c r="O7" s="48">
        <f t="shared" si="7"/>
      </c>
      <c r="P7" s="52">
        <f t="shared" ref="P7:P9" si="43">J7+L7</f>
      </c>
      <c r="Q7" s="48">
        <f t="shared" si="26"/>
      </c>
      <c r="R7" s="53">
        <f t="shared" si="17"/>
      </c>
      <c r="S7" s="53">
        <f t="shared" si="8"/>
      </c>
      <c r="T7" s="54">
        <f t="shared" ref="T7:T9" si="28">AA7/60</f>
      </c>
      <c r="U7" s="55">
        <f t="shared" si="34"/>
      </c>
      <c r="V7" s="56">
        <f t="shared" si="35"/>
      </c>
      <c r="W7" s="55">
        <f t="shared" si="18"/>
      </c>
      <c r="X7" s="55">
        <f t="shared" si="36"/>
      </c>
      <c r="Y7" s="55">
        <f t="shared" si="0"/>
      </c>
      <c r="Z7" s="49">
        <v>10241</v>
      </c>
      <c r="AA7" s="49">
        <v>355</v>
      </c>
      <c r="AB7" s="49">
        <v>53</v>
      </c>
      <c r="AC7" s="77">
        <v>50</v>
      </c>
      <c r="AD7" s="49">
        <v>4</v>
      </c>
      <c r="AE7" s="57">
        <f t="shared" ref="AE7:AE9" si="10">COUNT(AD7)</f>
      </c>
    </row>
    <row hidden="true" r="8">
      <c r="A8" s="44"/>
      <c r="B8" s="45" t="s">
        <v>49</v>
      </c>
      <c r="C8" s="45" t="s">
        <v>48</v>
      </c>
      <c r="D8" s="46">
        <v>2217.22</v>
      </c>
      <c r="E8" s="47">
        <v>7</v>
      </c>
      <c r="F8" s="47">
        <v>4</v>
      </c>
      <c r="G8" s="48">
        <f t="shared" si="41"/>
      </c>
      <c r="H8" s="49">
        <v>11</v>
      </c>
      <c r="I8" s="49">
        <v>6</v>
      </c>
      <c r="J8" s="50">
        <v>5812.799999999999</v>
      </c>
      <c r="K8" s="49">
        <v>2</v>
      </c>
      <c r="L8" s="51">
        <v>3244.7999999999993</v>
      </c>
      <c r="M8" s="49">
        <f t="shared" si="20"/>
      </c>
      <c r="N8" s="48">
        <f t="shared" si="16"/>
      </c>
      <c r="O8" s="48">
        <f t="shared" si="7"/>
      </c>
      <c r="P8" s="52">
        <f t="shared" si="43"/>
      </c>
      <c r="Q8" s="48">
        <f t="shared" si="26"/>
      </c>
      <c r="R8" s="53">
        <f t="shared" si="17"/>
      </c>
      <c r="S8" s="53">
        <f t="shared" si="8"/>
      </c>
      <c r="T8" s="54">
        <f t="shared" si="28"/>
      </c>
      <c r="U8" s="55">
        <f t="shared" si="34"/>
      </c>
      <c r="V8" s="56">
        <f t="shared" si="35"/>
      </c>
      <c r="W8" s="55">
        <f t="shared" si="18"/>
      </c>
      <c r="X8" s="55">
        <f t="shared" si="36"/>
      </c>
      <c r="Y8" s="55">
        <f>AE8/AD8</f>
      </c>
      <c r="Z8" s="49">
        <v>8794</v>
      </c>
      <c r="AA8" s="49">
        <v>353</v>
      </c>
      <c r="AB8" s="49">
        <v>56</v>
      </c>
      <c r="AC8" s="77">
        <v>54</v>
      </c>
      <c r="AD8" s="49">
        <v>11</v>
      </c>
      <c r="AE8" s="57">
        <f t="shared" si="10"/>
      </c>
    </row>
    <row hidden="true" r="9">
      <c r="A9" s="44"/>
      <c r="B9" s="45" t="s">
        <v>50</v>
      </c>
      <c r="C9" s="45" t="s">
        <v>48</v>
      </c>
      <c r="D9" s="46">
        <v>1233.44</v>
      </c>
      <c r="E9" s="47">
        <v>2</v>
      </c>
      <c r="F9" s="47">
        <v>1</v>
      </c>
      <c r="G9" s="48">
        <f t="shared" si="41"/>
      </c>
      <c r="H9" s="49">
        <v>3</v>
      </c>
      <c r="I9" s="49">
        <v>2</v>
      </c>
      <c r="J9" s="50">
        <v>2726.3999999999996</v>
      </c>
      <c r="K9" s="49">
        <v>0</v>
      </c>
      <c r="L9" s="51">
        <v>0</v>
      </c>
      <c r="M9" s="49">
        <f t="shared" si="20"/>
      </c>
      <c r="N9" s="48">
        <f t="shared" si="16"/>
      </c>
      <c r="O9" s="48">
        <f t="shared" si="7"/>
      </c>
      <c r="P9" s="52">
        <f t="shared" si="43"/>
      </c>
      <c r="Q9" s="48">
        <f t="shared" si="26"/>
      </c>
      <c r="R9" s="53">
        <f t="shared" si="17"/>
      </c>
      <c r="S9" s="53">
        <f t="shared" si="8"/>
      </c>
      <c r="T9" s="54">
        <f t="shared" si="28"/>
      </c>
      <c r="U9" s="55">
        <f t="shared" si="34"/>
      </c>
      <c r="V9" s="56">
        <f t="shared" si="35"/>
      </c>
      <c r="W9" s="55">
        <f t="shared" si="18"/>
      </c>
      <c r="X9" s="55">
        <f t="shared" si="36"/>
      </c>
      <c r="Y9" s="55">
        <f t="shared" ref="Y9:Y11" si="1">M9/AD9</f>
      </c>
      <c r="Z9" s="49">
        <v>4184</v>
      </c>
      <c r="AA9" s="49">
        <v>214</v>
      </c>
      <c r="AB9" s="49">
        <v>35</v>
      </c>
      <c r="AC9" s="77">
        <v>32</v>
      </c>
      <c r="AD9" s="49">
        <v>3</v>
      </c>
      <c r="AE9" s="57">
        <f t="shared" si="10"/>
      </c>
    </row>
    <row hidden="true" r="10">
      <c r="A10" s="44"/>
      <c r="B10" s="69" t="s">
        <v>46</v>
      </c>
      <c r="C10" s="69"/>
      <c r="D10" s="70">
        <f>SUM(D7:D9)</f>
      </c>
      <c r="E10" s="71">
        <f>SUM(E7:E9)</f>
      </c>
      <c r="F10" s="71">
        <f>SUM(F7:F9)</f>
      </c>
      <c r="G10" s="78">
        <f t="shared" si="41"/>
      </c>
      <c r="H10" s="71">
        <f>SUM(H7:H9)</f>
      </c>
      <c r="I10" s="71">
        <f>SUM(I7:I9)</f>
      </c>
      <c r="J10" s="72">
        <f>SUM(J7:J9)</f>
      </c>
      <c r="K10" s="71">
        <f>SUM(K7:K9)</f>
      </c>
      <c r="L10" s="70">
        <f>SUM(L7:L9)</f>
      </c>
      <c r="M10" s="71">
        <f>SUM(M7:M9)</f>
      </c>
      <c r="N10" s="71">
        <f t="shared" si="16"/>
      </c>
      <c r="O10" s="71">
        <f t="shared" si="7"/>
      </c>
      <c r="P10" s="70">
        <f>SUM(P7:P9)</f>
      </c>
      <c r="Q10" s="71">
        <f t="shared" si="26"/>
      </c>
      <c r="R10" s="74">
        <f t="shared" si="17"/>
      </c>
      <c r="S10" s="74">
        <f t="shared" si="8"/>
      </c>
      <c r="T10" s="75">
        <f>(T8+T9+T7)/3</f>
      </c>
      <c r="U10" s="79">
        <f t="shared" si="34"/>
      </c>
      <c r="V10" s="80">
        <f t="shared" si="35"/>
      </c>
      <c r="W10" s="79">
        <f t="shared" si="18"/>
      </c>
      <c r="X10" s="79">
        <f t="shared" si="36"/>
      </c>
      <c r="Y10" s="79">
        <f t="shared" si="1"/>
      </c>
      <c r="Z10" s="71">
        <f>SUM(Z7:Z9)</f>
      </c>
      <c r="AA10" s="71">
        <f>SUM(AA7:AA9)</f>
      </c>
      <c r="AB10" s="71">
        <f>SUM(AB7:AB9)</f>
      </c>
      <c r="AC10" s="71">
        <f>SUM(AC7:AC9)</f>
      </c>
      <c r="AD10" s="71">
        <f>SUM(AD7:AD9)</f>
      </c>
      <c r="AE10" s="71">
        <f>SUM(AE7:AE9)</f>
      </c>
    </row>
    <row r="11">
      <c r="A11" s="44"/>
      <c r="B11" s="81" t="s">
        <v>51</v>
      </c>
      <c r="C11" s="81"/>
      <c r="D11" s="82">
        <f>D10+D6</f>
      </c>
      <c r="E11" s="83">
        <f>E10+E6</f>
      </c>
      <c r="F11" s="83">
        <f>F10+F6</f>
      </c>
      <c r="G11" s="84">
        <f t="shared" si="41"/>
      </c>
      <c r="H11" s="85">
        <f>H10+H6</f>
      </c>
      <c r="I11" s="83">
        <f>I10+I6</f>
      </c>
      <c r="J11" s="86">
        <f>J10+J6</f>
      </c>
      <c r="K11" s="83">
        <f>K10+K6</f>
      </c>
      <c r="L11" s="82">
        <f>L10+L6</f>
      </c>
      <c r="M11" s="83">
        <f>M10+M6</f>
      </c>
      <c r="N11" s="84">
        <f t="shared" si="16"/>
      </c>
      <c r="O11" s="87">
        <f t="shared" si="7"/>
      </c>
      <c r="P11" s="88">
        <f>P10+P6</f>
      </c>
      <c r="Q11" s="84">
        <f t="shared" si="26"/>
      </c>
      <c r="R11" s="89">
        <f t="shared" si="17"/>
      </c>
      <c r="S11" s="89">
        <f t="shared" si="8"/>
      </c>
      <c r="T11" s="90">
        <f>(T10+T6)/2</f>
      </c>
      <c r="U11" s="91">
        <f t="shared" si="34"/>
      </c>
      <c r="V11" s="92">
        <f t="shared" si="35"/>
      </c>
      <c r="W11" s="91">
        <f t="shared" si="18"/>
      </c>
      <c r="X11" s="91">
        <f t="shared" si="36"/>
      </c>
      <c r="Y11" s="91">
        <f t="shared" si="1"/>
      </c>
      <c r="Z11" s="83">
        <f>Z10+Z6</f>
      </c>
      <c r="AA11" s="83">
        <f>AA10+AA6</f>
      </c>
      <c r="AB11" s="83">
        <f>AB10+AB6</f>
      </c>
      <c r="AC11" s="83">
        <f>AC10+AC6</f>
      </c>
      <c r="AD11" s="83">
        <f>AD10+AD6</f>
      </c>
      <c r="AE11" s="83">
        <f>AE10+AE6</f>
      </c>
    </row>
    <row hidden="true" r="12">
      <c r="A12" s="44">
        <v>46267</v>
      </c>
      <c r="B12" s="45" t="s">
        <v>41</v>
      </c>
      <c r="C12" s="45" t="s">
        <v>42</v>
      </c>
      <c r="D12" s="46">
        <v>2737.27</v>
      </c>
      <c r="E12" s="47">
        <v>1</v>
      </c>
      <c r="F12" s="47">
        <v>0</v>
      </c>
      <c r="G12" s="48">
        <f t="shared" si="41"/>
      </c>
      <c r="H12" s="49">
        <v>2</v>
      </c>
      <c r="I12" s="49">
        <v>0</v>
      </c>
      <c r="J12" s="50">
        <v>0</v>
      </c>
      <c r="K12" s="49">
        <v>0</v>
      </c>
      <c r="L12" s="51">
        <v>0</v>
      </c>
      <c r="M12" s="49">
        <f t="shared" ref="M12:M15" si="21">K12+I12</f>
      </c>
      <c r="N12" s="48">
        <f t="shared" si="16"/>
      </c>
      <c r="O12" s="48">
        <f t="shared" si="7"/>
      </c>
      <c r="P12" s="52">
        <f t="shared" ref="P12:P15" si="44">J12+L12</f>
      </c>
      <c r="Q12" s="48">
        <f t="shared" si="26"/>
      </c>
      <c r="R12" s="53">
        <f t="shared" si="17"/>
      </c>
      <c r="S12" s="53">
        <f t="shared" si="8"/>
      </c>
      <c r="T12" s="54">
        <f t="shared" ref="T12:T15" si="29">AA12/60</f>
      </c>
      <c r="U12" s="55">
        <f t="shared" si="34"/>
      </c>
      <c r="V12" s="56">
        <f t="shared" si="35"/>
      </c>
      <c r="W12" s="55">
        <f t="shared" si="18"/>
      </c>
      <c r="X12" s="55">
        <f t="shared" si="36"/>
      </c>
      <c r="Y12" s="55">
        <f t="shared" ref="Y12:Y13" si="38">AE12/AD12</f>
      </c>
      <c r="Z12" s="49">
        <v>8703</v>
      </c>
      <c r="AA12" s="49">
        <v>385</v>
      </c>
      <c r="AB12" s="49">
        <v>37</v>
      </c>
      <c r="AC12" s="49">
        <v>36</v>
      </c>
      <c r="AD12" s="49">
        <v>2</v>
      </c>
      <c r="AE12" s="57">
        <f t="shared" ref="AE12:AE15" si="11">COUNT(AD12)</f>
      </c>
    </row>
    <row hidden="true" r="13">
      <c r="A13" s="44"/>
      <c r="B13" s="45" t="s">
        <v>43</v>
      </c>
      <c r="C13" s="45" t="s">
        <v>42</v>
      </c>
      <c r="D13" s="58">
        <v>1881.83</v>
      </c>
      <c r="E13" s="59">
        <v>3</v>
      </c>
      <c r="F13" s="59">
        <v>0</v>
      </c>
      <c r="G13" s="48">
        <f t="shared" si="41"/>
      </c>
      <c r="H13" s="60">
        <v>3</v>
      </c>
      <c r="I13" s="60">
        <v>0</v>
      </c>
      <c r="J13" s="61">
        <v>0</v>
      </c>
      <c r="K13" s="60">
        <v>0</v>
      </c>
      <c r="L13" s="62">
        <v>0</v>
      </c>
      <c r="M13" s="49">
        <f t="shared" si="21"/>
      </c>
      <c r="N13" s="48">
        <f t="shared" si="16"/>
      </c>
      <c r="O13" s="48">
        <f t="shared" si="7"/>
      </c>
      <c r="P13" s="52">
        <f t="shared" si="44"/>
      </c>
      <c r="Q13" s="48">
        <f t="shared" si="26"/>
      </c>
      <c r="R13" s="53">
        <f t="shared" si="17"/>
      </c>
      <c r="S13" s="63">
        <f t="shared" si="8"/>
      </c>
      <c r="T13" s="54">
        <f t="shared" si="29"/>
      </c>
      <c r="U13" s="55">
        <f t="shared" si="34"/>
      </c>
      <c r="V13" s="56">
        <f t="shared" si="35"/>
      </c>
      <c r="W13" s="55">
        <f t="shared" si="18"/>
      </c>
      <c r="X13" s="55">
        <f t="shared" si="36"/>
      </c>
      <c r="Y13" s="55">
        <f t="shared" si="38"/>
      </c>
      <c r="Z13" s="49">
        <v>5793</v>
      </c>
      <c r="AA13" s="60">
        <v>271</v>
      </c>
      <c r="AB13" s="60">
        <v>43</v>
      </c>
      <c r="AC13" s="60">
        <v>37</v>
      </c>
      <c r="AD13" s="60">
        <v>3</v>
      </c>
      <c r="AE13" s="57">
        <f t="shared" si="11"/>
      </c>
    </row>
    <row hidden="true" r="14">
      <c r="A14" s="44"/>
      <c r="B14" s="45" t="s">
        <v>44</v>
      </c>
      <c r="C14" s="45" t="s">
        <v>42</v>
      </c>
      <c r="D14" s="58">
        <v>1977.9</v>
      </c>
      <c r="E14" s="59">
        <v>6</v>
      </c>
      <c r="F14" s="59">
        <v>3</v>
      </c>
      <c r="G14" s="48">
        <f t="shared" si="41"/>
      </c>
      <c r="H14" s="60">
        <v>7</v>
      </c>
      <c r="I14" s="60">
        <v>1</v>
      </c>
      <c r="J14" s="61">
        <v>720</v>
      </c>
      <c r="K14" s="60">
        <v>2</v>
      </c>
      <c r="L14" s="62">
        <v>5426.400000000001</v>
      </c>
      <c r="M14" s="64">
        <f t="shared" si="21"/>
      </c>
      <c r="N14" s="48">
        <f t="shared" si="16"/>
      </c>
      <c r="O14" s="65">
        <f t="shared" si="7"/>
      </c>
      <c r="P14" s="52">
        <f t="shared" si="44"/>
      </c>
      <c r="Q14" s="65">
        <f t="shared" si="26"/>
      </c>
      <c r="R14" s="63">
        <f t="shared" si="17"/>
      </c>
      <c r="S14" s="63">
        <f t="shared" si="8"/>
      </c>
      <c r="T14" s="54">
        <f t="shared" si="29"/>
      </c>
      <c r="U14" s="66">
        <f t="shared" si="34"/>
      </c>
      <c r="V14" s="66">
        <f t="shared" si="35"/>
      </c>
      <c r="W14" s="66">
        <f t="shared" si="18"/>
      </c>
      <c r="X14" s="66">
        <f t="shared" si="36"/>
      </c>
      <c r="Y14" s="67">
        <f t="shared" ref="Y14:Y17" si="2">M14/AD14</f>
      </c>
      <c r="Z14" s="49">
        <v>7388</v>
      </c>
      <c r="AA14" s="60">
        <v>347</v>
      </c>
      <c r="AB14" s="60">
        <v>58</v>
      </c>
      <c r="AC14" s="60">
        <v>36</v>
      </c>
      <c r="AD14" s="60">
        <v>7</v>
      </c>
      <c r="AE14" s="57">
        <f t="shared" si="11"/>
      </c>
    </row>
    <row hidden="true" r="15">
      <c r="A15" s="44"/>
      <c r="B15" s="45" t="s">
        <v>45</v>
      </c>
      <c r="C15" s="45" t="s">
        <v>42</v>
      </c>
      <c r="D15" s="46">
        <v>1710.24</v>
      </c>
      <c r="E15" s="47">
        <v>6</v>
      </c>
      <c r="F15" s="47">
        <v>0</v>
      </c>
      <c r="G15" s="48">
        <f t="shared" si="41"/>
      </c>
      <c r="H15" s="49">
        <v>7</v>
      </c>
      <c r="I15" s="49">
        <v>0</v>
      </c>
      <c r="J15" s="50">
        <v>0</v>
      </c>
      <c r="K15" s="49">
        <v>0</v>
      </c>
      <c r="L15" s="51">
        <v>0</v>
      </c>
      <c r="M15" s="49">
        <f t="shared" si="21"/>
      </c>
      <c r="N15" s="48">
        <f t="shared" si="16"/>
      </c>
      <c r="O15" s="48">
        <f t="shared" si="7"/>
      </c>
      <c r="P15" s="52">
        <f t="shared" si="44"/>
      </c>
      <c r="Q15" s="48">
        <f t="shared" si="26"/>
      </c>
      <c r="R15" s="63">
        <f t="shared" si="17"/>
      </c>
      <c r="S15" s="63">
        <f t="shared" si="8"/>
      </c>
      <c r="T15" s="54">
        <f t="shared" si="29"/>
      </c>
      <c r="U15" s="55">
        <f t="shared" si="34"/>
      </c>
      <c r="V15" s="56">
        <f t="shared" si="35"/>
      </c>
      <c r="W15" s="66">
        <f t="shared" si="18"/>
      </c>
      <c r="X15" s="55">
        <f t="shared" si="36"/>
      </c>
      <c r="Y15" s="68">
        <f t="shared" si="2"/>
      </c>
      <c r="Z15" s="49">
        <v>6046</v>
      </c>
      <c r="AA15" s="49">
        <v>286</v>
      </c>
      <c r="AB15" s="49">
        <v>50</v>
      </c>
      <c r="AC15" s="49">
        <v>35</v>
      </c>
      <c r="AD15" s="49">
        <v>7</v>
      </c>
      <c r="AE15" s="57">
        <f t="shared" si="11"/>
      </c>
    </row>
    <row hidden="true" r="16">
      <c r="A16" s="44"/>
      <c r="B16" s="69" t="s">
        <v>46</v>
      </c>
      <c r="C16" s="69"/>
      <c r="D16" s="70">
        <f>SUM(D12:D15)</f>
      </c>
      <c r="E16" s="71">
        <f>SUM(E12:E15)</f>
      </c>
      <c r="F16" s="71">
        <f>SUM(F12:F15)</f>
      </c>
      <c r="G16" s="71">
        <f t="shared" si="41"/>
      </c>
      <c r="H16" s="71">
        <f>SUM(H12:H15)</f>
      </c>
      <c r="I16" s="71">
        <f>SUM(I12:I15)</f>
      </c>
      <c r="J16" s="72">
        <f>SUM(J12:J15)</f>
      </c>
      <c r="K16" s="73">
        <f>SUM(K12:K15)</f>
      </c>
      <c r="L16" s="73">
        <f>SUM(L12:L15)</f>
      </c>
      <c r="M16" s="71">
        <f>SUM(M12:M15)</f>
      </c>
      <c r="N16" s="71">
        <f t="shared" si="16"/>
      </c>
      <c r="O16" s="71">
        <f t="shared" si="7"/>
      </c>
      <c r="P16" s="73">
        <f>SUM(P12:P15)</f>
      </c>
      <c r="Q16" s="71">
        <f t="shared" si="26"/>
      </c>
      <c r="R16" s="74">
        <f t="shared" si="17"/>
      </c>
      <c r="S16" s="74">
        <f t="shared" si="8"/>
      </c>
      <c r="T16" s="75">
        <f>(T15+T13+T14+T12)/4</f>
      </c>
      <c r="U16" s="76">
        <f t="shared" si="34"/>
      </c>
      <c r="V16" s="76">
        <f t="shared" si="35"/>
      </c>
      <c r="W16" s="76">
        <f t="shared" si="18"/>
      </c>
      <c r="X16" s="76">
        <f t="shared" si="36"/>
      </c>
      <c r="Y16" s="76">
        <f t="shared" si="2"/>
      </c>
      <c r="Z16" s="71">
        <f>SUM(Z12:Z15)</f>
      </c>
      <c r="AA16" s="71">
        <f>SUM(AA12:AA15)</f>
      </c>
      <c r="AB16" s="71">
        <f>SUM(AB12:AB15)</f>
      </c>
      <c r="AC16" s="71">
        <f>SUM(AC12:AC15)</f>
      </c>
      <c r="AD16" s="71">
        <f>SUM(AD12:AD15)</f>
      </c>
      <c r="AE16" s="71">
        <f>SUM(AE12:AE15)</f>
      </c>
    </row>
    <row hidden="true" r="17">
      <c r="A17" s="44"/>
      <c r="B17" s="45" t="s">
        <v>47</v>
      </c>
      <c r="C17" s="45" t="s">
        <v>48</v>
      </c>
      <c r="D17" s="46">
        <v>1004.99</v>
      </c>
      <c r="E17" s="47">
        <v>3</v>
      </c>
      <c r="F17" s="47">
        <v>2</v>
      </c>
      <c r="G17" s="48">
        <f t="shared" si="41"/>
      </c>
      <c r="H17" s="49">
        <v>3</v>
      </c>
      <c r="I17" s="49">
        <v>1</v>
      </c>
      <c r="J17" s="50">
        <v>927.5999999999999</v>
      </c>
      <c r="K17" s="49">
        <v>0</v>
      </c>
      <c r="L17" s="51">
        <v>0</v>
      </c>
      <c r="M17" s="49">
        <f t="shared" ref="M17:M19" si="22">K17+I17</f>
      </c>
      <c r="N17" s="48">
        <f t="shared" si="16"/>
      </c>
      <c r="O17" s="48">
        <f t="shared" si="7"/>
      </c>
      <c r="P17" s="52">
        <f t="shared" ref="P17:P19" si="45">J17+L17</f>
      </c>
      <c r="Q17" s="48">
        <f t="shared" si="26"/>
      </c>
      <c r="R17" s="53">
        <f t="shared" si="17"/>
      </c>
      <c r="S17" s="53">
        <f t="shared" si="8"/>
      </c>
      <c r="T17" s="54">
        <f t="shared" ref="T17:T19" si="30">AA17/60</f>
      </c>
      <c r="U17" s="55">
        <f t="shared" si="34"/>
      </c>
      <c r="V17" s="56">
        <f t="shared" si="35"/>
      </c>
      <c r="W17" s="55">
        <f t="shared" si="18"/>
      </c>
      <c r="X17" s="55">
        <f t="shared" si="36"/>
      </c>
      <c r="Y17" s="55">
        <f t="shared" si="2"/>
      </c>
      <c r="Z17" s="49">
        <v>3819</v>
      </c>
      <c r="AA17" s="49">
        <v>231</v>
      </c>
      <c r="AB17" s="49">
        <v>19</v>
      </c>
      <c r="AC17" s="77">
        <v>31</v>
      </c>
      <c r="AD17" s="49">
        <v>3</v>
      </c>
      <c r="AE17" s="57">
        <f t="shared" ref="AE17:AE19" si="12">COUNT(AD17)</f>
      </c>
    </row>
    <row hidden="true" r="18">
      <c r="A18" s="44"/>
      <c r="B18" s="45" t="s">
        <v>49</v>
      </c>
      <c r="C18" s="45" t="s">
        <v>48</v>
      </c>
      <c r="D18" s="46">
        <v>1271.88</v>
      </c>
      <c r="E18" s="47">
        <v>2</v>
      </c>
      <c r="F18" s="47">
        <v>1</v>
      </c>
      <c r="G18" s="48">
        <f t="shared" si="41"/>
      </c>
      <c r="H18" s="49">
        <v>3</v>
      </c>
      <c r="I18" s="49">
        <v>1</v>
      </c>
      <c r="J18" s="50">
        <v>904.7999999999997</v>
      </c>
      <c r="K18" s="49">
        <v>0</v>
      </c>
      <c r="L18" s="51">
        <v>0</v>
      </c>
      <c r="M18" s="49">
        <f t="shared" si="22"/>
      </c>
      <c r="N18" s="48">
        <f t="shared" si="16"/>
      </c>
      <c r="O18" s="48">
        <f t="shared" si="7"/>
      </c>
      <c r="P18" s="52">
        <f t="shared" si="45"/>
      </c>
      <c r="Q18" s="48">
        <f t="shared" si="26"/>
      </c>
      <c r="R18" s="53">
        <f t="shared" si="17"/>
      </c>
      <c r="S18" s="53">
        <f t="shared" si="8"/>
      </c>
      <c r="T18" s="54">
        <f t="shared" si="30"/>
      </c>
      <c r="U18" s="55">
        <f t="shared" si="34"/>
      </c>
      <c r="V18" s="56">
        <f t="shared" si="35"/>
      </c>
      <c r="W18" s="55">
        <f t="shared" si="18"/>
      </c>
      <c r="X18" s="55">
        <f t="shared" si="36"/>
      </c>
      <c r="Y18" s="55">
        <f>AE18/AD18</f>
      </c>
      <c r="Z18" s="49">
        <v>3981</v>
      </c>
      <c r="AA18" s="49">
        <v>243</v>
      </c>
      <c r="AB18" s="49">
        <v>20</v>
      </c>
      <c r="AC18" s="77">
        <v>23</v>
      </c>
      <c r="AD18" s="49">
        <v>3</v>
      </c>
      <c r="AE18" s="57">
        <f t="shared" si="12"/>
      </c>
    </row>
    <row hidden="true" r="19">
      <c r="A19" s="44"/>
      <c r="B19" s="45" t="s">
        <v>50</v>
      </c>
      <c r="C19" s="45" t="s">
        <v>48</v>
      </c>
      <c r="D19" s="46">
        <v>771.65</v>
      </c>
      <c r="E19" s="47">
        <v>0</v>
      </c>
      <c r="F19" s="47">
        <v>0</v>
      </c>
      <c r="G19" s="48">
        <f t="shared" si="41"/>
      </c>
      <c r="H19" s="49">
        <v>0</v>
      </c>
      <c r="I19" s="49">
        <v>0</v>
      </c>
      <c r="J19" s="50">
        <v>0</v>
      </c>
      <c r="K19" s="49">
        <v>0</v>
      </c>
      <c r="L19" s="51">
        <v>0</v>
      </c>
      <c r="M19" s="49">
        <f t="shared" si="22"/>
      </c>
      <c r="N19" s="48">
        <f t="shared" si="16"/>
      </c>
      <c r="O19" s="48">
        <f t="shared" si="7"/>
      </c>
      <c r="P19" s="52">
        <f t="shared" si="45"/>
      </c>
      <c r="Q19" s="48">
        <f t="shared" si="26"/>
      </c>
      <c r="R19" s="53">
        <f t="shared" si="17"/>
      </c>
      <c r="S19" s="53">
        <f t="shared" si="8"/>
      </c>
      <c r="T19" s="54">
        <f t="shared" si="30"/>
      </c>
      <c r="U19" s="55">
        <f t="shared" si="34"/>
      </c>
      <c r="V19" s="56">
        <f t="shared" si="35"/>
      </c>
      <c r="W19" s="55">
        <f t="shared" si="18"/>
      </c>
      <c r="X19" s="55">
        <f t="shared" si="36"/>
      </c>
      <c r="Y19" s="55">
        <f t="shared" ref="Y19:Y21" si="3">M19/AD19</f>
      </c>
      <c r="Z19" s="49">
        <v>2680</v>
      </c>
      <c r="AA19" s="49">
        <v>168</v>
      </c>
      <c r="AB19" s="49">
        <v>24</v>
      </c>
      <c r="AC19" s="77">
        <v>17</v>
      </c>
      <c r="AD19" s="49">
        <v>0</v>
      </c>
      <c r="AE19" s="57">
        <f t="shared" si="12"/>
      </c>
    </row>
    <row hidden="true" r="20">
      <c r="A20" s="44"/>
      <c r="B20" s="69" t="s">
        <v>46</v>
      </c>
      <c r="C20" s="69"/>
      <c r="D20" s="70">
        <f>SUM(D17:D19)</f>
      </c>
      <c r="E20" s="71">
        <f>SUM(E17:E19)</f>
      </c>
      <c r="F20" s="71">
        <f>SUM(F17:F19)</f>
      </c>
      <c r="G20" s="78">
        <f t="shared" si="41"/>
      </c>
      <c r="H20" s="71">
        <f>SUM(H17:H19)</f>
      </c>
      <c r="I20" s="71">
        <f>SUM(I17:I19)</f>
      </c>
      <c r="J20" s="72">
        <f>SUM(J17:J19)</f>
      </c>
      <c r="K20" s="71">
        <f>SUM(K17:K19)</f>
      </c>
      <c r="L20" s="70">
        <f>SUM(L17:L19)</f>
      </c>
      <c r="M20" s="71">
        <f>SUM(M17:M19)</f>
      </c>
      <c r="N20" s="71">
        <f t="shared" si="16"/>
      </c>
      <c r="O20" s="71">
        <f t="shared" si="7"/>
      </c>
      <c r="P20" s="70">
        <f>SUM(P17:P19)</f>
      </c>
      <c r="Q20" s="71">
        <f t="shared" si="26"/>
      </c>
      <c r="R20" s="74">
        <f t="shared" si="17"/>
      </c>
      <c r="S20" s="74">
        <f t="shared" si="8"/>
      </c>
      <c r="T20" s="75">
        <f>(T18+T19+T17)/3</f>
      </c>
      <c r="U20" s="79">
        <f t="shared" si="34"/>
      </c>
      <c r="V20" s="80">
        <f t="shared" si="35"/>
      </c>
      <c r="W20" s="79">
        <f t="shared" si="18"/>
      </c>
      <c r="X20" s="79">
        <f t="shared" si="36"/>
      </c>
      <c r="Y20" s="79">
        <f t="shared" si="3"/>
      </c>
      <c r="Z20" s="71">
        <f>SUM(Z17:Z19)</f>
      </c>
      <c r="AA20" s="71">
        <f>SUM(AA17:AA19)</f>
      </c>
      <c r="AB20" s="71">
        <f>SUM(AB17:AB19)</f>
      </c>
      <c r="AC20" s="71">
        <f>SUM(AC17:AC19)</f>
      </c>
      <c r="AD20" s="71">
        <f>SUM(AD17:AD19)</f>
      </c>
      <c r="AE20" s="71">
        <f>SUM(AE17:AE19)</f>
      </c>
    </row>
    <row r="21">
      <c r="A21" s="44"/>
      <c r="B21" s="81" t="s">
        <v>51</v>
      </c>
      <c r="C21" s="81"/>
      <c r="D21" s="82">
        <f>D20+D16</f>
      </c>
      <c r="E21" s="83">
        <f>E20+E16</f>
      </c>
      <c r="F21" s="83">
        <f>F20+F16</f>
      </c>
      <c r="G21" s="84">
        <f t="shared" si="41"/>
      </c>
      <c r="H21" s="85">
        <f>H20+H16</f>
      </c>
      <c r="I21" s="83">
        <f>I20+I16</f>
      </c>
      <c r="J21" s="86">
        <f>J20+J16</f>
      </c>
      <c r="K21" s="83">
        <f>K20+K16</f>
      </c>
      <c r="L21" s="82">
        <f>L20+L16</f>
      </c>
      <c r="M21" s="83">
        <f>M20+M16</f>
      </c>
      <c r="N21" s="84">
        <f t="shared" si="16"/>
      </c>
      <c r="O21" s="87">
        <f t="shared" si="7"/>
      </c>
      <c r="P21" s="88">
        <f>P20+P16</f>
      </c>
      <c r="Q21" s="84">
        <f t="shared" si="26"/>
      </c>
      <c r="R21" s="89">
        <f t="shared" si="17"/>
      </c>
      <c r="S21" s="89">
        <f t="shared" si="8"/>
      </c>
      <c r="T21" s="90">
        <f>(T20+T16)/2</f>
      </c>
      <c r="U21" s="91">
        <f t="shared" si="34"/>
      </c>
      <c r="V21" s="92">
        <f t="shared" si="35"/>
      </c>
      <c r="W21" s="91">
        <f t="shared" si="18"/>
      </c>
      <c r="X21" s="91">
        <f t="shared" si="36"/>
      </c>
      <c r="Y21" s="91">
        <f t="shared" si="3"/>
      </c>
      <c r="Z21" s="83">
        <f>Z20+Z16</f>
      </c>
      <c r="AA21" s="83">
        <f>AA20+AA16</f>
      </c>
      <c r="AB21" s="83">
        <f>AB20+AB16</f>
      </c>
      <c r="AC21" s="83">
        <f>AC20+AC16</f>
      </c>
      <c r="AD21" s="83">
        <f>AD20+AD16</f>
      </c>
      <c r="AE21" s="83">
        <f>AE20+AE16</f>
      </c>
    </row>
    <row hidden="true" r="22">
      <c r="A22" s="44">
        <v>46268</v>
      </c>
      <c r="B22" s="45" t="s">
        <v>41</v>
      </c>
      <c r="C22" s="45" t="s">
        <v>42</v>
      </c>
      <c r="D22" s="46">
        <v>2606.23</v>
      </c>
      <c r="E22" s="47">
        <v>5</v>
      </c>
      <c r="F22" s="47">
        <v>3</v>
      </c>
      <c r="G22" s="48">
        <f t="shared" si="41"/>
      </c>
      <c r="H22" s="49">
        <v>5</v>
      </c>
      <c r="I22" s="49">
        <v>3</v>
      </c>
      <c r="J22" s="50">
        <v>2367.6000000000004</v>
      </c>
      <c r="K22" s="49">
        <v>0</v>
      </c>
      <c r="L22" s="51">
        <v>0</v>
      </c>
      <c r="M22" s="49">
        <f t="shared" ref="M22:M24" si="23">K22+I22</f>
      </c>
      <c r="N22" s="48">
        <f t="shared" si="16"/>
      </c>
      <c r="O22" s="48">
        <f t="shared" si="7"/>
      </c>
      <c r="P22" s="52">
        <f t="shared" ref="P22:P24" si="46">J22+L22</f>
      </c>
      <c r="Q22" s="48">
        <f t="shared" si="26"/>
      </c>
      <c r="R22" s="53">
        <f t="shared" si="17"/>
      </c>
      <c r="S22" s="53">
        <f t="shared" si="8"/>
      </c>
      <c r="T22" s="54">
        <f t="shared" ref="T22:T24" si="31">AA22/60</f>
      </c>
      <c r="U22" s="55">
        <f t="shared" si="34"/>
      </c>
      <c r="V22" s="56">
        <f t="shared" si="35"/>
      </c>
      <c r="W22" s="55">
        <f t="shared" si="18"/>
      </c>
      <c r="X22" s="55">
        <f t="shared" si="36"/>
      </c>
      <c r="Y22" s="55">
        <f t="shared" ref="Y22:Y23" si="39">AE22/AD22</f>
      </c>
      <c r="Z22" s="49">
        <v>7866</v>
      </c>
      <c r="AA22" s="49">
        <v>332</v>
      </c>
      <c r="AB22" s="49">
        <v>47</v>
      </c>
      <c r="AC22" s="49">
        <v>58</v>
      </c>
      <c r="AD22" s="49">
        <v>5</v>
      </c>
      <c r="AE22" s="57">
        <f t="shared" ref="AE22:AE24" si="13">COUNT(AD22)</f>
      </c>
    </row>
    <row hidden="true" r="23">
      <c r="A23" s="44"/>
      <c r="B23" s="45" t="s">
        <v>43</v>
      </c>
      <c r="C23" s="45" t="s">
        <v>42</v>
      </c>
      <c r="D23" s="58">
        <v>2688.45</v>
      </c>
      <c r="E23" s="59">
        <v>1</v>
      </c>
      <c r="F23" s="59">
        <v>1</v>
      </c>
      <c r="G23" s="48">
        <f t="shared" si="41"/>
      </c>
      <c r="H23" s="60">
        <v>1</v>
      </c>
      <c r="I23" s="60">
        <v>1</v>
      </c>
      <c r="J23" s="61">
        <v>720</v>
      </c>
      <c r="K23" s="60">
        <v>0</v>
      </c>
      <c r="L23" s="62">
        <v>0</v>
      </c>
      <c r="M23" s="49">
        <f t="shared" si="23"/>
      </c>
      <c r="N23" s="48">
        <f t="shared" si="16"/>
      </c>
      <c r="O23" s="48">
        <f t="shared" si="7"/>
      </c>
      <c r="P23" s="52">
        <f t="shared" si="46"/>
      </c>
      <c r="Q23" s="48">
        <f t="shared" si="26"/>
      </c>
      <c r="R23" s="53">
        <f t="shared" si="17"/>
      </c>
      <c r="S23" s="63">
        <f t="shared" si="8"/>
      </c>
      <c r="T23" s="54">
        <f t="shared" si="31"/>
      </c>
      <c r="U23" s="55">
        <f t="shared" si="34"/>
      </c>
      <c r="V23" s="56">
        <f t="shared" si="35"/>
      </c>
      <c r="W23" s="55">
        <f t="shared" si="18"/>
      </c>
      <c r="X23" s="55">
        <f t="shared" si="36"/>
      </c>
      <c r="Y23" s="55">
        <f t="shared" si="39"/>
      </c>
      <c r="Z23" s="49">
        <v>7745</v>
      </c>
      <c r="AA23" s="60">
        <v>288</v>
      </c>
      <c r="AB23" s="60">
        <v>56</v>
      </c>
      <c r="AC23" s="60">
        <v>47</v>
      </c>
      <c r="AD23" s="60">
        <v>1</v>
      </c>
      <c r="AE23" s="57">
        <f t="shared" si="13"/>
      </c>
    </row>
    <row hidden="true" r="24">
      <c r="A24" s="44"/>
      <c r="B24" s="45" t="s">
        <v>44</v>
      </c>
      <c r="C24" s="45" t="s">
        <v>42</v>
      </c>
      <c r="D24" s="58">
        <v>1366.13</v>
      </c>
      <c r="E24" s="59">
        <v>3</v>
      </c>
      <c r="F24" s="59">
        <v>1</v>
      </c>
      <c r="G24" s="48">
        <f t="shared" si="41"/>
      </c>
      <c r="H24" s="60">
        <v>3</v>
      </c>
      <c r="I24" s="60">
        <v>1</v>
      </c>
      <c r="J24" s="61">
        <v>1525.199999999999</v>
      </c>
      <c r="K24" s="60">
        <v>0</v>
      </c>
      <c r="L24" s="62">
        <v>0</v>
      </c>
      <c r="M24" s="64">
        <f t="shared" si="23"/>
      </c>
      <c r="N24" s="48">
        <f t="shared" si="16"/>
      </c>
      <c r="O24" s="65">
        <f t="shared" si="7"/>
      </c>
      <c r="P24" s="52">
        <f t="shared" si="46"/>
      </c>
      <c r="Q24" s="65">
        <f t="shared" si="26"/>
      </c>
      <c r="R24" s="63">
        <f t="shared" si="17"/>
      </c>
      <c r="S24" s="63">
        <f t="shared" si="8"/>
      </c>
      <c r="T24" s="54">
        <f t="shared" si="31"/>
      </c>
      <c r="U24" s="66">
        <f t="shared" si="34"/>
      </c>
      <c r="V24" s="66">
        <f t="shared" si="35"/>
      </c>
      <c r="W24" s="66">
        <f t="shared" si="18"/>
      </c>
      <c r="X24" s="66">
        <f t="shared" si="36"/>
      </c>
      <c r="Y24" s="67">
        <f t="shared" ref="Y24:Y26" si="4">M24/AD24</f>
      </c>
      <c r="Z24" s="49">
        <v>5961</v>
      </c>
      <c r="AA24" s="60">
        <v>231</v>
      </c>
      <c r="AB24" s="60">
        <v>30</v>
      </c>
      <c r="AC24" s="60">
        <v>31</v>
      </c>
      <c r="AD24" s="60">
        <v>3</v>
      </c>
      <c r="AE24" s="57">
        <f t="shared" si="13"/>
      </c>
    </row>
    <row hidden="true" r="25">
      <c r="A25" s="44"/>
      <c r="B25" s="69" t="s">
        <v>46</v>
      </c>
      <c r="C25" s="69"/>
      <c r="D25" s="70">
        <f>SUM(D22:D24)</f>
      </c>
      <c r="E25" s="71">
        <f>SUM(E22:E24)</f>
      </c>
      <c r="F25" s="71">
        <f>SUM(F22:F24)</f>
      </c>
      <c r="G25" s="71">
        <f t="shared" si="41"/>
      </c>
      <c r="H25" s="71">
        <f>SUM(H22:H24)</f>
      </c>
      <c r="I25" s="71">
        <f>SUM(I22:I24)</f>
      </c>
      <c r="J25" s="72">
        <f>SUM(J22:J24)</f>
      </c>
      <c r="K25" s="73">
        <f>SUM(K22:K24)</f>
      </c>
      <c r="L25" s="73">
        <f>SUM(L22:L24)</f>
      </c>
      <c r="M25" s="71">
        <f>SUM(M22:M24)</f>
      </c>
      <c r="N25" s="71">
        <f t="shared" si="16"/>
      </c>
      <c r="O25" s="71">
        <f t="shared" si="7"/>
      </c>
      <c r="P25" s="73">
        <f>SUM(P22:P24)</f>
      </c>
      <c r="Q25" s="71">
        <f t="shared" si="26"/>
      </c>
      <c r="R25" s="74">
        <f t="shared" si="17"/>
      </c>
      <c r="S25" s="74">
        <f t="shared" si="8"/>
      </c>
      <c r="T25" s="75">
        <f>(T23+T24+T22)/3</f>
      </c>
      <c r="U25" s="76">
        <f t="shared" si="34"/>
      </c>
      <c r="V25" s="76">
        <f t="shared" si="35"/>
      </c>
      <c r="W25" s="76">
        <f t="shared" si="18"/>
      </c>
      <c r="X25" s="76">
        <f t="shared" si="36"/>
      </c>
      <c r="Y25" s="76">
        <f t="shared" si="4"/>
      </c>
      <c r="Z25" s="71">
        <f>SUM(Z22:Z24)</f>
      </c>
      <c r="AA25" s="71">
        <f>SUM(AA22:AA24)</f>
      </c>
      <c r="AB25" s="71">
        <f>SUM(AB22:AB24)</f>
      </c>
      <c r="AC25" s="71">
        <f>SUM(AC22:AC24)</f>
      </c>
      <c r="AD25" s="71">
        <f>SUM(AD22:AD24)</f>
      </c>
      <c r="AE25" s="71">
        <f>SUM(AE22:AE24)</f>
      </c>
    </row>
    <row hidden="true" r="26">
      <c r="A26" s="44"/>
      <c r="B26" s="45" t="s">
        <v>45</v>
      </c>
      <c r="C26" s="45" t="s">
        <v>52</v>
      </c>
      <c r="D26" s="46">
        <v>1732.07</v>
      </c>
      <c r="E26" s="47">
        <v>3</v>
      </c>
      <c r="F26" s="47">
        <v>0</v>
      </c>
      <c r="G26" s="48">
        <f t="shared" si="41"/>
      </c>
      <c r="H26" s="49">
        <v>3</v>
      </c>
      <c r="I26" s="49">
        <v>0</v>
      </c>
      <c r="J26" s="50">
        <v>0</v>
      </c>
      <c r="K26" s="49">
        <v>0</v>
      </c>
      <c r="L26" s="51">
        <v>0</v>
      </c>
      <c r="M26" s="49">
        <f t="shared" ref="M26:M28" si="24">K26+I26</f>
      </c>
      <c r="N26" s="48">
        <f t="shared" si="16"/>
      </c>
      <c r="O26" s="48">
        <f t="shared" si="7"/>
      </c>
      <c r="P26" s="52">
        <f t="shared" ref="P26:P28" si="47">J26+L26</f>
      </c>
      <c r="Q26" s="48">
        <f t="shared" si="26"/>
      </c>
      <c r="R26" s="53">
        <f t="shared" si="17"/>
      </c>
      <c r="S26" s="53">
        <f t="shared" si="8"/>
      </c>
      <c r="T26" s="54">
        <f t="shared" ref="T26:T28" si="32">AA26/60</f>
      </c>
      <c r="U26" s="55">
        <f t="shared" si="34"/>
      </c>
      <c r="V26" s="56">
        <f t="shared" si="35"/>
      </c>
      <c r="W26" s="55">
        <f t="shared" si="18"/>
      </c>
      <c r="X26" s="55">
        <f t="shared" si="36"/>
      </c>
      <c r="Y26" s="55">
        <f t="shared" si="4"/>
      </c>
      <c r="Z26" s="49">
        <v>7024</v>
      </c>
      <c r="AA26" s="49">
        <v>221</v>
      </c>
      <c r="AB26" s="49">
        <v>38</v>
      </c>
      <c r="AC26" s="77">
        <v>24</v>
      </c>
      <c r="AD26" s="49">
        <v>3</v>
      </c>
      <c r="AE26" s="57">
        <f t="shared" ref="AE26:AE28" si="14">COUNT(AD26)</f>
      </c>
    </row>
    <row hidden="true" r="27">
      <c r="A27" s="44"/>
      <c r="B27" s="45" t="s">
        <v>47</v>
      </c>
      <c r="C27" s="45" t="s">
        <v>52</v>
      </c>
      <c r="D27" s="46">
        <v>1476.56</v>
      </c>
      <c r="E27" s="47">
        <v>3</v>
      </c>
      <c r="F27" s="47">
        <v>1</v>
      </c>
      <c r="G27" s="48">
        <f t="shared" si="41"/>
      </c>
      <c r="H27" s="49">
        <v>3</v>
      </c>
      <c r="I27" s="49">
        <v>1</v>
      </c>
      <c r="J27" s="50">
        <v>720</v>
      </c>
      <c r="K27" s="49">
        <v>0</v>
      </c>
      <c r="L27" s="51">
        <v>0</v>
      </c>
      <c r="M27" s="49">
        <f t="shared" si="24"/>
      </c>
      <c r="N27" s="48">
        <f t="shared" si="16"/>
      </c>
      <c r="O27" s="48">
        <f t="shared" si="7"/>
      </c>
      <c r="P27" s="52">
        <f t="shared" si="47"/>
      </c>
      <c r="Q27" s="48">
        <f t="shared" si="26"/>
      </c>
      <c r="R27" s="53">
        <f t="shared" si="17"/>
      </c>
      <c r="S27" s="53">
        <f t="shared" si="8"/>
      </c>
      <c r="T27" s="54">
        <f t="shared" si="32"/>
      </c>
      <c r="U27" s="55">
        <f t="shared" si="34"/>
      </c>
      <c r="V27" s="56">
        <f t="shared" si="35"/>
      </c>
      <c r="W27" s="55">
        <f t="shared" si="18"/>
      </c>
      <c r="X27" s="55">
        <f t="shared" si="36"/>
      </c>
      <c r="Y27" s="55">
        <f>AE27/AD27</f>
      </c>
      <c r="Z27" s="49">
        <v>7351</v>
      </c>
      <c r="AA27" s="49">
        <v>296</v>
      </c>
      <c r="AB27" s="49">
        <v>36</v>
      </c>
      <c r="AC27" s="77">
        <v>32</v>
      </c>
      <c r="AD27" s="49">
        <v>3</v>
      </c>
      <c r="AE27" s="57">
        <f t="shared" si="14"/>
      </c>
    </row>
    <row hidden="true" r="28">
      <c r="A28" s="44"/>
      <c r="B28" s="45" t="s">
        <v>49</v>
      </c>
      <c r="C28" s="45" t="s">
        <v>52</v>
      </c>
      <c r="D28" s="46">
        <v>1097.41</v>
      </c>
      <c r="E28" s="47">
        <v>3</v>
      </c>
      <c r="F28" s="47">
        <v>0</v>
      </c>
      <c r="G28" s="48">
        <f t="shared" si="41"/>
      </c>
      <c r="H28" s="49">
        <v>3</v>
      </c>
      <c r="I28" s="49">
        <v>0</v>
      </c>
      <c r="J28" s="50">
        <v>0</v>
      </c>
      <c r="K28" s="49">
        <v>0</v>
      </c>
      <c r="L28" s="51">
        <v>0</v>
      </c>
      <c r="M28" s="49">
        <f t="shared" si="24"/>
      </c>
      <c r="N28" s="48">
        <f t="shared" si="16"/>
      </c>
      <c r="O28" s="48">
        <f t="shared" si="7"/>
      </c>
      <c r="P28" s="52">
        <f t="shared" si="47"/>
      </c>
      <c r="Q28" s="48">
        <f t="shared" si="26"/>
      </c>
      <c r="R28" s="53">
        <f t="shared" si="17"/>
      </c>
      <c r="S28" s="53">
        <f t="shared" si="8"/>
      </c>
      <c r="T28" s="54">
        <f t="shared" si="32"/>
      </c>
      <c r="U28" s="55">
        <f t="shared" si="34"/>
      </c>
      <c r="V28" s="56">
        <f t="shared" si="35"/>
      </c>
      <c r="W28" s="55">
        <f t="shared" si="18"/>
      </c>
      <c r="X28" s="55">
        <f t="shared" si="36"/>
      </c>
      <c r="Y28" s="55">
        <f t="shared" ref="Y28:Y30" si="5">M28/AD28</f>
      </c>
      <c r="Z28" s="49">
        <v>4501</v>
      </c>
      <c r="AA28" s="49">
        <v>194</v>
      </c>
      <c r="AB28" s="49">
        <v>34</v>
      </c>
      <c r="AC28" s="77">
        <v>23</v>
      </c>
      <c r="AD28" s="49">
        <v>3</v>
      </c>
      <c r="AE28" s="57">
        <f t="shared" si="14"/>
      </c>
    </row>
    <row hidden="true" r="29">
      <c r="A29" s="44"/>
      <c r="B29" s="69" t="s">
        <v>46</v>
      </c>
      <c r="C29" s="69"/>
      <c r="D29" s="70">
        <f>SUM(D26:D28)</f>
      </c>
      <c r="E29" s="71">
        <f>SUM(E26:E28)</f>
      </c>
      <c r="F29" s="71">
        <f>SUM(F26:F28)</f>
      </c>
      <c r="G29" s="78">
        <f t="shared" si="41"/>
      </c>
      <c r="H29" s="71">
        <f>SUM(H26:H28)</f>
      </c>
      <c r="I29" s="71">
        <f>SUM(I26:I28)</f>
      </c>
      <c r="J29" s="72">
        <f>SUM(J26:J28)</f>
      </c>
      <c r="K29" s="71">
        <f>SUM(K26:K28)</f>
      </c>
      <c r="L29" s="70">
        <f>SUM(L26:L28)</f>
      </c>
      <c r="M29" s="71">
        <f>SUM(M26:M28)</f>
      </c>
      <c r="N29" s="71">
        <f t="shared" si="16"/>
      </c>
      <c r="O29" s="71">
        <f t="shared" si="7"/>
      </c>
      <c r="P29" s="70">
        <f>SUM(P26:P28)</f>
      </c>
      <c r="Q29" s="71">
        <f t="shared" si="26"/>
      </c>
      <c r="R29" s="74">
        <f t="shared" si="17"/>
      </c>
      <c r="S29" s="74">
        <f t="shared" si="8"/>
      </c>
      <c r="T29" s="75">
        <f>(T27+T28+T26)/3</f>
      </c>
      <c r="U29" s="79">
        <f t="shared" si="34"/>
      </c>
      <c r="V29" s="80">
        <f t="shared" si="35"/>
      </c>
      <c r="W29" s="79">
        <f t="shared" si="18"/>
      </c>
      <c r="X29" s="79">
        <f t="shared" si="36"/>
      </c>
      <c r="Y29" s="79">
        <f t="shared" si="5"/>
      </c>
      <c r="Z29" s="71">
        <f>SUM(Z26:Z28)</f>
      </c>
      <c r="AA29" s="71">
        <f>SUM(AA26:AA28)</f>
      </c>
      <c r="AB29" s="71">
        <f>SUM(AB26:AB28)</f>
      </c>
      <c r="AC29" s="71">
        <f>SUM(AC26:AC28)</f>
      </c>
      <c r="AD29" s="71">
        <f>SUM(AD26:AD28)</f>
      </c>
      <c r="AE29" s="71">
        <f>SUM(AE26:AE28)</f>
      </c>
    </row>
    <row r="30">
      <c r="A30" s="44"/>
      <c r="B30" s="81" t="s">
        <v>51</v>
      </c>
      <c r="C30" s="81"/>
      <c r="D30" s="82">
        <f>D29+D25</f>
      </c>
      <c r="E30" s="83">
        <f>E29+E25</f>
      </c>
      <c r="F30" s="83">
        <f>F29+F25</f>
      </c>
      <c r="G30" s="84">
        <f t="shared" si="41"/>
      </c>
      <c r="H30" s="85">
        <f>H29+H25</f>
      </c>
      <c r="I30" s="83">
        <f>I29+I25</f>
      </c>
      <c r="J30" s="86">
        <f>J29+J25</f>
      </c>
      <c r="K30" s="83">
        <f>K29+K25</f>
      </c>
      <c r="L30" s="82">
        <f>L29+L25</f>
      </c>
      <c r="M30" s="83">
        <f>M29+M25</f>
      </c>
      <c r="N30" s="84">
        <f t="shared" si="16"/>
      </c>
      <c r="O30" s="87">
        <f t="shared" si="7"/>
      </c>
      <c r="P30" s="88">
        <f>P29+P25</f>
      </c>
      <c r="Q30" s="84">
        <f t="shared" si="26"/>
      </c>
      <c r="R30" s="89">
        <f t="shared" si="17"/>
      </c>
      <c r="S30" s="89">
        <f t="shared" si="8"/>
      </c>
      <c r="T30" s="90">
        <f>(T29+T25)/2</f>
      </c>
      <c r="U30" s="91">
        <f t="shared" si="34"/>
      </c>
      <c r="V30" s="92">
        <f t="shared" si="35"/>
      </c>
      <c r="W30" s="91">
        <f t="shared" si="18"/>
      </c>
      <c r="X30" s="91">
        <f t="shared" si="36"/>
      </c>
      <c r="Y30" s="91">
        <f t="shared" si="5"/>
      </c>
      <c r="Z30" s="83">
        <f>Z29+Z25</f>
      </c>
      <c r="AA30" s="83">
        <f>AA29+AA25</f>
      </c>
      <c r="AB30" s="83">
        <f>AB29+AB25</f>
      </c>
      <c r="AC30" s="83">
        <f>AC29+AC25</f>
      </c>
      <c r="AD30" s="83">
        <f>AD29+AD25</f>
      </c>
      <c r="AE30" s="83">
        <f>AE29+AE25</f>
      </c>
    </row>
    <row hidden="true" r="31">
      <c r="A31" s="44">
        <v>46269</v>
      </c>
      <c r="B31" s="45" t="s">
        <v>44</v>
      </c>
      <c r="C31" s="45" t="s">
        <v>42</v>
      </c>
      <c r="D31" s="46">
        <v>1437.77</v>
      </c>
      <c r="E31" s="47">
        <v>2</v>
      </c>
      <c r="F31" s="47">
        <v>0</v>
      </c>
      <c r="G31" s="48">
        <f t="shared" si="41"/>
      </c>
      <c r="H31" s="49">
        <v>2</v>
      </c>
      <c r="I31" s="49">
        <v>0</v>
      </c>
      <c r="J31" s="50">
        <v>0</v>
      </c>
      <c r="K31" s="49">
        <v>0</v>
      </c>
      <c r="L31" s="51">
        <v>0</v>
      </c>
      <c r="M31" s="49">
        <f t="shared" ref="M31:M33" si="25">K31+I31</f>
      </c>
      <c r="N31" s="48">
        <f t="shared" si="16"/>
      </c>
      <c r="O31" s="48">
        <f t="shared" si="7"/>
      </c>
      <c r="P31" s="52">
        <f t="shared" ref="P31:P33" si="48">J31+L31</f>
      </c>
      <c r="Q31" s="48">
        <f t="shared" si="26"/>
      </c>
      <c r="R31" s="53">
        <f t="shared" si="17"/>
      </c>
      <c r="S31" s="53">
        <f t="shared" si="8"/>
      </c>
      <c r="T31" s="54">
        <f t="shared" ref="T31:T33" si="33">AA31/60</f>
      </c>
      <c r="U31" s="55">
        <f t="shared" si="34"/>
      </c>
      <c r="V31" s="56">
        <f t="shared" si="35"/>
      </c>
      <c r="W31" s="55">
        <f t="shared" si="18"/>
      </c>
      <c r="X31" s="55">
        <f t="shared" si="36"/>
      </c>
      <c r="Y31" s="55">
        <f t="shared" ref="Y31:Y32" si="40">AE31/AD31</f>
      </c>
      <c r="Z31" s="49">
        <v>5069</v>
      </c>
      <c r="AA31" s="49">
        <v>195</v>
      </c>
      <c r="AB31" s="49">
        <v>18</v>
      </c>
      <c r="AC31" s="49">
        <v>25</v>
      </c>
      <c r="AD31" s="49">
        <v>2</v>
      </c>
      <c r="AE31" s="57">
        <f t="shared" ref="AE31:AE33" si="15">COUNT(AD31)</f>
      </c>
    </row>
    <row hidden="true" r="32">
      <c r="A32" s="44"/>
      <c r="B32" s="45" t="s">
        <v>45</v>
      </c>
      <c r="C32" s="45" t="s">
        <v>42</v>
      </c>
      <c r="D32" s="58">
        <v>1356.92</v>
      </c>
      <c r="E32" s="59">
        <v>0</v>
      </c>
      <c r="F32" s="59">
        <v>0</v>
      </c>
      <c r="G32" s="48">
        <f t="shared" si="41"/>
      </c>
      <c r="H32" s="60">
        <v>0</v>
      </c>
      <c r="I32" s="60">
        <v>0</v>
      </c>
      <c r="J32" s="61">
        <v>0</v>
      </c>
      <c r="K32" s="60">
        <v>0</v>
      </c>
      <c r="L32" s="62">
        <v>0</v>
      </c>
      <c r="M32" s="49">
        <f t="shared" si="25"/>
      </c>
      <c r="N32" s="48">
        <f t="shared" si="16"/>
      </c>
      <c r="O32" s="48">
        <f t="shared" si="7"/>
      </c>
      <c r="P32" s="52">
        <f t="shared" si="48"/>
      </c>
      <c r="Q32" s="48">
        <f t="shared" si="26"/>
      </c>
      <c r="R32" s="53">
        <f t="shared" si="17"/>
      </c>
      <c r="S32" s="63">
        <f t="shared" si="8"/>
      </c>
      <c r="T32" s="54">
        <f t="shared" si="33"/>
      </c>
      <c r="U32" s="55">
        <f t="shared" si="34"/>
      </c>
      <c r="V32" s="56">
        <f t="shared" si="35"/>
      </c>
      <c r="W32" s="55">
        <f t="shared" si="18"/>
      </c>
      <c r="X32" s="55">
        <f t="shared" si="36"/>
      </c>
      <c r="Y32" s="55">
        <f t="shared" si="40"/>
      </c>
      <c r="Z32" s="49">
        <v>5578</v>
      </c>
      <c r="AA32" s="60">
        <v>186</v>
      </c>
      <c r="AB32" s="60">
        <v>16</v>
      </c>
      <c r="AC32" s="60">
        <v>18</v>
      </c>
      <c r="AD32" s="60">
        <v>0</v>
      </c>
      <c r="AE32" s="57">
        <f t="shared" si="15"/>
      </c>
    </row>
    <row hidden="true" r="33">
      <c r="A33" s="44"/>
      <c r="B33" s="93" t="s">
        <v>53</v>
      </c>
      <c r="C33" s="45" t="s">
        <v>42</v>
      </c>
      <c r="D33" s="58">
        <v>375.13</v>
      </c>
      <c r="E33" s="59">
        <v>0</v>
      </c>
      <c r="F33" s="59">
        <v>0</v>
      </c>
      <c r="G33" s="48">
        <f t="shared" si="41"/>
      </c>
      <c r="H33" s="60">
        <v>0</v>
      </c>
      <c r="I33" s="60">
        <v>0</v>
      </c>
      <c r="J33" s="61">
        <v>0</v>
      </c>
      <c r="K33" s="60">
        <v>0</v>
      </c>
      <c r="L33" s="62">
        <v>0</v>
      </c>
      <c r="M33" s="64">
        <f t="shared" si="25"/>
      </c>
      <c r="N33" s="48">
        <f t="shared" si="16"/>
      </c>
      <c r="O33" s="65">
        <f t="shared" si="7"/>
      </c>
      <c r="P33" s="52">
        <f t="shared" si="48"/>
      </c>
      <c r="Q33" s="65">
        <f t="shared" si="26"/>
      </c>
      <c r="R33" s="63">
        <f t="shared" si="17"/>
      </c>
      <c r="S33" s="63">
        <f t="shared" si="8"/>
      </c>
      <c r="T33" s="54">
        <f t="shared" si="33"/>
      </c>
      <c r="U33" s="66">
        <f t="shared" si="34"/>
      </c>
      <c r="V33" s="66">
        <f t="shared" si="35"/>
      </c>
      <c r="W33" s="66">
        <f t="shared" si="18"/>
      </c>
      <c r="X33" s="66">
        <f t="shared" si="36"/>
      </c>
      <c r="Y33" s="67">
        <f t="shared" ref="Y33:Y35" si="6">M33/AD33</f>
      </c>
      <c r="Z33" s="49">
        <v>2079</v>
      </c>
      <c r="AA33" s="94">
        <v>74</v>
      </c>
      <c r="AB33" s="94">
        <v>4</v>
      </c>
      <c r="AC33" s="94">
        <v>9</v>
      </c>
      <c r="AD33" s="94">
        <v>0</v>
      </c>
      <c r="AE33" s="57">
        <f t="shared" si="15"/>
      </c>
    </row>
    <row hidden="true" r="34">
      <c r="A34" s="44"/>
      <c r="B34" s="69" t="s">
        <v>46</v>
      </c>
      <c r="C34" s="69"/>
      <c r="D34" s="70">
        <f>SUM(D31:D33)</f>
      </c>
      <c r="E34" s="71">
        <f>SUM(E31:E33)</f>
      </c>
      <c r="F34" s="71">
        <f>SUM(F31:F33)</f>
      </c>
      <c r="G34" s="71">
        <f t="shared" si="41"/>
      </c>
      <c r="H34" s="71">
        <f>SUM(H31:H33)</f>
      </c>
      <c r="I34" s="71">
        <f>SUM(I31:I33)</f>
      </c>
      <c r="J34" s="72">
        <f>SUM(J31:J33)</f>
      </c>
      <c r="K34" s="73">
        <f>SUM(K31:K33)</f>
      </c>
      <c r="L34" s="73">
        <f>SUM(L31:L33)</f>
      </c>
      <c r="M34" s="71">
        <f>SUM(M31:M33)</f>
      </c>
      <c r="N34" s="71">
        <f t="shared" si="16"/>
      </c>
      <c r="O34" s="71">
        <f t="shared" si="7"/>
      </c>
      <c r="P34" s="73">
        <f>SUM(P31:P33)</f>
      </c>
      <c r="Q34" s="71">
        <f t="shared" si="26"/>
      </c>
      <c r="R34" s="74">
        <f t="shared" si="17"/>
      </c>
      <c r="S34" s="74">
        <f t="shared" si="8"/>
      </c>
      <c r="T34" s="75">
        <f>(T32+T33+T31)/3</f>
      </c>
      <c r="U34" s="76">
        <f t="shared" si="34"/>
      </c>
      <c r="V34" s="76">
        <f t="shared" si="35"/>
      </c>
      <c r="W34" s="76">
        <f t="shared" si="18"/>
      </c>
      <c r="X34" s="76">
        <f t="shared" si="36"/>
      </c>
      <c r="Y34" s="76">
        <f t="shared" si="6"/>
      </c>
      <c r="Z34" s="71">
        <f>SUM(Z31:Z33)</f>
      </c>
      <c r="AA34" s="71">
        <f>SUM(AA31:AA33)</f>
      </c>
      <c r="AB34" s="71">
        <f>SUM(AB31:AB33)</f>
      </c>
      <c r="AC34" s="71">
        <f>SUM(AC31:AC33)</f>
      </c>
      <c r="AD34" s="71">
        <f>SUM(AD31:AD33)</f>
      </c>
      <c r="AE34" s="71">
        <f>SUM(AE31:AE33)</f>
      </c>
    </row>
    <row r="35">
      <c r="A35" s="44"/>
      <c r="B35" s="81" t="s">
        <v>51</v>
      </c>
      <c r="C35" s="81"/>
      <c r="D35" s="95">
        <f>D34</f>
      </c>
      <c r="E35" s="95">
        <f>E34</f>
      </c>
      <c r="F35" s="95">
        <f>F34</f>
      </c>
      <c r="G35" s="84">
        <f t="shared" si="41"/>
      </c>
      <c r="H35" s="95">
        <f>H34</f>
      </c>
      <c r="I35" s="95">
        <f>I34</f>
      </c>
      <c r="J35" s="95">
        <f>J34</f>
      </c>
      <c r="K35" s="95">
        <f>K34</f>
      </c>
      <c r="L35" s="95">
        <f>L34</f>
      </c>
      <c r="M35" s="95">
        <f>M34</f>
      </c>
      <c r="N35" s="84">
        <f t="shared" si="16"/>
      </c>
      <c r="O35" s="87">
        <f t="shared" si="7"/>
      </c>
      <c r="P35" s="95">
        <f>P34</f>
      </c>
      <c r="Q35" s="84">
        <f t="shared" si="26"/>
      </c>
      <c r="R35" s="89">
        <f t="shared" si="17"/>
      </c>
      <c r="S35" s="89">
        <f t="shared" si="8"/>
      </c>
      <c r="T35" s="96">
        <f>T34</f>
      </c>
      <c r="U35" s="91">
        <f t="shared" si="34"/>
      </c>
      <c r="V35" s="92">
        <f t="shared" si="35"/>
      </c>
      <c r="W35" s="91">
        <f t="shared" si="18"/>
      </c>
      <c r="X35" s="91">
        <f t="shared" si="36"/>
      </c>
      <c r="Y35" s="91">
        <f t="shared" si="6"/>
      </c>
      <c r="Z35" s="96">
        <f>Z34</f>
      </c>
      <c r="AA35" s="96">
        <f>AA34</f>
      </c>
      <c r="AB35" s="96">
        <f>AB34</f>
      </c>
      <c r="AC35" s="96">
        <f>AC34</f>
      </c>
      <c r="AD35" s="96">
        <f>AD34</f>
      </c>
      <c r="AE35" s="96">
        <f>AE34</f>
      </c>
    </row>
    <row hidden="true" r="36">
      <c r="H36" s="97">
        <f>H37-H35</f>
      </c>
      <c r="I36" s="97">
        <f>I37-I35</f>
      </c>
      <c r="J36" s="97">
        <f>J37-J35</f>
      </c>
      <c r="K36" s="97">
        <f>K37-K35</f>
      </c>
      <c r="L36" s="97">
        <f>L37-L35</f>
      </c>
    </row>
    <row hidden="true" r="37">
      <c r="H37" s="98">
        <v>2</v>
      </c>
      <c r="I37" s="99">
        <f>SUM(IMPORTRANGE("https://meimeiwangluo.feishu.cn/sheets/CtDTsWLFuh8MfOtJW1Oc1YbMn7c","'Sheet1'!B111"))</f>
      </c>
      <c r="J37" s="100">
        <f>SUM(IMPORTRANGE("https://meimeiwangluo.feishu.cn/sheets/CtDTsWLFuh8MfOtJW1Oc1YbMn7c","'Sheet1'!B109"))</f>
      </c>
      <c r="K37" s="99">
        <f>SUM(IMPORTRANGE("https://meimeiwangluo.feishu.cn/sheets/CtDTsWLFuh8MfOtJW1Oc1YbMn7c","'Sheet1'!C111"))</f>
      </c>
      <c r="L37">
        <f>SUM(IMPORTRANGE("https://meimeiwangluo.feishu.cn/sheets/CtDTsWLFuh8MfOtJW1Oc1YbMn7c","'Sheet1'!C109"))</f>
      </c>
    </row>
    <row r="38"/>
    <row r="39">
      <c r="T39" s="101"/>
    </row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>
      <c r="L63" s="100"/>
    </row>
  </sheetData>
  <autoFilter ref="A1:AE37">
    <filterColumn colId="2">
      <filters>
        <filter val="当天汇总"/>
      </filters>
    </filterColumn>
  </autoFilter>
  <mergeCells>
    <mergeCell ref="B35:C35"/>
    <mergeCell ref="B34:C34"/>
    <mergeCell ref="A31:A35"/>
    <mergeCell ref="A2:A11"/>
    <mergeCell ref="B6:C6"/>
    <mergeCell ref="B10:C10"/>
    <mergeCell ref="B11:C11"/>
    <mergeCell ref="A12:A21"/>
    <mergeCell ref="B16:C16"/>
    <mergeCell ref="B20:C20"/>
    <mergeCell ref="B21:C21"/>
    <mergeCell ref="A22:A30"/>
    <mergeCell ref="B25:C25"/>
    <mergeCell ref="B29:C29"/>
    <mergeCell ref="B30:C30"/>
  </mergeCells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13" min="13" style="0" width="18.64788732394366"/>
    <col collapsed="false" customWidth="true" hidden="false" max="29" min="29" style="0" width="11.211267605633802"/>
    <col collapsed="false" customWidth="true" hidden="false" max="3" min="3" style="0" width="11.211267605633802"/>
    <col collapsed="false" customWidth="true" hidden="false" max="9" min="9" style="0" width="15.943661971830986"/>
    <col collapsed="false" customWidth="true" hidden="false" max="11" min="11" style="0" width="18.64788732394366"/>
    <col collapsed="false" customWidth="true" hidden="false" max="28" min="28" style="0" width="11.211267605633802"/>
    <col collapsed="false" customWidth="true" hidden="false" max="8" min="8" style="0" width="14.591549295774648"/>
    <col collapsed="false" customWidth="true" hidden="false" max="10" min="10" style="0" width="17.295774647887324"/>
    <col collapsed="false" customWidth="true" hidden="false" max="12" min="12" style="0" width="18.64788732394366"/>
  </cols>
  <sheetData>
    <row customHeight="true" ht="16.071428571428573" r="1">
      <c r="A1" s="102" t="s">
        <v>54</v>
      </c>
      <c r="B1" s="102" t="s">
        <v>55</v>
      </c>
      <c r="C1" s="102" t="s">
        <v>56</v>
      </c>
      <c r="D1" s="103" t="s">
        <v>57</v>
      </c>
      <c r="E1" s="104" t="s">
        <v>58</v>
      </c>
      <c r="F1" s="104" t="s">
        <v>59</v>
      </c>
      <c r="G1" s="102" t="s">
        <v>60</v>
      </c>
      <c r="H1" s="104" t="s">
        <v>61</v>
      </c>
      <c r="I1" s="105" t="s">
        <v>62</v>
      </c>
      <c r="J1" s="106" t="s">
        <v>63</v>
      </c>
      <c r="K1" s="105" t="s">
        <v>64</v>
      </c>
      <c r="L1" s="106" t="s">
        <v>65</v>
      </c>
      <c r="M1" s="104" t="s">
        <v>66</v>
      </c>
      <c r="N1" s="104" t="s">
        <v>67</v>
      </c>
      <c r="O1" s="104" t="s">
        <v>68</v>
      </c>
      <c r="P1" s="107" t="s">
        <v>69</v>
      </c>
      <c r="Q1" s="102" t="s">
        <v>70</v>
      </c>
      <c r="R1" s="108" t="s">
        <v>71</v>
      </c>
      <c r="S1" s="109" t="s">
        <v>72</v>
      </c>
      <c r="T1" s="110" t="s">
        <v>73</v>
      </c>
      <c r="U1" s="111" t="s">
        <v>74</v>
      </c>
      <c r="V1" s="111" t="s">
        <v>75</v>
      </c>
      <c r="W1" s="110" t="s">
        <v>76</v>
      </c>
      <c r="X1" s="111" t="s">
        <v>77</v>
      </c>
      <c r="Y1" s="111" t="s">
        <v>78</v>
      </c>
      <c r="Z1" s="112" t="s">
        <v>79</v>
      </c>
      <c r="AA1" s="112" t="s">
        <v>80</v>
      </c>
      <c r="AB1" s="112" t="s">
        <v>81</v>
      </c>
      <c r="AC1" s="112" t="s">
        <v>82</v>
      </c>
      <c r="AD1" s="112" t="s">
        <v>83</v>
      </c>
      <c r="AE1" s="113" t="s">
        <v>84</v>
      </c>
    </row>
    <row hidden="true" r="2">
      <c r="A2" s="114">
        <v>46235</v>
      </c>
      <c r="B2" s="115" t="s">
        <v>85</v>
      </c>
      <c r="C2" s="115" t="s">
        <v>86</v>
      </c>
      <c r="D2" s="116">
        <f>1796.09+121.89</f>
      </c>
      <c r="E2" s="117">
        <v>0</v>
      </c>
      <c r="F2" s="118">
        <v>0</v>
      </c>
      <c r="G2" s="119">
        <f t="shared" ref="G2:G221" si="40">D2/F2</f>
      </c>
      <c r="H2" s="120">
        <v>0</v>
      </c>
      <c r="I2" s="120">
        <v>0</v>
      </c>
      <c r="J2" s="121">
        <v>0</v>
      </c>
      <c r="K2" s="120">
        <v>0</v>
      </c>
      <c r="L2" s="122">
        <v>0</v>
      </c>
      <c r="M2" s="120">
        <f t="shared" ref="M2:M5" si="41">K2+I2</f>
      </c>
      <c r="N2" s="119">
        <f t="shared" ref="N2:N221" si="78">D2/H2</f>
      </c>
      <c r="O2" s="119">
        <f t="shared" ref="O2:O221" si="0">D2/M2</f>
      </c>
      <c r="P2" s="123">
        <f t="shared" ref="P2:P5" si="1">J2+L2</f>
      </c>
      <c r="Q2" s="119">
        <f t="shared" ref="Q2:Q221" si="38">P2/M2</f>
      </c>
      <c r="R2" s="124">
        <f t="shared" ref="R2:R221" si="39">P2/D2</f>
      </c>
      <c r="S2" s="124">
        <f t="shared" ref="S2:S221" si="141">P2/(D2+AE2*300)</f>
      </c>
      <c r="T2" s="125">
        <f t="shared" ref="T2:T5" si="142">AA2/60</f>
      </c>
      <c r="U2" s="126">
        <f t="shared" ref="U2:U221" si="179">AA2/Z2</f>
      </c>
      <c r="V2" s="127">
        <f t="shared" ref="V2:V221" si="180">AB2/AA2</f>
      </c>
      <c r="W2" s="126">
        <f t="shared" ref="W2:W221" si="202">AC2/AA2</f>
      </c>
      <c r="X2" s="126">
        <f t="shared" ref="X2:X221" si="181">AD2/AC2</f>
      </c>
      <c r="Y2" s="126">
        <f t="shared" ref="Y2:Y3" si="182">AE2/AD2</f>
      </c>
      <c r="Z2" s="120">
        <v>8186</v>
      </c>
      <c r="AA2" s="120">
        <v>389</v>
      </c>
      <c r="AB2" s="120">
        <v>33</v>
      </c>
      <c r="AC2" s="120">
        <v>32</v>
      </c>
      <c r="AD2" s="120">
        <v>0</v>
      </c>
      <c r="AE2" s="128">
        <f>COUNT(AD2)</f>
      </c>
    </row>
    <row hidden="true" r="3">
      <c r="A3" s="114"/>
      <c r="B3" s="115" t="s">
        <v>87</v>
      </c>
      <c r="C3" s="115" t="s">
        <v>86</v>
      </c>
      <c r="D3" s="129">
        <f>28.31+1227.74</f>
      </c>
      <c r="E3" s="130">
        <v>2</v>
      </c>
      <c r="F3" s="130">
        <v>1</v>
      </c>
      <c r="G3" s="119">
        <f t="shared" si="40"/>
      </c>
      <c r="H3" s="131">
        <v>2</v>
      </c>
      <c r="I3" s="131">
        <v>1</v>
      </c>
      <c r="J3" s="132">
        <v>1101.6</v>
      </c>
      <c r="K3" s="131">
        <v>0</v>
      </c>
      <c r="L3" s="133">
        <v>0</v>
      </c>
      <c r="M3" s="120">
        <f t="shared" si="41"/>
      </c>
      <c r="N3" s="119">
        <f t="shared" si="78"/>
      </c>
      <c r="O3" s="119">
        <f t="shared" si="0"/>
      </c>
      <c r="P3" s="123">
        <f t="shared" si="1"/>
      </c>
      <c r="Q3" s="119">
        <f t="shared" si="38"/>
      </c>
      <c r="R3" s="124">
        <f t="shared" si="39"/>
      </c>
      <c r="S3" s="134">
        <f t="shared" si="141"/>
      </c>
      <c r="T3" s="125">
        <f t="shared" si="142"/>
      </c>
      <c r="U3" s="126">
        <f t="shared" si="179"/>
      </c>
      <c r="V3" s="127">
        <f t="shared" si="180"/>
      </c>
      <c r="W3" s="126">
        <f t="shared" si="202"/>
      </c>
      <c r="X3" s="126">
        <f t="shared" si="181"/>
      </c>
      <c r="Y3" s="126">
        <f t="shared" si="182"/>
      </c>
      <c r="Z3" s="120">
        <v>6966</v>
      </c>
      <c r="AA3" s="131">
        <v>326</v>
      </c>
      <c r="AB3" s="131">
        <v>46</v>
      </c>
      <c r="AC3" s="131">
        <v>29</v>
      </c>
      <c r="AD3" s="131">
        <v>2</v>
      </c>
      <c r="AE3" s="135">
        <v>1</v>
      </c>
    </row>
    <row hidden="true" r="4">
      <c r="A4" s="114"/>
      <c r="B4" s="115" t="s">
        <v>88</v>
      </c>
      <c r="C4" s="115" t="s">
        <v>86</v>
      </c>
      <c r="D4" s="129">
        <f>8.83+803.76</f>
      </c>
      <c r="E4" s="130">
        <v>2</v>
      </c>
      <c r="F4" s="130">
        <v>1</v>
      </c>
      <c r="G4" s="119">
        <f t="shared" si="40"/>
      </c>
      <c r="H4" s="131">
        <v>2</v>
      </c>
      <c r="I4" s="131">
        <v>1</v>
      </c>
      <c r="J4" s="132">
        <v>720.0000000000002</v>
      </c>
      <c r="K4" s="131">
        <v>0</v>
      </c>
      <c r="L4" s="133">
        <v>0</v>
      </c>
      <c r="M4" s="136">
        <f t="shared" si="41"/>
      </c>
      <c r="N4" s="119">
        <f t="shared" si="78"/>
      </c>
      <c r="O4" s="137">
        <f t="shared" si="0"/>
      </c>
      <c r="P4" s="123">
        <f t="shared" si="1"/>
      </c>
      <c r="Q4" s="137">
        <f t="shared" si="38"/>
      </c>
      <c r="R4" s="134">
        <f t="shared" si="39"/>
      </c>
      <c r="S4" s="134">
        <f t="shared" si="141"/>
      </c>
      <c r="T4" s="125">
        <f t="shared" si="142"/>
      </c>
      <c r="U4" s="138">
        <f t="shared" si="179"/>
      </c>
      <c r="V4" s="138">
        <f t="shared" si="180"/>
      </c>
      <c r="W4" s="138">
        <f t="shared" si="202"/>
      </c>
      <c r="X4" s="138">
        <f t="shared" si="181"/>
      </c>
      <c r="Y4" s="139">
        <f t="shared" ref="Y4:Y7" si="115">M4/AD4</f>
      </c>
      <c r="Z4" s="120">
        <v>3592</v>
      </c>
      <c r="AA4" s="131">
        <v>208</v>
      </c>
      <c r="AB4" s="131">
        <v>40</v>
      </c>
      <c r="AC4" s="131">
        <v>20</v>
      </c>
      <c r="AD4" s="131">
        <v>2</v>
      </c>
      <c r="AE4" s="128">
        <f t="shared" ref="AE4:AE5" si="79">COUNT(AD4)</f>
      </c>
    </row>
    <row hidden="true" r="5">
      <c r="A5" s="114"/>
      <c r="B5" s="115" t="s">
        <v>89</v>
      </c>
      <c r="C5" s="115" t="s">
        <v>86</v>
      </c>
      <c r="D5" s="116">
        <f>12.15+818.18</f>
      </c>
      <c r="E5" s="117">
        <v>0</v>
      </c>
      <c r="F5" s="117">
        <v>0</v>
      </c>
      <c r="G5" s="119">
        <f t="shared" si="40"/>
      </c>
      <c r="H5" s="120">
        <v>1</v>
      </c>
      <c r="I5" s="120">
        <v>1</v>
      </c>
      <c r="J5" s="121">
        <v>1101.6000000000001</v>
      </c>
      <c r="K5" s="120">
        <v>0</v>
      </c>
      <c r="L5" s="122">
        <v>0</v>
      </c>
      <c r="M5" s="120">
        <f t="shared" si="41"/>
      </c>
      <c r="N5" s="119">
        <f t="shared" si="78"/>
      </c>
      <c r="O5" s="119">
        <f t="shared" si="0"/>
      </c>
      <c r="P5" s="123">
        <f t="shared" si="1"/>
      </c>
      <c r="Q5" s="119">
        <f t="shared" si="38"/>
      </c>
      <c r="R5" s="134">
        <f t="shared" si="39"/>
      </c>
      <c r="S5" s="134">
        <f t="shared" si="141"/>
      </c>
      <c r="T5" s="125">
        <f t="shared" si="142"/>
      </c>
      <c r="U5" s="126">
        <f t="shared" si="179"/>
      </c>
      <c r="V5" s="127">
        <f t="shared" si="180"/>
      </c>
      <c r="W5" s="138">
        <f t="shared" si="202"/>
      </c>
      <c r="X5" s="126">
        <f t="shared" si="181"/>
      </c>
      <c r="Y5" s="140">
        <f t="shared" si="115"/>
      </c>
      <c r="Z5" s="120">
        <v>3569</v>
      </c>
      <c r="AA5" s="120">
        <v>203</v>
      </c>
      <c r="AB5" s="120">
        <v>23</v>
      </c>
      <c r="AC5" s="120">
        <v>19</v>
      </c>
      <c r="AD5" s="120">
        <v>1</v>
      </c>
      <c r="AE5" s="128">
        <f t="shared" si="79"/>
      </c>
    </row>
    <row hidden="true" r="6">
      <c r="A6" s="114"/>
      <c r="B6" s="141" t="s">
        <v>90</v>
      </c>
      <c r="C6" s="141"/>
      <c r="D6" s="142">
        <f>SUM(D2:D5)</f>
      </c>
      <c r="E6" s="143">
        <f>SUM(E2:E5)</f>
      </c>
      <c r="F6" s="143">
        <f>SUM(F2:F5)</f>
      </c>
      <c r="G6" s="143">
        <f t="shared" si="40"/>
      </c>
      <c r="H6" s="143">
        <f>SUM(H2:H5)</f>
      </c>
      <c r="I6" s="143">
        <f>SUM(I2:I5)</f>
      </c>
      <c r="J6" s="144">
        <f>SUM(J2:J5)</f>
      </c>
      <c r="K6" s="145">
        <f>SUM(K2:K5)</f>
      </c>
      <c r="L6" s="145">
        <f>SUM(L2:L5)</f>
      </c>
      <c r="M6" s="143">
        <f>SUM(M2:M5)</f>
      </c>
      <c r="N6" s="143">
        <f t="shared" si="78"/>
      </c>
      <c r="O6" s="143">
        <f t="shared" si="0"/>
      </c>
      <c r="P6" s="145">
        <f>SUM(P2:P5)</f>
      </c>
      <c r="Q6" s="143">
        <f t="shared" si="38"/>
      </c>
      <c r="R6" s="146">
        <f t="shared" si="39"/>
      </c>
      <c r="S6" s="146">
        <f t="shared" si="141"/>
      </c>
      <c r="T6" s="147">
        <f>(T5+T3+T4+T2)/4</f>
      </c>
      <c r="U6" s="148">
        <f t="shared" si="179"/>
      </c>
      <c r="V6" s="148">
        <f t="shared" si="180"/>
      </c>
      <c r="W6" s="148">
        <f t="shared" si="202"/>
      </c>
      <c r="X6" s="148">
        <f t="shared" si="181"/>
      </c>
      <c r="Y6" s="148">
        <f t="shared" si="115"/>
      </c>
      <c r="Z6" s="143">
        <f>SUM(Z2:Z5)</f>
      </c>
      <c r="AA6" s="143">
        <f>SUM(AA2:AA5)</f>
      </c>
      <c r="AB6" s="143">
        <f>SUM(AB2:AB5)</f>
      </c>
      <c r="AC6" s="143">
        <f>SUM(AC2:AC5)</f>
      </c>
      <c r="AD6" s="143">
        <f>SUM(AD2:AD5)</f>
      </c>
      <c r="AE6" s="143">
        <f>SUM(AE2:AE5)</f>
      </c>
    </row>
    <row hidden="true" r="7">
      <c r="A7" s="114"/>
      <c r="B7" s="115" t="s">
        <v>91</v>
      </c>
      <c r="C7" s="115" t="s">
        <v>92</v>
      </c>
      <c r="D7" s="116">
        <f>5.64+799.96</f>
      </c>
      <c r="E7" s="117">
        <v>1</v>
      </c>
      <c r="F7" s="117">
        <v>1</v>
      </c>
      <c r="G7" s="119">
        <f t="shared" si="40"/>
      </c>
      <c r="H7" s="120">
        <v>0</v>
      </c>
      <c r="I7" s="120">
        <v>0</v>
      </c>
      <c r="J7" s="121">
        <v>0</v>
      </c>
      <c r="K7" s="120">
        <v>0</v>
      </c>
      <c r="L7" s="122">
        <v>0</v>
      </c>
      <c r="M7" s="120">
        <f t="shared" ref="M7:M10" si="42">K7+I7</f>
      </c>
      <c r="N7" s="119">
        <f t="shared" si="78"/>
      </c>
      <c r="O7" s="119">
        <f t="shared" si="0"/>
      </c>
      <c r="P7" s="123">
        <f t="shared" ref="P7:P10" si="2">J7+L7</f>
      </c>
      <c r="Q7" s="119">
        <f t="shared" si="38"/>
      </c>
      <c r="R7" s="124">
        <f t="shared" si="39"/>
      </c>
      <c r="S7" s="124">
        <f t="shared" si="141"/>
      </c>
      <c r="T7" s="125">
        <f t="shared" ref="T7:T10" si="143">AA7/60</f>
      </c>
      <c r="U7" s="126">
        <f t="shared" si="179"/>
      </c>
      <c r="V7" s="127">
        <f t="shared" si="180"/>
      </c>
      <c r="W7" s="126">
        <f t="shared" si="202"/>
      </c>
      <c r="X7" s="126">
        <f t="shared" si="181"/>
      </c>
      <c r="Y7" s="126">
        <f t="shared" si="115"/>
      </c>
      <c r="Z7" s="120">
        <v>3303</v>
      </c>
      <c r="AA7" s="120">
        <v>217</v>
      </c>
      <c r="AB7" s="120">
        <v>18</v>
      </c>
      <c r="AC7" s="149">
        <v>19</v>
      </c>
      <c r="AD7" s="120">
        <v>0</v>
      </c>
      <c r="AE7" s="128">
        <f>COUNT(AD7)</f>
      </c>
    </row>
    <row hidden="true" r="8">
      <c r="A8" s="114"/>
      <c r="B8" s="115" t="s">
        <v>93</v>
      </c>
      <c r="C8" s="115" t="s">
        <v>92</v>
      </c>
      <c r="D8" s="116">
        <f>6.3+865.14</f>
      </c>
      <c r="E8" s="117">
        <v>1</v>
      </c>
      <c r="F8" s="117">
        <v>0</v>
      </c>
      <c r="G8" s="119">
        <f t="shared" si="40"/>
      </c>
      <c r="H8" s="120">
        <v>1</v>
      </c>
      <c r="I8" s="120">
        <v>0</v>
      </c>
      <c r="J8" s="121">
        <v>0</v>
      </c>
      <c r="K8" s="120">
        <v>0</v>
      </c>
      <c r="L8" s="122">
        <v>0</v>
      </c>
      <c r="M8" s="120">
        <f t="shared" si="42"/>
      </c>
      <c r="N8" s="119">
        <f t="shared" si="78"/>
      </c>
      <c r="O8" s="119">
        <f t="shared" si="0"/>
      </c>
      <c r="P8" s="123">
        <f t="shared" si="2"/>
      </c>
      <c r="Q8" s="119">
        <f t="shared" si="38"/>
      </c>
      <c r="R8" s="124">
        <f t="shared" si="39"/>
      </c>
      <c r="S8" s="124">
        <f t="shared" si="141"/>
      </c>
      <c r="T8" s="125">
        <f t="shared" si="143"/>
      </c>
      <c r="U8" s="126">
        <f t="shared" si="179"/>
      </c>
      <c r="V8" s="127">
        <f t="shared" si="180"/>
      </c>
      <c r="W8" s="126">
        <f t="shared" si="202"/>
      </c>
      <c r="X8" s="126">
        <f t="shared" si="181"/>
      </c>
      <c r="Y8" s="126">
        <f>AE8/AD8</f>
      </c>
      <c r="Z8" s="120">
        <v>3017</v>
      </c>
      <c r="AA8" s="120">
        <v>202</v>
      </c>
      <c r="AB8" s="120">
        <v>18</v>
      </c>
      <c r="AC8" s="149">
        <v>15</v>
      </c>
      <c r="AD8" s="120">
        <v>1</v>
      </c>
      <c r="AE8" s="135">
        <v>1</v>
      </c>
    </row>
    <row hidden="true" r="9">
      <c r="A9" s="114"/>
      <c r="B9" s="115" t="s">
        <v>94</v>
      </c>
      <c r="C9" s="115" t="s">
        <v>92</v>
      </c>
      <c r="D9" s="116">
        <f>8.49+715.87</f>
      </c>
      <c r="E9" s="117">
        <v>3</v>
      </c>
      <c r="F9" s="118">
        <v>3</v>
      </c>
      <c r="G9" s="119">
        <f t="shared" si="40"/>
      </c>
      <c r="H9" s="120">
        <v>6</v>
      </c>
      <c r="I9" s="120">
        <v>6</v>
      </c>
      <c r="J9" s="121">
        <v>4592.4</v>
      </c>
      <c r="K9" s="120">
        <v>0</v>
      </c>
      <c r="L9" s="122">
        <v>0</v>
      </c>
      <c r="M9" s="120">
        <f t="shared" si="42"/>
      </c>
      <c r="N9" s="119">
        <f t="shared" si="78"/>
      </c>
      <c r="O9" s="119">
        <f t="shared" si="0"/>
      </c>
      <c r="P9" s="123">
        <f t="shared" si="2"/>
      </c>
      <c r="Q9" s="119">
        <f t="shared" si="38"/>
      </c>
      <c r="R9" s="124">
        <f t="shared" si="39"/>
      </c>
      <c r="S9" s="124">
        <f t="shared" si="141"/>
      </c>
      <c r="T9" s="125">
        <f t="shared" si="143"/>
      </c>
      <c r="U9" s="126">
        <f t="shared" si="179"/>
      </c>
      <c r="V9" s="127">
        <f t="shared" si="180"/>
      </c>
      <c r="W9" s="126">
        <f t="shared" si="202"/>
      </c>
      <c r="X9" s="126">
        <f t="shared" si="181"/>
      </c>
      <c r="Y9" s="126">
        <f t="shared" ref="Y9:Y12" si="116">M9/AD9</f>
      </c>
      <c r="Z9" s="120">
        <v>2464</v>
      </c>
      <c r="AA9" s="120">
        <v>218</v>
      </c>
      <c r="AB9" s="120">
        <v>46</v>
      </c>
      <c r="AC9" s="149">
        <v>15</v>
      </c>
      <c r="AD9" s="120">
        <v>6</v>
      </c>
      <c r="AE9" s="128">
        <f t="shared" ref="AE9:AE10" si="80">COUNT(AD9)</f>
      </c>
    </row>
    <row hidden="true" r="10">
      <c r="A10" s="114"/>
      <c r="B10" s="150" t="s">
        <v>95</v>
      </c>
      <c r="C10" s="115" t="s">
        <v>92</v>
      </c>
      <c r="D10" s="116">
        <f>0.95+444.96</f>
      </c>
      <c r="E10" s="117">
        <v>3</v>
      </c>
      <c r="F10" s="117">
        <v>3</v>
      </c>
      <c r="G10" s="119">
        <f t="shared" si="40"/>
      </c>
      <c r="H10" s="120">
        <v>1</v>
      </c>
      <c r="I10" s="120">
        <v>1</v>
      </c>
      <c r="J10" s="121">
        <v>550</v>
      </c>
      <c r="K10" s="120">
        <v>0</v>
      </c>
      <c r="L10" s="122">
        <v>0</v>
      </c>
      <c r="M10" s="120">
        <f t="shared" si="42"/>
      </c>
      <c r="N10" s="119">
        <f t="shared" si="78"/>
      </c>
      <c r="O10" s="119">
        <f t="shared" si="0"/>
      </c>
      <c r="P10" s="123">
        <f t="shared" si="2"/>
      </c>
      <c r="Q10" s="119">
        <f t="shared" si="38"/>
      </c>
      <c r="R10" s="124">
        <f t="shared" si="39"/>
      </c>
      <c r="S10" s="124">
        <f t="shared" si="141"/>
      </c>
      <c r="T10" s="125">
        <f t="shared" si="143"/>
      </c>
      <c r="U10" s="126">
        <f t="shared" si="179"/>
      </c>
      <c r="V10" s="127">
        <f t="shared" si="180"/>
      </c>
      <c r="W10" s="126">
        <f t="shared" si="202"/>
      </c>
      <c r="X10" s="126">
        <f t="shared" si="181"/>
      </c>
      <c r="Y10" s="126">
        <f t="shared" si="116"/>
      </c>
      <c r="Z10" s="120">
        <v>2438</v>
      </c>
      <c r="AA10" s="120">
        <v>213</v>
      </c>
      <c r="AB10" s="120">
        <v>46</v>
      </c>
      <c r="AC10" s="149">
        <v>15</v>
      </c>
      <c r="AD10" s="120">
        <v>1</v>
      </c>
      <c r="AE10" s="128">
        <f t="shared" si="80"/>
      </c>
    </row>
    <row hidden="true" r="11">
      <c r="A11" s="114"/>
      <c r="B11" s="141" t="s">
        <v>90</v>
      </c>
      <c r="C11" s="141"/>
      <c r="D11" s="142">
        <f>SUM(D7:D10)</f>
      </c>
      <c r="E11" s="143">
        <f>SUM(E7:E10)</f>
      </c>
      <c r="F11" s="143">
        <f>SUM(F7:F10)</f>
      </c>
      <c r="G11" s="151">
        <f t="shared" si="40"/>
      </c>
      <c r="H11" s="143">
        <f>SUM(H7:H10)</f>
      </c>
      <c r="I11" s="143">
        <f>SUM(I7:I10)</f>
      </c>
      <c r="J11" s="144">
        <f>SUM(J7:J10)</f>
      </c>
      <c r="K11" s="143">
        <f>SUM(K7:K10)</f>
      </c>
      <c r="L11" s="142">
        <f>SUM(L7:L10)</f>
      </c>
      <c r="M11" s="143">
        <f>SUM(M7:M10)</f>
      </c>
      <c r="N11" s="143">
        <f t="shared" si="78"/>
      </c>
      <c r="O11" s="143">
        <f t="shared" si="0"/>
      </c>
      <c r="P11" s="142">
        <f>SUM(P7:P10)</f>
      </c>
      <c r="Q11" s="143">
        <f t="shared" si="38"/>
      </c>
      <c r="R11" s="146">
        <f t="shared" si="39"/>
      </c>
      <c r="S11" s="146">
        <f t="shared" si="141"/>
      </c>
      <c r="T11" s="147">
        <f>(T10+T8+T9+T7)/4</f>
      </c>
      <c r="U11" s="152">
        <f t="shared" si="179"/>
      </c>
      <c r="V11" s="153">
        <f t="shared" si="180"/>
      </c>
      <c r="W11" s="152">
        <f t="shared" si="202"/>
      </c>
      <c r="X11" s="152">
        <f t="shared" si="181"/>
      </c>
      <c r="Y11" s="152">
        <f t="shared" si="116"/>
      </c>
      <c r="Z11" s="143">
        <f>SUM(Z7:Z10)</f>
      </c>
      <c r="AA11" s="143">
        <f>SUM(AA7:AA10)</f>
      </c>
      <c r="AB11" s="143">
        <f>SUM(AB7:AB10)</f>
      </c>
      <c r="AC11" s="143">
        <f>SUM(AC7:AC10)</f>
      </c>
      <c r="AD11" s="143">
        <f>SUM(AD7:AD10)</f>
      </c>
      <c r="AE11" s="143">
        <f>SUM(AE7:AE10)</f>
      </c>
    </row>
    <row hidden="true" r="12">
      <c r="A12" s="114"/>
      <c r="B12" s="154" t="s">
        <v>96</v>
      </c>
      <c r="C12" s="154"/>
      <c r="D12" s="155">
        <f>D11+D6</f>
      </c>
      <c r="E12" s="156">
        <f>E11+E6</f>
      </c>
      <c r="F12" s="156">
        <f>F11+F6</f>
      </c>
      <c r="G12" s="157">
        <f t="shared" si="40"/>
      </c>
      <c r="H12" s="158">
        <f>H11+H6</f>
      </c>
      <c r="I12" s="156">
        <f>I11+I6</f>
      </c>
      <c r="J12" s="159">
        <f>J11+J6</f>
      </c>
      <c r="K12" s="156">
        <f>K11+K6</f>
      </c>
      <c r="L12" s="156">
        <f>L11+L6</f>
      </c>
      <c r="M12" s="156">
        <f>M11+M6</f>
      </c>
      <c r="N12" s="157">
        <f t="shared" si="78"/>
      </c>
      <c r="O12" s="157">
        <f t="shared" si="0"/>
      </c>
      <c r="P12" s="155">
        <f>P11+P6</f>
      </c>
      <c r="Q12" s="157">
        <f t="shared" si="38"/>
      </c>
      <c r="R12" s="160">
        <f t="shared" si="39"/>
      </c>
      <c r="S12" s="160">
        <f t="shared" si="141"/>
      </c>
      <c r="T12" s="161">
        <f>(T11+T6)/2</f>
      </c>
      <c r="U12" s="162">
        <f t="shared" si="179"/>
      </c>
      <c r="V12" s="163">
        <f t="shared" si="180"/>
      </c>
      <c r="W12" s="162">
        <f t="shared" si="202"/>
      </c>
      <c r="X12" s="162">
        <f t="shared" si="181"/>
      </c>
      <c r="Y12" s="162">
        <f t="shared" si="116"/>
      </c>
      <c r="Z12" s="156">
        <f>Z11+Z6</f>
      </c>
      <c r="AA12" s="156">
        <f>AA11+AA6</f>
      </c>
      <c r="AB12" s="156">
        <f>AB11+AB6</f>
      </c>
      <c r="AC12" s="156">
        <f>AC11+AC6</f>
      </c>
      <c r="AD12" s="156">
        <f>AD11+AD6</f>
      </c>
      <c r="AE12" s="156">
        <f>AE11+AE6</f>
      </c>
    </row>
    <row hidden="true" r="13">
      <c r="A13" s="114">
        <v>46236</v>
      </c>
      <c r="B13" s="115" t="s">
        <v>85</v>
      </c>
      <c r="C13" s="115" t="s">
        <v>92</v>
      </c>
      <c r="D13" s="116">
        <f>1803.64+16.75</f>
      </c>
      <c r="E13" s="117">
        <v>2</v>
      </c>
      <c r="F13" s="117">
        <v>0</v>
      </c>
      <c r="G13" s="119">
        <f t="shared" si="40"/>
      </c>
      <c r="H13" s="120">
        <v>3</v>
      </c>
      <c r="I13" s="120">
        <v>0</v>
      </c>
      <c r="J13" s="121">
        <v>0</v>
      </c>
      <c r="K13" s="120">
        <v>0</v>
      </c>
      <c r="L13" s="122">
        <v>0</v>
      </c>
      <c r="M13" s="120">
        <f t="shared" ref="M13:M16" si="43">K13+I13</f>
      </c>
      <c r="N13" s="119">
        <f t="shared" si="78"/>
      </c>
      <c r="O13" s="119">
        <f t="shared" si="0"/>
      </c>
      <c r="P13" s="123">
        <f t="shared" ref="P13:P16" si="3">J13+L13</f>
      </c>
      <c r="Q13" s="119">
        <f t="shared" si="38"/>
      </c>
      <c r="R13" s="124">
        <f t="shared" si="39"/>
      </c>
      <c r="S13" s="124">
        <f t="shared" si="141"/>
      </c>
      <c r="T13" s="125">
        <f t="shared" ref="T13:T16" si="144">AA13/60</f>
      </c>
      <c r="U13" s="126">
        <f t="shared" si="179"/>
      </c>
      <c r="V13" s="127">
        <f t="shared" si="180"/>
      </c>
      <c r="W13" s="126">
        <f t="shared" si="202"/>
      </c>
      <c r="X13" s="126">
        <f t="shared" si="181"/>
      </c>
      <c r="Y13" s="126">
        <f t="shared" ref="Y13:Y14" si="183">AE13/AD13</f>
      </c>
      <c r="Z13" s="120">
        <f>6279+57</f>
      </c>
      <c r="AA13" s="120">
        <f>343+8</f>
      </c>
      <c r="AB13" s="120">
        <v>33</v>
      </c>
      <c r="AC13" s="120">
        <v>42</v>
      </c>
      <c r="AD13" s="120">
        <v>3</v>
      </c>
      <c r="AE13" s="128">
        <f>COUNT(AD13)</f>
      </c>
    </row>
    <row hidden="true" r="14">
      <c r="A14" s="114"/>
      <c r="B14" s="115" t="s">
        <v>87</v>
      </c>
      <c r="C14" s="115" t="s">
        <v>92</v>
      </c>
      <c r="D14" s="129">
        <f>586.84+25.91</f>
      </c>
      <c r="E14" s="130">
        <v>1</v>
      </c>
      <c r="F14" s="130">
        <v>1</v>
      </c>
      <c r="G14" s="119">
        <f t="shared" si="40"/>
      </c>
      <c r="H14" s="131">
        <v>2</v>
      </c>
      <c r="I14" s="131">
        <v>1</v>
      </c>
      <c r="J14" s="132">
        <v>850</v>
      </c>
      <c r="K14" s="131">
        <v>0</v>
      </c>
      <c r="L14" s="133">
        <v>0</v>
      </c>
      <c r="M14" s="120">
        <f t="shared" si="43"/>
      </c>
      <c r="N14" s="119">
        <f t="shared" si="78"/>
      </c>
      <c r="O14" s="119">
        <f t="shared" si="0"/>
      </c>
      <c r="P14" s="123">
        <f t="shared" si="3"/>
      </c>
      <c r="Q14" s="119">
        <f t="shared" si="38"/>
      </c>
      <c r="R14" s="124">
        <f t="shared" si="39"/>
      </c>
      <c r="S14" s="124">
        <f t="shared" si="141"/>
      </c>
      <c r="T14" s="125">
        <f t="shared" si="144"/>
      </c>
      <c r="U14" s="126">
        <f t="shared" si="179"/>
      </c>
      <c r="V14" s="127">
        <f t="shared" si="180"/>
      </c>
      <c r="W14" s="126">
        <f t="shared" si="202"/>
      </c>
      <c r="X14" s="126">
        <f t="shared" si="181"/>
      </c>
      <c r="Y14" s="126">
        <f t="shared" si="183"/>
      </c>
      <c r="Z14" s="120">
        <f>2306+64</f>
      </c>
      <c r="AA14" s="131">
        <v>137</v>
      </c>
      <c r="AB14" s="131">
        <v>13</v>
      </c>
      <c r="AC14" s="131">
        <v>24</v>
      </c>
      <c r="AD14" s="131">
        <v>2</v>
      </c>
      <c r="AE14" s="135">
        <v>1</v>
      </c>
    </row>
    <row hidden="true" r="15">
      <c r="A15" s="114"/>
      <c r="B15" s="115" t="s">
        <v>88</v>
      </c>
      <c r="C15" s="115" t="s">
        <v>92</v>
      </c>
      <c r="D15" s="129">
        <f>751.03+509.62</f>
      </c>
      <c r="E15" s="130">
        <v>1</v>
      </c>
      <c r="F15" s="130">
        <v>0</v>
      </c>
      <c r="G15" s="119">
        <f t="shared" si="40"/>
      </c>
      <c r="H15" s="131">
        <v>1</v>
      </c>
      <c r="I15" s="131">
        <v>0</v>
      </c>
      <c r="J15" s="132">
        <v>0</v>
      </c>
      <c r="K15" s="131">
        <v>0</v>
      </c>
      <c r="L15" s="133">
        <v>0</v>
      </c>
      <c r="M15" s="136">
        <f t="shared" si="43"/>
      </c>
      <c r="N15" s="119">
        <f t="shared" si="78"/>
      </c>
      <c r="O15" s="137">
        <f t="shared" si="0"/>
      </c>
      <c r="P15" s="123">
        <f t="shared" si="3"/>
      </c>
      <c r="Q15" s="137">
        <f t="shared" si="38"/>
      </c>
      <c r="R15" s="134">
        <f t="shared" si="39"/>
      </c>
      <c r="S15" s="124">
        <f t="shared" si="141"/>
      </c>
      <c r="T15" s="125">
        <f t="shared" si="144"/>
      </c>
      <c r="U15" s="138">
        <f t="shared" si="179"/>
      </c>
      <c r="V15" s="138">
        <f t="shared" si="180"/>
      </c>
      <c r="W15" s="138">
        <f t="shared" si="202"/>
      </c>
      <c r="X15" s="138">
        <f t="shared" si="181"/>
      </c>
      <c r="Y15" s="139">
        <f t="shared" ref="Y15:Y18" si="117">M15/AD15</f>
      </c>
      <c r="Z15" s="120">
        <f>2907+1594</f>
      </c>
      <c r="AA15" s="131">
        <v>278</v>
      </c>
      <c r="AB15" s="131">
        <v>31</v>
      </c>
      <c r="AC15" s="131">
        <v>28</v>
      </c>
      <c r="AD15" s="131">
        <v>1</v>
      </c>
      <c r="AE15" s="128">
        <f t="shared" ref="AE15:AE16" si="81">COUNT(AD15)</f>
      </c>
    </row>
    <row hidden="true" r="16">
      <c r="A16" s="114"/>
      <c r="B16" s="115" t="s">
        <v>89</v>
      </c>
      <c r="C16" s="115" t="s">
        <v>92</v>
      </c>
      <c r="D16" s="116">
        <f>617.85+443.26</f>
      </c>
      <c r="E16" s="117">
        <v>2</v>
      </c>
      <c r="F16" s="117">
        <v>2</v>
      </c>
      <c r="G16" s="119">
        <f t="shared" si="40"/>
      </c>
      <c r="H16" s="120">
        <v>2</v>
      </c>
      <c r="I16" s="120">
        <v>2</v>
      </c>
      <c r="J16" s="121">
        <v>2750.3999999999996</v>
      </c>
      <c r="K16" s="120">
        <v>0</v>
      </c>
      <c r="L16" s="122">
        <v>0</v>
      </c>
      <c r="M16" s="120">
        <f t="shared" si="43"/>
      </c>
      <c r="N16" s="119">
        <f t="shared" si="78"/>
      </c>
      <c r="O16" s="119">
        <f t="shared" si="0"/>
      </c>
      <c r="P16" s="123">
        <f t="shared" si="3"/>
      </c>
      <c r="Q16" s="119">
        <f t="shared" si="38"/>
      </c>
      <c r="R16" s="134">
        <f t="shared" si="39"/>
      </c>
      <c r="S16" s="124">
        <f t="shared" si="141"/>
      </c>
      <c r="T16" s="125">
        <f t="shared" si="144"/>
      </c>
      <c r="U16" s="138">
        <f t="shared" si="179"/>
      </c>
      <c r="V16" s="127">
        <f t="shared" si="180"/>
      </c>
      <c r="W16" s="138">
        <f t="shared" si="202"/>
      </c>
      <c r="X16" s="126">
        <f t="shared" si="181"/>
      </c>
      <c r="Y16" s="140">
        <f t="shared" si="117"/>
      </c>
      <c r="Z16" s="120">
        <f>1700+1741</f>
      </c>
      <c r="AA16" s="120">
        <f>155+133</f>
      </c>
      <c r="AB16" s="120">
        <v>52</v>
      </c>
      <c r="AC16" s="120">
        <v>29</v>
      </c>
      <c r="AD16" s="120">
        <v>2</v>
      </c>
      <c r="AE16" s="128">
        <f t="shared" si="81"/>
      </c>
    </row>
    <row hidden="true" r="17">
      <c r="A17" s="114"/>
      <c r="B17" s="141" t="s">
        <v>90</v>
      </c>
      <c r="C17" s="141"/>
      <c r="D17" s="142">
        <f>SUM(D13:D16)</f>
      </c>
      <c r="E17" s="143">
        <f>SUM(E13:E16)</f>
      </c>
      <c r="F17" s="143">
        <f>SUM(F13:F16)</f>
      </c>
      <c r="G17" s="143">
        <f t="shared" si="40"/>
      </c>
      <c r="H17" s="143">
        <f>SUM(H13:H16)</f>
      </c>
      <c r="I17" s="143">
        <f>SUM(I13:I16)</f>
      </c>
      <c r="J17" s="143">
        <f>SUM(J13:J16)</f>
      </c>
      <c r="K17" s="143">
        <f>SUM(K13:K16)</f>
      </c>
      <c r="L17" s="143">
        <f>SUM(L13:L16)</f>
      </c>
      <c r="M17" s="143">
        <f>SUM(M13:M16)</f>
      </c>
      <c r="N17" s="143">
        <f t="shared" si="78"/>
      </c>
      <c r="O17" s="143">
        <f t="shared" si="0"/>
      </c>
      <c r="P17" s="142">
        <f>SUM(P13:P16)</f>
      </c>
      <c r="Q17" s="143">
        <f t="shared" si="38"/>
      </c>
      <c r="R17" s="146">
        <f t="shared" si="39"/>
      </c>
      <c r="S17" s="146">
        <f t="shared" si="141"/>
      </c>
      <c r="T17" s="147">
        <f>(T16+T14+T15+T13)/4</f>
      </c>
      <c r="U17" s="148">
        <f t="shared" si="179"/>
      </c>
      <c r="V17" s="148">
        <f t="shared" si="180"/>
      </c>
      <c r="W17" s="148">
        <f t="shared" si="202"/>
      </c>
      <c r="X17" s="148">
        <f t="shared" si="181"/>
      </c>
      <c r="Y17" s="148">
        <f t="shared" si="117"/>
      </c>
      <c r="Z17" s="143">
        <f>SUM(Z13:Z16)</f>
      </c>
      <c r="AA17" s="143">
        <f>SUM(AA13:AA16)</f>
      </c>
      <c r="AB17" s="143">
        <f>SUM(AB13:AB16)</f>
      </c>
      <c r="AC17" s="143">
        <f>SUM(AC13:AC16)</f>
      </c>
      <c r="AD17" s="143">
        <f>SUM(AD13:AD16)</f>
      </c>
      <c r="AE17" s="143">
        <f>SUM(AE13:AE16)</f>
      </c>
    </row>
    <row hidden="true" r="18">
      <c r="A18" s="114"/>
      <c r="B18" s="115" t="s">
        <v>91</v>
      </c>
      <c r="C18" s="115" t="s">
        <v>97</v>
      </c>
      <c r="D18" s="116">
        <f>1037.9+210.73</f>
      </c>
      <c r="E18" s="117">
        <v>0</v>
      </c>
      <c r="F18" s="117">
        <v>0</v>
      </c>
      <c r="G18" s="119">
        <f t="shared" si="40"/>
      </c>
      <c r="H18" s="120">
        <v>1</v>
      </c>
      <c r="I18" s="120">
        <v>0</v>
      </c>
      <c r="J18" s="121">
        <v>0</v>
      </c>
      <c r="K18" s="120">
        <v>0</v>
      </c>
      <c r="L18" s="122">
        <v>0</v>
      </c>
      <c r="M18" s="120">
        <f t="shared" ref="M18:M21" si="44">K18+I18</f>
      </c>
      <c r="N18" s="119">
        <f t="shared" si="78"/>
      </c>
      <c r="O18" s="119">
        <f t="shared" si="0"/>
      </c>
      <c r="P18" s="123">
        <f t="shared" ref="P18:P21" si="4">J18+L18</f>
      </c>
      <c r="Q18" s="119">
        <f t="shared" si="38"/>
      </c>
      <c r="R18" s="124">
        <f t="shared" si="39"/>
      </c>
      <c r="S18" s="124">
        <f t="shared" si="141"/>
      </c>
      <c r="T18" s="125">
        <f t="shared" ref="T18:T21" si="145">AA18/60</f>
      </c>
      <c r="U18" s="126">
        <f t="shared" si="179"/>
      </c>
      <c r="V18" s="127">
        <f t="shared" si="180"/>
      </c>
      <c r="W18" s="126">
        <f t="shared" si="202"/>
      </c>
      <c r="X18" s="126">
        <f t="shared" si="181"/>
      </c>
      <c r="Y18" s="126">
        <f t="shared" si="117"/>
      </c>
      <c r="Z18" s="120">
        <f>2512+1124</f>
      </c>
      <c r="AA18" s="120">
        <f>183+90</f>
      </c>
      <c r="AB18" s="120">
        <v>34</v>
      </c>
      <c r="AC18" s="149">
        <v>27</v>
      </c>
      <c r="AD18" s="120">
        <v>1</v>
      </c>
      <c r="AE18" s="128">
        <f t="shared" ref="AE18:AE21" si="82">COUNT(AD18)</f>
      </c>
    </row>
    <row hidden="true" r="19">
      <c r="A19" s="114"/>
      <c r="B19" s="115" t="s">
        <v>93</v>
      </c>
      <c r="C19" s="115" t="s">
        <v>97</v>
      </c>
      <c r="D19" s="116">
        <f>1065.5+11.07</f>
      </c>
      <c r="E19" s="117">
        <v>1</v>
      </c>
      <c r="F19" s="117">
        <v>1</v>
      </c>
      <c r="G19" s="119">
        <f t="shared" si="40"/>
      </c>
      <c r="H19" s="120">
        <v>1</v>
      </c>
      <c r="I19" s="120">
        <v>1</v>
      </c>
      <c r="J19" s="121">
        <v>1101.6000000000004</v>
      </c>
      <c r="K19" s="120">
        <v>0</v>
      </c>
      <c r="L19" s="122">
        <v>0</v>
      </c>
      <c r="M19" s="120">
        <f t="shared" si="44"/>
      </c>
      <c r="N19" s="119">
        <f t="shared" si="78"/>
      </c>
      <c r="O19" s="119">
        <f t="shared" si="0"/>
      </c>
      <c r="P19" s="123">
        <f t="shared" si="4"/>
      </c>
      <c r="Q19" s="119">
        <f t="shared" si="38"/>
      </c>
      <c r="R19" s="124">
        <f t="shared" si="39"/>
      </c>
      <c r="S19" s="124">
        <f t="shared" si="141"/>
      </c>
      <c r="T19" s="125">
        <f t="shared" si="145"/>
      </c>
      <c r="U19" s="126">
        <f t="shared" si="179"/>
      </c>
      <c r="V19" s="127">
        <f t="shared" si="180"/>
      </c>
      <c r="W19" s="126">
        <f t="shared" si="202"/>
      </c>
      <c r="X19" s="126">
        <f t="shared" si="181"/>
      </c>
      <c r="Y19" s="126">
        <f>AE19/AD19</f>
      </c>
      <c r="Z19" s="120">
        <f>3644+158</f>
      </c>
      <c r="AA19" s="120">
        <v>232</v>
      </c>
      <c r="AB19" s="120">
        <v>37</v>
      </c>
      <c r="AC19" s="149">
        <v>24</v>
      </c>
      <c r="AD19" s="120">
        <v>1</v>
      </c>
      <c r="AE19" s="128">
        <f t="shared" si="82"/>
      </c>
    </row>
    <row hidden="true" r="20">
      <c r="A20" s="114"/>
      <c r="B20" s="115" t="s">
        <v>94</v>
      </c>
      <c r="C20" s="115" t="s">
        <v>97</v>
      </c>
      <c r="D20" s="116">
        <f>983.6+8.3</f>
      </c>
      <c r="E20" s="117">
        <v>1</v>
      </c>
      <c r="F20" s="117">
        <v>1</v>
      </c>
      <c r="G20" s="119">
        <f t="shared" si="40"/>
      </c>
      <c r="H20" s="120">
        <v>1</v>
      </c>
      <c r="I20" s="120">
        <v>0</v>
      </c>
      <c r="J20" s="121">
        <v>0</v>
      </c>
      <c r="K20" s="120">
        <v>1</v>
      </c>
      <c r="L20" s="122">
        <v>1186.8000000000002</v>
      </c>
      <c r="M20" s="120">
        <f t="shared" si="44"/>
      </c>
      <c r="N20" s="119">
        <f t="shared" si="78"/>
      </c>
      <c r="O20" s="119">
        <f t="shared" si="0"/>
      </c>
      <c r="P20" s="123">
        <f t="shared" si="4"/>
      </c>
      <c r="Q20" s="119">
        <f t="shared" si="38"/>
      </c>
      <c r="R20" s="124">
        <f t="shared" si="39"/>
      </c>
      <c r="S20" s="124">
        <f t="shared" si="141"/>
      </c>
      <c r="T20" s="125">
        <f t="shared" si="145"/>
      </c>
      <c r="U20" s="126">
        <f t="shared" si="179"/>
      </c>
      <c r="V20" s="127">
        <f t="shared" si="180"/>
      </c>
      <c r="W20" s="126">
        <f t="shared" si="202"/>
      </c>
      <c r="X20" s="126">
        <f t="shared" si="181"/>
      </c>
      <c r="Y20" s="126">
        <f t="shared" ref="Y20:Y23" si="118">M20/AD20</f>
      </c>
      <c r="Z20" s="120">
        <f>3961+72</f>
      </c>
      <c r="AA20" s="120">
        <v>178</v>
      </c>
      <c r="AB20" s="120">
        <v>20</v>
      </c>
      <c r="AC20" s="149">
        <v>16</v>
      </c>
      <c r="AD20" s="120">
        <v>1</v>
      </c>
      <c r="AE20" s="128">
        <f t="shared" si="82"/>
      </c>
    </row>
    <row hidden="true" r="21">
      <c r="A21" s="114"/>
      <c r="B21" s="150" t="s">
        <v>95</v>
      </c>
      <c r="C21" s="115" t="s">
        <v>97</v>
      </c>
      <c r="D21" s="116">
        <f>738.28+2.64+2.11</f>
      </c>
      <c r="E21" s="117">
        <v>1</v>
      </c>
      <c r="F21" s="117">
        <v>1</v>
      </c>
      <c r="G21" s="119">
        <f t="shared" si="40"/>
      </c>
      <c r="H21" s="120">
        <v>1</v>
      </c>
      <c r="I21" s="120">
        <v>1</v>
      </c>
      <c r="J21" s="121">
        <v>720</v>
      </c>
      <c r="K21" s="120">
        <v>0</v>
      </c>
      <c r="L21" s="122">
        <v>0</v>
      </c>
      <c r="M21" s="120">
        <f t="shared" si="44"/>
      </c>
      <c r="N21" s="119">
        <f t="shared" si="78"/>
      </c>
      <c r="O21" s="119">
        <f t="shared" si="0"/>
      </c>
      <c r="P21" s="123">
        <f t="shared" si="4"/>
      </c>
      <c r="Q21" s="119">
        <f t="shared" si="38"/>
      </c>
      <c r="R21" s="124">
        <f t="shared" si="39"/>
      </c>
      <c r="S21" s="124">
        <f t="shared" si="141"/>
      </c>
      <c r="T21" s="125">
        <f t="shared" si="145"/>
      </c>
      <c r="U21" s="126">
        <f t="shared" si="179"/>
      </c>
      <c r="V21" s="127">
        <f t="shared" si="180"/>
      </c>
      <c r="W21" s="126">
        <f t="shared" si="202"/>
      </c>
      <c r="X21" s="126">
        <f t="shared" si="181"/>
      </c>
      <c r="Y21" s="126">
        <f t="shared" si="118"/>
      </c>
      <c r="Z21" s="120">
        <f>2570+36</f>
      </c>
      <c r="AA21" s="120">
        <f>149+4</f>
      </c>
      <c r="AB21" s="120">
        <v>8</v>
      </c>
      <c r="AC21" s="149">
        <v>19</v>
      </c>
      <c r="AD21" s="120">
        <v>1</v>
      </c>
      <c r="AE21" s="128">
        <f t="shared" si="82"/>
      </c>
    </row>
    <row hidden="true" r="22">
      <c r="A22" s="114"/>
      <c r="B22" s="141" t="s">
        <v>90</v>
      </c>
      <c r="C22" s="141"/>
      <c r="D22" s="142">
        <f>SUM(D18:D21)</f>
      </c>
      <c r="E22" s="143">
        <f>SUM(E18:E21)</f>
      </c>
      <c r="F22" s="143">
        <f>SUM(F18:F21)</f>
      </c>
      <c r="G22" s="151">
        <f t="shared" si="40"/>
      </c>
      <c r="H22" s="143">
        <f>SUM(H18:H21)</f>
      </c>
      <c r="I22" s="143">
        <f>SUM(I18:I21)</f>
      </c>
      <c r="J22" s="144">
        <f>SUM(J18:J21)</f>
      </c>
      <c r="K22" s="143">
        <f>SUM(K18:K21)</f>
      </c>
      <c r="L22" s="142">
        <f>SUM(L18:L21)</f>
      </c>
      <c r="M22" s="143">
        <f>SUM(M18:M21)</f>
      </c>
      <c r="N22" s="143">
        <f t="shared" si="78"/>
      </c>
      <c r="O22" s="143">
        <f t="shared" si="0"/>
      </c>
      <c r="P22" s="142">
        <f>SUM(P18:P21)</f>
      </c>
      <c r="Q22" s="143">
        <f t="shared" si="38"/>
      </c>
      <c r="R22" s="146">
        <f t="shared" si="39"/>
      </c>
      <c r="S22" s="146">
        <f t="shared" si="141"/>
      </c>
      <c r="T22" s="147">
        <f>(T21+T19+T20+T18)/4</f>
      </c>
      <c r="U22" s="152">
        <f t="shared" si="179"/>
      </c>
      <c r="V22" s="153">
        <f t="shared" si="180"/>
      </c>
      <c r="W22" s="152">
        <f t="shared" si="202"/>
      </c>
      <c r="X22" s="152">
        <f t="shared" si="181"/>
      </c>
      <c r="Y22" s="152">
        <f t="shared" si="118"/>
      </c>
      <c r="Z22" s="143">
        <f>SUM(Z18:Z21)</f>
      </c>
      <c r="AA22" s="143">
        <f>SUM(AA18:AA21)</f>
      </c>
      <c r="AB22" s="143">
        <f>SUM(AB18:AB21)</f>
      </c>
      <c r="AC22" s="143">
        <f>SUM(AC18:AC21)</f>
      </c>
      <c r="AD22" s="143">
        <f>SUM(AD18:AD21)</f>
      </c>
      <c r="AE22" s="143">
        <f>SUM(AE18:AE21)</f>
      </c>
    </row>
    <row hidden="true" r="23">
      <c r="A23" s="114"/>
      <c r="B23" s="154" t="s">
        <v>96</v>
      </c>
      <c r="C23" s="154"/>
      <c r="D23" s="155">
        <f>D22+D17</f>
      </c>
      <c r="E23" s="156">
        <f>E22+E17</f>
      </c>
      <c r="F23" s="156">
        <f>F22+F17</f>
      </c>
      <c r="G23" s="157">
        <f t="shared" si="40"/>
      </c>
      <c r="H23" s="158">
        <f>H22+H17</f>
      </c>
      <c r="I23" s="156">
        <f>I22+I17</f>
      </c>
      <c r="J23" s="159">
        <f>J22+J17</f>
      </c>
      <c r="K23" s="156">
        <f>K22+K17</f>
      </c>
      <c r="L23" s="156">
        <f>L22+L17</f>
      </c>
      <c r="M23" s="156">
        <f>M22+M17</f>
      </c>
      <c r="N23" s="157">
        <f t="shared" si="78"/>
      </c>
      <c r="O23" s="157">
        <f t="shared" si="0"/>
      </c>
      <c r="P23" s="155">
        <f>P22+P17</f>
      </c>
      <c r="Q23" s="157">
        <f t="shared" si="38"/>
      </c>
      <c r="R23" s="160">
        <f t="shared" si="39"/>
      </c>
      <c r="S23" s="160">
        <f t="shared" si="141"/>
      </c>
      <c r="T23" s="161">
        <f>(T23:T22+T17)/2</f>
      </c>
      <c r="U23" s="162">
        <f t="shared" si="179"/>
      </c>
      <c r="V23" s="163">
        <f t="shared" si="180"/>
      </c>
      <c r="W23" s="162">
        <f t="shared" si="202"/>
      </c>
      <c r="X23" s="162">
        <f t="shared" si="181"/>
      </c>
      <c r="Y23" s="162">
        <f t="shared" si="118"/>
      </c>
      <c r="Z23" s="156">
        <f>Z22+Z17</f>
      </c>
      <c r="AA23" s="156">
        <f>AA22+AA17</f>
      </c>
      <c r="AB23" s="156">
        <f>AB22+AB17</f>
      </c>
      <c r="AC23" s="156">
        <f>AC22+AC17</f>
      </c>
      <c r="AD23" s="156">
        <f>AD22+AD17</f>
      </c>
      <c r="AE23" s="156">
        <f>AE22+AE17</f>
      </c>
    </row>
    <row hidden="true" r="24">
      <c r="A24" s="114">
        <v>46237</v>
      </c>
      <c r="B24" s="115" t="s">
        <v>85</v>
      </c>
      <c r="C24" s="115" t="s">
        <v>86</v>
      </c>
      <c r="D24" s="116">
        <f>1439.7+31.51</f>
      </c>
      <c r="E24" s="117">
        <v>1</v>
      </c>
      <c r="F24" s="117">
        <v>0</v>
      </c>
      <c r="G24" s="119">
        <f t="shared" si="40"/>
      </c>
      <c r="H24" s="120">
        <v>1</v>
      </c>
      <c r="I24" s="120">
        <v>0</v>
      </c>
      <c r="J24" s="121">
        <v>0</v>
      </c>
      <c r="K24" s="120">
        <v>0</v>
      </c>
      <c r="L24" s="122">
        <v>0</v>
      </c>
      <c r="M24" s="120">
        <f>K24+I24</f>
      </c>
      <c r="N24" s="119">
        <f t="shared" si="78"/>
      </c>
      <c r="O24" s="119">
        <f t="shared" si="0"/>
      </c>
      <c r="P24" s="123">
        <f t="shared" ref="P24:P27" si="5">J24+L24</f>
      </c>
      <c r="Q24" s="119">
        <f t="shared" si="38"/>
      </c>
      <c r="R24" s="124">
        <f t="shared" si="39"/>
      </c>
      <c r="S24" s="124">
        <f t="shared" si="141"/>
      </c>
      <c r="T24" s="125">
        <f t="shared" ref="T24:T27" si="146">AA24/60</f>
      </c>
      <c r="U24" s="126">
        <f t="shared" si="179"/>
      </c>
      <c r="V24" s="127">
        <f t="shared" si="180"/>
      </c>
      <c r="W24" s="126">
        <f t="shared" si="202"/>
      </c>
      <c r="X24" s="126">
        <f t="shared" si="181"/>
      </c>
      <c r="Y24" s="126">
        <f t="shared" ref="Y24:Y25" si="184">AE24/AD24</f>
      </c>
      <c r="Z24" s="120">
        <f>145+5525</f>
      </c>
      <c r="AA24" s="120">
        <f>15+281</f>
      </c>
      <c r="AB24" s="120">
        <v>20</v>
      </c>
      <c r="AC24" s="120">
        <f>7+27</f>
      </c>
      <c r="AD24" s="120">
        <v>1</v>
      </c>
      <c r="AE24" s="128">
        <f>COUNT(AD24)</f>
      </c>
    </row>
    <row hidden="true" r="25">
      <c r="A25" s="114"/>
      <c r="B25" s="115" t="s">
        <v>87</v>
      </c>
      <c r="C25" s="115" t="s">
        <v>86</v>
      </c>
      <c r="D25" s="129">
        <f>1046.61+8.84</f>
      </c>
      <c r="E25" s="130">
        <f>1</f>
      </c>
      <c r="F25" s="130">
        <f>0</f>
      </c>
      <c r="G25" s="119">
        <f t="shared" si="40"/>
      </c>
      <c r="H25" s="131">
        <v>2</v>
      </c>
      <c r="I25" s="131">
        <v>0</v>
      </c>
      <c r="J25" s="132">
        <v>0</v>
      </c>
      <c r="K25" s="131">
        <v>0</v>
      </c>
      <c r="L25" s="133">
        <v>0</v>
      </c>
      <c r="M25" s="120">
        <v>0</v>
      </c>
      <c r="N25" s="119">
        <f t="shared" si="78"/>
      </c>
      <c r="O25" s="119">
        <f t="shared" si="0"/>
      </c>
      <c r="P25" s="123">
        <f t="shared" si="5"/>
      </c>
      <c r="Q25" s="119">
        <f t="shared" si="38"/>
      </c>
      <c r="R25" s="124">
        <f t="shared" si="39"/>
      </c>
      <c r="S25" s="134">
        <f t="shared" si="141"/>
      </c>
      <c r="T25" s="125">
        <f t="shared" si="146"/>
      </c>
      <c r="U25" s="126">
        <f t="shared" si="179"/>
      </c>
      <c r="V25" s="127">
        <f t="shared" si="180"/>
      </c>
      <c r="W25" s="126">
        <f t="shared" si="202"/>
      </c>
      <c r="X25" s="126">
        <f t="shared" si="181"/>
      </c>
      <c r="Y25" s="126">
        <f t="shared" si="184"/>
      </c>
      <c r="Z25" s="120">
        <f>5766+47</f>
      </c>
      <c r="AA25" s="131">
        <f>214+4</f>
      </c>
      <c r="AB25" s="131">
        <v>33</v>
      </c>
      <c r="AC25" s="131">
        <v>28</v>
      </c>
      <c r="AD25" s="131">
        <v>2</v>
      </c>
      <c r="AE25" s="135">
        <v>1</v>
      </c>
    </row>
    <row hidden="true" r="26">
      <c r="A26" s="114"/>
      <c r="B26" s="115" t="s">
        <v>88</v>
      </c>
      <c r="C26" s="115" t="s">
        <v>86</v>
      </c>
      <c r="D26" s="129">
        <f>423.75+4.23</f>
      </c>
      <c r="E26" s="130">
        <v>0</v>
      </c>
      <c r="F26" s="130">
        <v>0</v>
      </c>
      <c r="G26" s="119">
        <f t="shared" si="40"/>
      </c>
      <c r="H26" s="131">
        <v>0</v>
      </c>
      <c r="I26" s="131">
        <v>0</v>
      </c>
      <c r="J26" s="132">
        <v>0</v>
      </c>
      <c r="K26" s="131">
        <v>0</v>
      </c>
      <c r="L26" s="133">
        <v>0</v>
      </c>
      <c r="M26" s="136">
        <f t="shared" ref="M26:M27" si="45">K26+I26</f>
      </c>
      <c r="N26" s="119">
        <f t="shared" si="78"/>
      </c>
      <c r="O26" s="137">
        <f t="shared" si="0"/>
      </c>
      <c r="P26" s="123">
        <f t="shared" si="5"/>
      </c>
      <c r="Q26" s="137">
        <f t="shared" si="38"/>
      </c>
      <c r="R26" s="134">
        <f t="shared" si="39"/>
      </c>
      <c r="S26" s="134">
        <f t="shared" si="141"/>
      </c>
      <c r="T26" s="125">
        <f t="shared" si="146"/>
      </c>
      <c r="U26" s="138">
        <f t="shared" si="179"/>
      </c>
      <c r="V26" s="138">
        <f t="shared" si="180"/>
      </c>
      <c r="W26" s="138">
        <f t="shared" si="202"/>
      </c>
      <c r="X26" s="138">
        <f t="shared" si="181"/>
      </c>
      <c r="Y26" s="139">
        <f t="shared" ref="Y26:Y29" si="119">M26/AD26</f>
      </c>
      <c r="Z26" s="120">
        <f>2315+29</f>
      </c>
      <c r="AA26" s="131">
        <v>149</v>
      </c>
      <c r="AB26" s="131">
        <v>22</v>
      </c>
      <c r="AC26" s="131">
        <v>14</v>
      </c>
      <c r="AD26" s="131">
        <v>0</v>
      </c>
      <c r="AE26" s="128">
        <f t="shared" ref="AE26:AE27" si="83">COUNT(AD26)</f>
      </c>
    </row>
    <row hidden="true" r="27">
      <c r="A27" s="114"/>
      <c r="B27" s="115" t="s">
        <v>98</v>
      </c>
      <c r="C27" s="115" t="s">
        <v>86</v>
      </c>
      <c r="D27" s="116">
        <f>198.5+0.86</f>
      </c>
      <c r="E27" s="117">
        <v>0</v>
      </c>
      <c r="F27" s="117">
        <v>0</v>
      </c>
      <c r="G27" s="119">
        <f t="shared" si="40"/>
      </c>
      <c r="H27" s="120">
        <v>0</v>
      </c>
      <c r="I27" s="120">
        <v>0</v>
      </c>
      <c r="J27" s="121">
        <v>0</v>
      </c>
      <c r="K27" s="120">
        <v>0</v>
      </c>
      <c r="L27" s="122">
        <v>0</v>
      </c>
      <c r="M27" s="120">
        <f t="shared" si="45"/>
      </c>
      <c r="N27" s="119">
        <f t="shared" si="78"/>
      </c>
      <c r="O27" s="119">
        <f t="shared" si="0"/>
      </c>
      <c r="P27" s="123">
        <f t="shared" si="5"/>
      </c>
      <c r="Q27" s="119">
        <f t="shared" si="38"/>
      </c>
      <c r="R27" s="134">
        <f t="shared" si="39"/>
      </c>
      <c r="S27" s="134">
        <f t="shared" si="141"/>
      </c>
      <c r="T27" s="125">
        <f t="shared" si="146"/>
      </c>
      <c r="U27" s="138">
        <f t="shared" si="179"/>
      </c>
      <c r="V27" s="127">
        <f t="shared" si="180"/>
      </c>
      <c r="W27" s="138">
        <f t="shared" si="202"/>
      </c>
      <c r="X27" s="126">
        <f t="shared" si="181"/>
      </c>
      <c r="Y27" s="140">
        <f t="shared" si="119"/>
      </c>
      <c r="Z27" s="120">
        <f>1055+14</f>
      </c>
      <c r="AA27" s="120">
        <v>76</v>
      </c>
      <c r="AB27" s="120">
        <v>16</v>
      </c>
      <c r="AC27" s="120">
        <v>8</v>
      </c>
      <c r="AD27" s="120">
        <v>0</v>
      </c>
      <c r="AE27" s="128">
        <f t="shared" si="83"/>
      </c>
    </row>
    <row hidden="true" r="28">
      <c r="A28" s="114"/>
      <c r="B28" s="141" t="s">
        <v>90</v>
      </c>
      <c r="C28" s="141"/>
      <c r="D28" s="142">
        <f>SUM(D24:D27)</f>
      </c>
      <c r="E28" s="143">
        <f>SUM(E24:E27)</f>
      </c>
      <c r="F28" s="143">
        <f>SUM(F24:F27)</f>
      </c>
      <c r="G28" s="143">
        <f t="shared" si="40"/>
      </c>
      <c r="H28" s="143">
        <f>SUM(H24:H27)</f>
      </c>
      <c r="I28" s="143">
        <f>SUM(I24:I27)</f>
      </c>
      <c r="J28" s="143">
        <f>SUM(J24:J27)</f>
      </c>
      <c r="K28" s="143">
        <f>SUM(K24:K27)</f>
      </c>
      <c r="L28" s="143">
        <f>SUM(L24:L27)</f>
      </c>
      <c r="M28" s="143">
        <f>SUM(M24:M27)</f>
      </c>
      <c r="N28" s="143">
        <f t="shared" si="78"/>
      </c>
      <c r="O28" s="143">
        <f t="shared" si="0"/>
      </c>
      <c r="P28" s="142">
        <f>SUM(P24:P27)</f>
      </c>
      <c r="Q28" s="143">
        <f t="shared" si="38"/>
      </c>
      <c r="R28" s="146">
        <f t="shared" si="39"/>
      </c>
      <c r="S28" s="146">
        <f t="shared" si="141"/>
      </c>
      <c r="T28" s="147">
        <f>(T27+T25+T26+T24)/4</f>
      </c>
      <c r="U28" s="148">
        <f t="shared" si="179"/>
      </c>
      <c r="V28" s="148">
        <f t="shared" si="180"/>
      </c>
      <c r="W28" s="148">
        <f t="shared" si="202"/>
      </c>
      <c r="X28" s="148">
        <f t="shared" si="181"/>
      </c>
      <c r="Y28" s="148">
        <f t="shared" si="119"/>
      </c>
      <c r="Z28" s="143">
        <f>SUM(Z24:Z27)</f>
      </c>
      <c r="AA28" s="143">
        <f>SUM(AA24:AA27)</f>
      </c>
      <c r="AB28" s="143">
        <f>SUM(AB24:AB27)</f>
      </c>
      <c r="AC28" s="143">
        <f>SUM(AC24:AC27)</f>
      </c>
      <c r="AD28" s="143">
        <f>SUM(AD24:AD27)</f>
      </c>
      <c r="AE28" s="143">
        <f>SUM(AE24:AE27)</f>
      </c>
    </row>
    <row hidden="true" r="29">
      <c r="A29" s="114"/>
      <c r="B29" s="154" t="s">
        <v>96</v>
      </c>
      <c r="C29" s="154"/>
      <c r="D29" s="155">
        <f>D28</f>
      </c>
      <c r="E29" s="156">
        <f>E28</f>
      </c>
      <c r="F29" s="156">
        <f>F28</f>
      </c>
      <c r="G29" s="157">
        <f t="shared" si="40"/>
      </c>
      <c r="H29" s="158">
        <f>H28</f>
      </c>
      <c r="I29" s="156">
        <f>I28</f>
      </c>
      <c r="J29" s="159">
        <f>J28</f>
      </c>
      <c r="K29" s="156">
        <f>K28</f>
      </c>
      <c r="L29" s="156">
        <f>L28</f>
      </c>
      <c r="M29" s="156">
        <f>M28</f>
      </c>
      <c r="N29" s="157">
        <f t="shared" si="78"/>
      </c>
      <c r="O29" s="157">
        <f t="shared" si="0"/>
      </c>
      <c r="P29" s="155">
        <f>P28</f>
      </c>
      <c r="Q29" s="157">
        <f t="shared" si="38"/>
      </c>
      <c r="R29" s="160">
        <f t="shared" si="39"/>
      </c>
      <c r="S29" s="160">
        <f t="shared" si="141"/>
      </c>
      <c r="T29" s="161">
        <f>T28</f>
      </c>
      <c r="U29" s="162">
        <f t="shared" si="179"/>
      </c>
      <c r="V29" s="163">
        <f t="shared" si="180"/>
      </c>
      <c r="W29" s="162">
        <f t="shared" si="202"/>
      </c>
      <c r="X29" s="162">
        <f t="shared" si="181"/>
      </c>
      <c r="Y29" s="162">
        <f t="shared" si="119"/>
      </c>
      <c r="Z29" s="156">
        <f>Z28</f>
      </c>
      <c r="AA29" s="156">
        <f>AA28</f>
      </c>
      <c r="AB29" s="156">
        <f>AB28</f>
      </c>
      <c r="AC29" s="156">
        <f>AC28</f>
      </c>
      <c r="AD29" s="156">
        <f>AD28</f>
      </c>
      <c r="AE29" s="156">
        <f>AE28</f>
      </c>
    </row>
    <row hidden="true" r="30">
      <c r="A30" s="114">
        <v>46238</v>
      </c>
      <c r="B30" s="115" t="s">
        <v>85</v>
      </c>
      <c r="C30" s="115" t="s">
        <v>86</v>
      </c>
      <c r="D30" s="116">
        <f>1440.32+55.36</f>
      </c>
      <c r="E30" s="117">
        <v>0</v>
      </c>
      <c r="F30" s="117">
        <v>0</v>
      </c>
      <c r="G30" s="119">
        <f t="shared" si="40"/>
      </c>
      <c r="H30" s="120">
        <v>1</v>
      </c>
      <c r="I30" s="120">
        <v>0</v>
      </c>
      <c r="J30" s="121">
        <v>0</v>
      </c>
      <c r="K30" s="120">
        <v>1</v>
      </c>
      <c r="L30" s="122">
        <v>879.6</v>
      </c>
      <c r="M30" s="120">
        <f t="shared" ref="M30:M33" si="46">K30+I30</f>
      </c>
      <c r="N30" s="119">
        <f t="shared" si="78"/>
      </c>
      <c r="O30" s="119">
        <f t="shared" si="0"/>
      </c>
      <c r="P30" s="123">
        <f t="shared" ref="P30:P33" si="6">J30+L30</f>
      </c>
      <c r="Q30" s="119">
        <f t="shared" si="38"/>
      </c>
      <c r="R30" s="124">
        <f t="shared" si="39"/>
      </c>
      <c r="S30" s="124">
        <f t="shared" si="141"/>
      </c>
      <c r="T30" s="125">
        <f t="shared" ref="T30:T33" si="147">AA30/60</f>
      </c>
      <c r="U30" s="126">
        <f t="shared" si="179"/>
      </c>
      <c r="V30" s="127">
        <f t="shared" si="180"/>
      </c>
      <c r="W30" s="126">
        <f t="shared" si="202"/>
      </c>
      <c r="X30" s="126">
        <f t="shared" si="181"/>
      </c>
      <c r="Y30" s="126">
        <f t="shared" ref="Y30:Y31" si="185">AE30/AD30</f>
      </c>
      <c r="Z30" s="120">
        <f>5155+137</f>
      </c>
      <c r="AA30" s="120">
        <f>237+17</f>
      </c>
      <c r="AB30" s="120">
        <v>15</v>
      </c>
      <c r="AC30" s="120">
        <v>30</v>
      </c>
      <c r="AD30" s="120">
        <v>1</v>
      </c>
      <c r="AE30" s="128">
        <f>COUNT(AD30)</f>
      </c>
    </row>
    <row hidden="true" r="31">
      <c r="A31" s="114"/>
      <c r="B31" s="115" t="s">
        <v>87</v>
      </c>
      <c r="C31" s="115" t="s">
        <v>86</v>
      </c>
      <c r="D31" s="129">
        <f>1358.19+3.69</f>
      </c>
      <c r="E31" s="130">
        <v>3</v>
      </c>
      <c r="F31" s="130">
        <v>0</v>
      </c>
      <c r="G31" s="119">
        <f t="shared" si="40"/>
      </c>
      <c r="H31" s="131">
        <v>3</v>
      </c>
      <c r="I31" s="131">
        <v>0</v>
      </c>
      <c r="J31" s="132">
        <v>0</v>
      </c>
      <c r="K31" s="131">
        <v>0</v>
      </c>
      <c r="L31" s="133">
        <v>0</v>
      </c>
      <c r="M31" s="120">
        <f t="shared" si="46"/>
      </c>
      <c r="N31" s="119">
        <f t="shared" si="78"/>
      </c>
      <c r="O31" s="119">
        <f t="shared" si="0"/>
      </c>
      <c r="P31" s="123">
        <f t="shared" si="6"/>
      </c>
      <c r="Q31" s="119">
        <f t="shared" si="38"/>
      </c>
      <c r="R31" s="124">
        <f t="shared" si="39"/>
      </c>
      <c r="S31" s="134">
        <f t="shared" si="141"/>
      </c>
      <c r="T31" s="125">
        <f t="shared" si="147"/>
      </c>
      <c r="U31" s="126">
        <f t="shared" si="179"/>
      </c>
      <c r="V31" s="127">
        <f t="shared" si="180"/>
      </c>
      <c r="W31" s="126">
        <f t="shared" si="202"/>
      </c>
      <c r="X31" s="126">
        <f t="shared" si="181"/>
      </c>
      <c r="Y31" s="126">
        <f t="shared" si="185"/>
      </c>
      <c r="Z31" s="120">
        <f>5884+45</f>
      </c>
      <c r="AA31" s="131">
        <f>296+13</f>
      </c>
      <c r="AB31" s="131">
        <v>33</v>
      </c>
      <c r="AC31" s="131">
        <v>36</v>
      </c>
      <c r="AD31" s="131">
        <v>3</v>
      </c>
      <c r="AE31" s="135">
        <v>1</v>
      </c>
    </row>
    <row hidden="true" r="32">
      <c r="A32" s="114"/>
      <c r="B32" s="115" t="s">
        <v>88</v>
      </c>
      <c r="C32" s="115" t="s">
        <v>86</v>
      </c>
      <c r="D32" s="129">
        <f>906.56+5.36</f>
      </c>
      <c r="E32" s="130">
        <v>2</v>
      </c>
      <c r="F32" s="130">
        <v>1</v>
      </c>
      <c r="G32" s="119">
        <f t="shared" si="40"/>
      </c>
      <c r="H32" s="131">
        <v>2</v>
      </c>
      <c r="I32" s="131">
        <v>1</v>
      </c>
      <c r="J32" s="132">
        <v>1101.6</v>
      </c>
      <c r="K32" s="131">
        <v>0</v>
      </c>
      <c r="L32" s="133">
        <v>0</v>
      </c>
      <c r="M32" s="136">
        <f t="shared" si="46"/>
      </c>
      <c r="N32" s="119">
        <f t="shared" si="78"/>
      </c>
      <c r="O32" s="137">
        <f t="shared" si="0"/>
      </c>
      <c r="P32" s="123">
        <f t="shared" si="6"/>
      </c>
      <c r="Q32" s="137">
        <f t="shared" si="38"/>
      </c>
      <c r="R32" s="134">
        <f t="shared" si="39"/>
      </c>
      <c r="S32" s="134">
        <f t="shared" si="141"/>
      </c>
      <c r="T32" s="125">
        <f t="shared" si="147"/>
      </c>
      <c r="U32" s="138">
        <f t="shared" si="179"/>
      </c>
      <c r="V32" s="138">
        <f t="shared" si="180"/>
      </c>
      <c r="W32" s="138">
        <f t="shared" si="202"/>
      </c>
      <c r="X32" s="138">
        <f t="shared" si="181"/>
      </c>
      <c r="Y32" s="139">
        <f t="shared" ref="Y32:Y35" si="120">M32/AD32</f>
      </c>
      <c r="Z32" s="120">
        <v>4081</v>
      </c>
      <c r="AA32" s="131">
        <v>229</v>
      </c>
      <c r="AB32" s="131">
        <v>26</v>
      </c>
      <c r="AC32" s="131">
        <v>30</v>
      </c>
      <c r="AD32" s="131">
        <v>2</v>
      </c>
      <c r="AE32" s="128">
        <f t="shared" ref="AE32:AE33" si="84">COUNT(AD32)</f>
      </c>
    </row>
    <row hidden="true" r="33">
      <c r="A33" s="114"/>
      <c r="B33" s="115" t="s">
        <v>89</v>
      </c>
      <c r="C33" s="115" t="s">
        <v>86</v>
      </c>
      <c r="D33" s="116">
        <f>782.27+3.17</f>
      </c>
      <c r="E33" s="117">
        <v>1</v>
      </c>
      <c r="F33" s="117">
        <v>1</v>
      </c>
      <c r="G33" s="119">
        <f t="shared" si="40"/>
      </c>
      <c r="H33" s="120">
        <v>2</v>
      </c>
      <c r="I33" s="120">
        <v>2</v>
      </c>
      <c r="J33" s="121">
        <v>1372</v>
      </c>
      <c r="K33" s="120">
        <v>0</v>
      </c>
      <c r="L33" s="122">
        <v>0</v>
      </c>
      <c r="M33" s="120">
        <f t="shared" si="46"/>
      </c>
      <c r="N33" s="119">
        <f t="shared" si="78"/>
      </c>
      <c r="O33" s="119">
        <f t="shared" si="0"/>
      </c>
      <c r="P33" s="123">
        <f t="shared" si="6"/>
      </c>
      <c r="Q33" s="119">
        <f t="shared" si="38"/>
      </c>
      <c r="R33" s="134">
        <f t="shared" si="39"/>
      </c>
      <c r="S33" s="134">
        <f t="shared" si="141"/>
      </c>
      <c r="T33" s="125">
        <f t="shared" si="147"/>
      </c>
      <c r="U33" s="126">
        <f t="shared" si="179"/>
      </c>
      <c r="V33" s="127">
        <f t="shared" si="180"/>
      </c>
      <c r="W33" s="138">
        <f t="shared" si="202"/>
      </c>
      <c r="X33" s="126">
        <f t="shared" si="181"/>
      </c>
      <c r="Y33" s="140">
        <f t="shared" si="120"/>
      </c>
      <c r="Z33" s="120">
        <f>2129+31</f>
      </c>
      <c r="AA33" s="120">
        <f>13+198</f>
      </c>
      <c r="AB33" s="120">
        <v>19</v>
      </c>
      <c r="AC33" s="120">
        <v>19</v>
      </c>
      <c r="AD33" s="120">
        <v>2</v>
      </c>
      <c r="AE33" s="128">
        <f t="shared" si="84"/>
      </c>
    </row>
    <row hidden="true" r="34">
      <c r="A34" s="114"/>
      <c r="B34" s="141" t="s">
        <v>90</v>
      </c>
      <c r="C34" s="141"/>
      <c r="D34" s="142">
        <f>SUM(D30:D33)</f>
      </c>
      <c r="E34" s="143">
        <f>SUM(E30:E33)</f>
      </c>
      <c r="F34" s="143">
        <f>SUM(F30:F33)</f>
      </c>
      <c r="G34" s="143">
        <f t="shared" si="40"/>
      </c>
      <c r="H34" s="143">
        <f>SUM(H30:H33)</f>
      </c>
      <c r="I34" s="143">
        <f>SUM(I30:I33)</f>
      </c>
      <c r="J34" s="144">
        <f>SUM(J30:J33)</f>
      </c>
      <c r="K34" s="145">
        <f>SUM(K30:K33)</f>
      </c>
      <c r="L34" s="145">
        <f>SUM(L30:L33)</f>
      </c>
      <c r="M34" s="143">
        <f>SUM(M30:M33)</f>
      </c>
      <c r="N34" s="143">
        <f t="shared" si="78"/>
      </c>
      <c r="O34" s="143">
        <f t="shared" si="0"/>
      </c>
      <c r="P34" s="145">
        <f>SUM(P30:P33)</f>
      </c>
      <c r="Q34" s="143">
        <f t="shared" si="38"/>
      </c>
      <c r="R34" s="146">
        <f t="shared" si="39"/>
      </c>
      <c r="S34" s="146">
        <f t="shared" si="141"/>
      </c>
      <c r="T34" s="147">
        <f>(T33+T31+T32+T30)/4</f>
      </c>
      <c r="U34" s="148">
        <f t="shared" si="179"/>
      </c>
      <c r="V34" s="148">
        <f t="shared" si="180"/>
      </c>
      <c r="W34" s="148">
        <f t="shared" si="202"/>
      </c>
      <c r="X34" s="148">
        <f t="shared" si="181"/>
      </c>
      <c r="Y34" s="148">
        <f t="shared" si="120"/>
      </c>
      <c r="Z34" s="143">
        <f>SUM(Z30:Z33)</f>
      </c>
      <c r="AA34" s="143">
        <f>SUM(AA30:AA33)</f>
      </c>
      <c r="AB34" s="143">
        <f>SUM(AB30:AB33)</f>
      </c>
      <c r="AC34" s="143">
        <f>SUM(AC30:AC33)</f>
      </c>
      <c r="AD34" s="143">
        <f>SUM(AD30:AD33)</f>
      </c>
      <c r="AE34" s="143">
        <f>SUM(AE30:AE33)</f>
      </c>
    </row>
    <row hidden="true" r="35">
      <c r="A35" s="114"/>
      <c r="B35" s="115" t="s">
        <v>91</v>
      </c>
      <c r="C35" s="115" t="s">
        <v>97</v>
      </c>
      <c r="D35" s="116">
        <f>1428.04+5.03</f>
      </c>
      <c r="E35" s="117">
        <v>1</v>
      </c>
      <c r="F35" s="117">
        <v>0</v>
      </c>
      <c r="G35" s="119">
        <f t="shared" si="40"/>
      </c>
      <c r="H35" s="120">
        <v>1</v>
      </c>
      <c r="I35" s="120">
        <v>0</v>
      </c>
      <c r="J35" s="121">
        <v>0</v>
      </c>
      <c r="K35" s="120">
        <v>0</v>
      </c>
      <c r="L35" s="122">
        <v>0</v>
      </c>
      <c r="M35" s="120">
        <f t="shared" ref="M35:M38" si="47">K35+I35</f>
      </c>
      <c r="N35" s="119">
        <f t="shared" si="78"/>
      </c>
      <c r="O35" s="119">
        <f t="shared" si="0"/>
      </c>
      <c r="P35" s="123">
        <f t="shared" ref="P35:P38" si="7">J35+L35</f>
      </c>
      <c r="Q35" s="119">
        <f t="shared" si="38"/>
      </c>
      <c r="R35" s="124">
        <f t="shared" si="39"/>
      </c>
      <c r="S35" s="124">
        <f t="shared" si="141"/>
      </c>
      <c r="T35" s="125">
        <f t="shared" ref="T35:T38" si="148">AA35/60</f>
      </c>
      <c r="U35" s="126">
        <f t="shared" si="179"/>
      </c>
      <c r="V35" s="127">
        <f t="shared" si="180"/>
      </c>
      <c r="W35" s="126">
        <f t="shared" si="202"/>
      </c>
      <c r="X35" s="126">
        <f t="shared" si="181"/>
      </c>
      <c r="Y35" s="126">
        <f t="shared" si="120"/>
      </c>
      <c r="Z35" s="120">
        <f>4560+57</f>
      </c>
      <c r="AA35" s="120">
        <f>301+14</f>
      </c>
      <c r="AB35" s="120">
        <v>28</v>
      </c>
      <c r="AC35" s="149">
        <v>27</v>
      </c>
      <c r="AD35" s="120">
        <v>1</v>
      </c>
      <c r="AE35" s="128">
        <f>COUNT(AD35)</f>
      </c>
    </row>
    <row hidden="true" r="36">
      <c r="A36" s="114"/>
      <c r="B36" s="115" t="s">
        <v>93</v>
      </c>
      <c r="C36" s="115" t="s">
        <v>97</v>
      </c>
      <c r="D36" s="116">
        <f>1206.2+10.55</f>
      </c>
      <c r="E36" s="117">
        <v>1</v>
      </c>
      <c r="F36" s="117">
        <v>1</v>
      </c>
      <c r="G36" s="119">
        <f t="shared" si="40"/>
      </c>
      <c r="H36" s="120">
        <v>1</v>
      </c>
      <c r="I36" s="120">
        <v>0</v>
      </c>
      <c r="J36" s="121">
        <v>0</v>
      </c>
      <c r="K36" s="120">
        <v>1</v>
      </c>
      <c r="L36" s="122">
        <v>6008.4</v>
      </c>
      <c r="M36" s="120">
        <f t="shared" si="47"/>
      </c>
      <c r="N36" s="119">
        <f t="shared" si="78"/>
      </c>
      <c r="O36" s="119">
        <f t="shared" si="0"/>
      </c>
      <c r="P36" s="123">
        <f t="shared" si="7"/>
      </c>
      <c r="Q36" s="119">
        <f t="shared" si="38"/>
      </c>
      <c r="R36" s="124">
        <f t="shared" si="39"/>
      </c>
      <c r="S36" s="124">
        <f t="shared" si="141"/>
      </c>
      <c r="T36" s="125">
        <f t="shared" si="148"/>
      </c>
      <c r="U36" s="126">
        <f t="shared" si="179"/>
      </c>
      <c r="V36" s="127">
        <f t="shared" si="180"/>
      </c>
      <c r="W36" s="126">
        <f t="shared" si="202"/>
      </c>
      <c r="X36" s="126">
        <f t="shared" si="181"/>
      </c>
      <c r="Y36" s="126">
        <f>AE36/AD36</f>
      </c>
      <c r="Z36" s="120">
        <f>4217+49</f>
      </c>
      <c r="AA36" s="120">
        <f>237+9</f>
      </c>
      <c r="AB36" s="120">
        <v>21</v>
      </c>
      <c r="AC36" s="149">
        <v>23</v>
      </c>
      <c r="AD36" s="120">
        <v>1</v>
      </c>
      <c r="AE36" s="135">
        <v>1</v>
      </c>
    </row>
    <row hidden="true" r="37">
      <c r="A37" s="114"/>
      <c r="B37" s="115" t="s">
        <v>94</v>
      </c>
      <c r="C37" s="115" t="s">
        <v>97</v>
      </c>
      <c r="D37" s="116">
        <f>982.58+11.36</f>
      </c>
      <c r="E37" s="117">
        <v>0</v>
      </c>
      <c r="F37" s="117">
        <v>0</v>
      </c>
      <c r="G37" s="119">
        <f t="shared" si="40"/>
      </c>
      <c r="H37" s="120">
        <v>0</v>
      </c>
      <c r="I37" s="120">
        <v>0</v>
      </c>
      <c r="J37" s="121">
        <v>0</v>
      </c>
      <c r="K37" s="120">
        <v>0</v>
      </c>
      <c r="L37" s="122">
        <v>0</v>
      </c>
      <c r="M37" s="120">
        <f t="shared" si="47"/>
      </c>
      <c r="N37" s="119">
        <f t="shared" si="78"/>
      </c>
      <c r="O37" s="119">
        <f t="shared" si="0"/>
      </c>
      <c r="P37" s="123">
        <f t="shared" si="7"/>
      </c>
      <c r="Q37" s="119">
        <f t="shared" si="38"/>
      </c>
      <c r="R37" s="124">
        <f t="shared" si="39"/>
      </c>
      <c r="S37" s="124">
        <f t="shared" si="141"/>
      </c>
      <c r="T37" s="125">
        <f t="shared" si="148"/>
      </c>
      <c r="U37" s="126">
        <f t="shared" si="179"/>
      </c>
      <c r="V37" s="127">
        <f t="shared" si="180"/>
      </c>
      <c r="W37" s="126">
        <f t="shared" si="202"/>
      </c>
      <c r="X37" s="126">
        <f t="shared" si="181"/>
      </c>
      <c r="Y37" s="126">
        <f t="shared" ref="Y37:Y40" si="121">M37/AD37</f>
      </c>
      <c r="Z37" s="120">
        <f>3623+52</f>
      </c>
      <c r="AA37" s="120">
        <v>238</v>
      </c>
      <c r="AB37" s="120">
        <v>20</v>
      </c>
      <c r="AC37" s="149">
        <v>25</v>
      </c>
      <c r="AD37" s="120">
        <v>0</v>
      </c>
      <c r="AE37" s="128">
        <f t="shared" ref="AE37:AE38" si="85">COUNT(AD37)</f>
      </c>
    </row>
    <row hidden="true" r="38">
      <c r="A38" s="114"/>
      <c r="B38" s="150" t="s">
        <v>95</v>
      </c>
      <c r="C38" s="115" t="s">
        <v>97</v>
      </c>
      <c r="D38" s="116">
        <f>887.8+20.61+2.9</f>
      </c>
      <c r="E38" s="117">
        <v>1</v>
      </c>
      <c r="F38" s="117">
        <v>1</v>
      </c>
      <c r="G38" s="119">
        <f t="shared" si="40"/>
      </c>
      <c r="H38" s="120">
        <v>1</v>
      </c>
      <c r="I38" s="120">
        <v>1</v>
      </c>
      <c r="J38" s="121">
        <v>1525.1999999999998</v>
      </c>
      <c r="K38" s="120">
        <v>0</v>
      </c>
      <c r="L38" s="122">
        <v>0</v>
      </c>
      <c r="M38" s="120">
        <f t="shared" si="47"/>
      </c>
      <c r="N38" s="119">
        <f t="shared" si="78"/>
      </c>
      <c r="O38" s="119">
        <f t="shared" si="0"/>
      </c>
      <c r="P38" s="123">
        <f t="shared" si="7"/>
      </c>
      <c r="Q38" s="119">
        <f t="shared" si="38"/>
      </c>
      <c r="R38" s="124">
        <f t="shared" si="39"/>
      </c>
      <c r="S38" s="124">
        <f t="shared" si="141"/>
      </c>
      <c r="T38" s="125">
        <f t="shared" si="148"/>
      </c>
      <c r="U38" s="126">
        <f t="shared" si="179"/>
      </c>
      <c r="V38" s="127">
        <f t="shared" si="180"/>
      </c>
      <c r="W38" s="126">
        <f t="shared" si="202"/>
      </c>
      <c r="X38" s="126">
        <f t="shared" si="181"/>
      </c>
      <c r="Y38" s="126">
        <f t="shared" si="121"/>
      </c>
      <c r="Z38" s="120">
        <f>2275+11</f>
      </c>
      <c r="AA38" s="120">
        <v>150</v>
      </c>
      <c r="AB38" s="120">
        <v>23</v>
      </c>
      <c r="AC38" s="149">
        <v>19</v>
      </c>
      <c r="AD38" s="120">
        <v>1</v>
      </c>
      <c r="AE38" s="128">
        <f t="shared" si="85"/>
      </c>
    </row>
    <row hidden="true" r="39">
      <c r="A39" s="114"/>
      <c r="B39" s="141" t="s">
        <v>90</v>
      </c>
      <c r="C39" s="141"/>
      <c r="D39" s="142">
        <f>SUM(D35:D38)</f>
      </c>
      <c r="E39" s="143">
        <f>SUM(E35:E38)</f>
      </c>
      <c r="F39" s="143">
        <f>SUM(F35:F38)</f>
      </c>
      <c r="G39" s="151">
        <f t="shared" si="40"/>
      </c>
      <c r="H39" s="143">
        <f>SUM(H35:H38)</f>
      </c>
      <c r="I39" s="143">
        <f>SUM(I35:I38)</f>
      </c>
      <c r="J39" s="144">
        <f>SUM(J35:J38)</f>
      </c>
      <c r="K39" s="143">
        <f>SUM(K35:K38)</f>
      </c>
      <c r="L39" s="142">
        <f>SUM(L35:L38)</f>
      </c>
      <c r="M39" s="143">
        <f>SUM(M35:M38)</f>
      </c>
      <c r="N39" s="143">
        <f t="shared" si="78"/>
      </c>
      <c r="O39" s="143">
        <f t="shared" si="0"/>
      </c>
      <c r="P39" s="142">
        <f>SUM(P35:P38)</f>
      </c>
      <c r="Q39" s="143">
        <f t="shared" si="38"/>
      </c>
      <c r="R39" s="146">
        <f t="shared" si="39"/>
      </c>
      <c r="S39" s="146">
        <f t="shared" si="141"/>
      </c>
      <c r="T39" s="147">
        <f>(T38+T36+T37+T35)/4</f>
      </c>
      <c r="U39" s="152">
        <f t="shared" si="179"/>
      </c>
      <c r="V39" s="153">
        <f t="shared" si="180"/>
      </c>
      <c r="W39" s="152">
        <f t="shared" si="202"/>
      </c>
      <c r="X39" s="152">
        <f t="shared" si="181"/>
      </c>
      <c r="Y39" s="152">
        <f t="shared" si="121"/>
      </c>
      <c r="Z39" s="143">
        <f>SUM(Z35:Z38)</f>
      </c>
      <c r="AA39" s="143">
        <f>SUM(AA35:AA38)</f>
      </c>
      <c r="AB39" s="143">
        <f>SUM(AB35:AB38)</f>
      </c>
      <c r="AC39" s="143">
        <f>SUM(AC35:AC38)</f>
      </c>
      <c r="AD39" s="143">
        <f>SUM(AD35:AD38)</f>
      </c>
      <c r="AE39" s="143">
        <f>SUM(AE35:AE38)</f>
      </c>
    </row>
    <row hidden="true" r="40">
      <c r="A40" s="114"/>
      <c r="B40" s="154" t="s">
        <v>96</v>
      </c>
      <c r="C40" s="154"/>
      <c r="D40" s="155">
        <f>D39+D34</f>
      </c>
      <c r="E40" s="156">
        <f>E39+E34</f>
      </c>
      <c r="F40" s="156">
        <f>F39+F34</f>
      </c>
      <c r="G40" s="157">
        <f t="shared" si="40"/>
      </c>
      <c r="H40" s="158">
        <f>H39+H34</f>
      </c>
      <c r="I40" s="156">
        <f>I39+I34</f>
      </c>
      <c r="J40" s="159">
        <f>J39+J34</f>
      </c>
      <c r="K40" s="156">
        <f>K39+K34</f>
      </c>
      <c r="L40" s="155">
        <f>L39+L34</f>
      </c>
      <c r="M40" s="156">
        <f>M39+M34</f>
      </c>
      <c r="N40" s="157">
        <f t="shared" si="78"/>
      </c>
      <c r="O40" s="164">
        <f t="shared" si="0"/>
      </c>
      <c r="P40" s="165">
        <f>P39+P34</f>
      </c>
      <c r="Q40" s="157">
        <f t="shared" si="38"/>
      </c>
      <c r="R40" s="160">
        <f t="shared" si="39"/>
      </c>
      <c r="S40" s="160">
        <f t="shared" si="141"/>
      </c>
      <c r="T40" s="161">
        <f>(T39+T34)/2</f>
      </c>
      <c r="U40" s="162">
        <f t="shared" si="179"/>
      </c>
      <c r="V40" s="163">
        <f t="shared" si="180"/>
      </c>
      <c r="W40" s="162">
        <f t="shared" si="202"/>
      </c>
      <c r="X40" s="162">
        <f t="shared" si="181"/>
      </c>
      <c r="Y40" s="162">
        <f t="shared" si="121"/>
      </c>
      <c r="Z40" s="156">
        <f>Z39+Z34</f>
      </c>
      <c r="AA40" s="156">
        <f>AA39+AA34</f>
      </c>
      <c r="AB40" s="156">
        <f>AB39+AB34</f>
      </c>
      <c r="AC40" s="156">
        <f>AC39+AC34</f>
      </c>
      <c r="AD40" s="156">
        <f>AD39+AD34</f>
      </c>
      <c r="AE40" s="156">
        <f>AE39+AE34</f>
      </c>
    </row>
    <row hidden="true" r="41">
      <c r="A41" s="114">
        <v>46239</v>
      </c>
      <c r="B41" s="115" t="s">
        <v>85</v>
      </c>
      <c r="C41" s="115" t="s">
        <v>92</v>
      </c>
      <c r="D41" s="116">
        <f>1992.22+20.38</f>
      </c>
      <c r="E41" s="117">
        <f>4</f>
      </c>
      <c r="F41" s="117">
        <v>1</v>
      </c>
      <c r="G41" s="119">
        <f t="shared" si="40"/>
      </c>
      <c r="H41" s="131">
        <v>4</v>
      </c>
      <c r="I41" s="131">
        <v>1</v>
      </c>
      <c r="J41" s="132">
        <v>600</v>
      </c>
      <c r="K41" s="131">
        <v>0</v>
      </c>
      <c r="L41" s="133">
        <v>0</v>
      </c>
      <c r="M41" s="120">
        <f t="shared" ref="M41:M44" si="48">K41+I41</f>
      </c>
      <c r="N41" s="119">
        <f t="shared" si="78"/>
      </c>
      <c r="O41" s="119">
        <f t="shared" si="0"/>
      </c>
      <c r="P41" s="123">
        <f t="shared" ref="P41:P44" si="8">J41+L41</f>
      </c>
      <c r="Q41" s="119">
        <f t="shared" si="38"/>
      </c>
      <c r="R41" s="124">
        <f t="shared" si="39"/>
      </c>
      <c r="S41" s="124">
        <f t="shared" si="141"/>
      </c>
      <c r="T41" s="125">
        <f t="shared" ref="T41:T44" si="149">AA41/60</f>
      </c>
      <c r="U41" s="126">
        <f t="shared" si="179"/>
      </c>
      <c r="V41" s="127">
        <f t="shared" si="180"/>
      </c>
      <c r="W41" s="126">
        <f t="shared" si="202"/>
      </c>
      <c r="X41" s="126">
        <f t="shared" si="181"/>
      </c>
      <c r="Y41" s="126">
        <f t="shared" ref="Y41:Y42" si="186">AE41/AD41</f>
      </c>
      <c r="Z41" s="120">
        <f>7202+57</f>
      </c>
      <c r="AA41" s="120">
        <v>318</v>
      </c>
      <c r="AB41" s="120">
        <f>56</f>
      </c>
      <c r="AC41" s="120">
        <f>49</f>
      </c>
      <c r="AD41" s="120">
        <v>4</v>
      </c>
      <c r="AE41" s="128">
        <f>COUNT(AD41)</f>
      </c>
    </row>
    <row hidden="true" r="42">
      <c r="A42" s="114"/>
      <c r="B42" s="115" t="s">
        <v>87</v>
      </c>
      <c r="C42" s="115" t="s">
        <v>92</v>
      </c>
      <c r="D42" s="129">
        <f>1241.68+2.18</f>
      </c>
      <c r="E42" s="130">
        <v>0</v>
      </c>
      <c r="F42" s="130">
        <v>0</v>
      </c>
      <c r="G42" s="119">
        <f t="shared" si="40"/>
      </c>
      <c r="H42" s="131">
        <v>0</v>
      </c>
      <c r="I42" s="131">
        <v>0</v>
      </c>
      <c r="J42" s="132">
        <v>0</v>
      </c>
      <c r="K42" s="131">
        <v>0</v>
      </c>
      <c r="L42" s="133">
        <v>0</v>
      </c>
      <c r="M42" s="120">
        <f t="shared" si="48"/>
      </c>
      <c r="N42" s="119">
        <f t="shared" si="78"/>
      </c>
      <c r="O42" s="119">
        <f t="shared" si="0"/>
      </c>
      <c r="P42" s="123">
        <f t="shared" si="8"/>
      </c>
      <c r="Q42" s="119">
        <f t="shared" si="38"/>
      </c>
      <c r="R42" s="124">
        <f t="shared" si="39"/>
      </c>
      <c r="S42" s="134">
        <f t="shared" si="141"/>
      </c>
      <c r="T42" s="125">
        <f t="shared" si="149"/>
      </c>
      <c r="U42" s="126">
        <f t="shared" si="179"/>
      </c>
      <c r="V42" s="127">
        <f t="shared" si="180"/>
      </c>
      <c r="W42" s="126">
        <f t="shared" si="202"/>
      </c>
      <c r="X42" s="126">
        <f t="shared" si="181"/>
      </c>
      <c r="Y42" s="126">
        <f t="shared" si="186"/>
      </c>
      <c r="Z42" s="120">
        <f>6379+16</f>
      </c>
      <c r="AA42" s="131">
        <f>197</f>
      </c>
      <c r="AB42" s="131">
        <v>30</v>
      </c>
      <c r="AC42" s="131">
        <v>37</v>
      </c>
      <c r="AD42" s="131">
        <v>0</v>
      </c>
      <c r="AE42" s="135">
        <v>1</v>
      </c>
    </row>
    <row hidden="true" r="43">
      <c r="A43" s="114"/>
      <c r="B43" s="115" t="s">
        <v>88</v>
      </c>
      <c r="C43" s="115" t="s">
        <v>92</v>
      </c>
      <c r="D43" s="129">
        <f>631.93+0.79</f>
      </c>
      <c r="E43" s="130">
        <v>0</v>
      </c>
      <c r="F43" s="130">
        <v>0</v>
      </c>
      <c r="G43" s="119">
        <f t="shared" si="40"/>
      </c>
      <c r="H43" s="131">
        <v>0</v>
      </c>
      <c r="I43" s="131">
        <v>0</v>
      </c>
      <c r="J43" s="132">
        <v>0</v>
      </c>
      <c r="K43" s="131">
        <v>0</v>
      </c>
      <c r="L43" s="133">
        <v>0</v>
      </c>
      <c r="M43" s="136">
        <f t="shared" si="48"/>
      </c>
      <c r="N43" s="119">
        <f t="shared" si="78"/>
      </c>
      <c r="O43" s="137">
        <f t="shared" si="0"/>
      </c>
      <c r="P43" s="123">
        <f t="shared" si="8"/>
      </c>
      <c r="Q43" s="137">
        <f t="shared" si="38"/>
      </c>
      <c r="R43" s="134">
        <f t="shared" si="39"/>
      </c>
      <c r="S43" s="134">
        <f t="shared" si="141"/>
      </c>
      <c r="T43" s="125">
        <f t="shared" si="149"/>
      </c>
      <c r="U43" s="138">
        <f t="shared" si="179"/>
      </c>
      <c r="V43" s="138">
        <f t="shared" si="180"/>
      </c>
      <c r="W43" s="138">
        <f t="shared" si="202"/>
      </c>
      <c r="X43" s="138">
        <f t="shared" si="181"/>
      </c>
      <c r="Y43" s="139">
        <f t="shared" ref="Y43:Y46" si="122">M43/AD43</f>
      </c>
      <c r="Z43" s="120">
        <f>2898+7</f>
      </c>
      <c r="AA43" s="131">
        <f>107+2</f>
      </c>
      <c r="AB43" s="131">
        <v>6</v>
      </c>
      <c r="AC43" s="131">
        <v>11</v>
      </c>
      <c r="AD43" s="131">
        <v>0</v>
      </c>
      <c r="AE43" s="128">
        <f t="shared" ref="AE43:AE44" si="86">COUNT(AD43)</f>
      </c>
    </row>
    <row hidden="true" r="44">
      <c r="A44" s="114"/>
      <c r="B44" s="115" t="s">
        <v>89</v>
      </c>
      <c r="C44" s="115" t="s">
        <v>92</v>
      </c>
      <c r="D44" s="116">
        <f>567.82+0.22</f>
      </c>
      <c r="E44" s="117">
        <v>0</v>
      </c>
      <c r="F44" s="117">
        <v>0</v>
      </c>
      <c r="G44" s="119">
        <f t="shared" si="40"/>
      </c>
      <c r="H44" s="120">
        <v>0</v>
      </c>
      <c r="I44" s="120">
        <v>0</v>
      </c>
      <c r="J44" s="121">
        <v>0</v>
      </c>
      <c r="K44" s="120">
        <v>0</v>
      </c>
      <c r="L44" s="122">
        <v>0</v>
      </c>
      <c r="M44" s="120">
        <f t="shared" si="48"/>
      </c>
      <c r="N44" s="119">
        <f t="shared" si="78"/>
      </c>
      <c r="O44" s="119">
        <f t="shared" si="0"/>
      </c>
      <c r="P44" s="123">
        <f t="shared" si="8"/>
      </c>
      <c r="Q44" s="119">
        <f t="shared" si="38"/>
      </c>
      <c r="R44" s="134">
        <f t="shared" si="39"/>
      </c>
      <c r="S44" s="134">
        <f t="shared" si="141"/>
      </c>
      <c r="T44" s="125">
        <f t="shared" si="149"/>
      </c>
      <c r="U44" s="126">
        <f t="shared" si="179"/>
      </c>
      <c r="V44" s="127">
        <f t="shared" si="180"/>
      </c>
      <c r="W44" s="138">
        <f t="shared" si="202"/>
      </c>
      <c r="X44" s="126">
        <f t="shared" si="181"/>
      </c>
      <c r="Y44" s="140">
        <f t="shared" si="122"/>
      </c>
      <c r="Z44" s="120">
        <v>1950</v>
      </c>
      <c r="AA44" s="120">
        <v>105</v>
      </c>
      <c r="AB44" s="120">
        <v>26</v>
      </c>
      <c r="AC44" s="120">
        <v>10</v>
      </c>
      <c r="AD44" s="120">
        <v>0</v>
      </c>
      <c r="AE44" s="128">
        <f t="shared" si="86"/>
      </c>
    </row>
    <row hidden="true" r="45">
      <c r="A45" s="114"/>
      <c r="B45" s="141" t="s">
        <v>90</v>
      </c>
      <c r="C45" s="141"/>
      <c r="D45" s="142">
        <f>SUM(D41:D44)</f>
      </c>
      <c r="E45" s="143">
        <f>SUM(E41:E44)</f>
      </c>
      <c r="F45" s="143">
        <f>SUM(F41:F44)</f>
      </c>
      <c r="G45" s="143">
        <f t="shared" si="40"/>
      </c>
      <c r="H45" s="143">
        <f>SUM(H41:H44)</f>
      </c>
      <c r="I45" s="143">
        <f>SUM(I41:I44)</f>
      </c>
      <c r="J45" s="144">
        <f>SUM(J41:J44)</f>
      </c>
      <c r="K45" s="145">
        <f>SUM(K41:K44)</f>
      </c>
      <c r="L45" s="145">
        <f>SUM(L41:L44)</f>
      </c>
      <c r="M45" s="143">
        <f>SUM(M41:M44)</f>
      </c>
      <c r="N45" s="143">
        <f t="shared" si="78"/>
      </c>
      <c r="O45" s="143">
        <f t="shared" si="0"/>
      </c>
      <c r="P45" s="145">
        <f>SUM(P41:P44)</f>
      </c>
      <c r="Q45" s="143">
        <f t="shared" si="38"/>
      </c>
      <c r="R45" s="146">
        <f t="shared" si="39"/>
      </c>
      <c r="S45" s="146">
        <f t="shared" si="141"/>
      </c>
      <c r="T45" s="147">
        <f>(T44+T42+T43+T41)/4</f>
      </c>
      <c r="U45" s="148">
        <f t="shared" si="179"/>
      </c>
      <c r="V45" s="148">
        <f t="shared" si="180"/>
      </c>
      <c r="W45" s="148">
        <f t="shared" si="202"/>
      </c>
      <c r="X45" s="148">
        <f t="shared" si="181"/>
      </c>
      <c r="Y45" s="148">
        <f t="shared" si="122"/>
      </c>
      <c r="Z45" s="143">
        <f>SUM(Z41:Z44)</f>
      </c>
      <c r="AA45" s="143">
        <f>SUM(AA41:AA44)</f>
      </c>
      <c r="AB45" s="143">
        <f>SUM(AB41:AB44)</f>
      </c>
      <c r="AC45" s="143">
        <f>SUM(AC41:AC44)</f>
      </c>
      <c r="AD45" s="143">
        <f>SUM(AD41:AD44)</f>
      </c>
      <c r="AE45" s="143">
        <f>SUM(AE41:AE44)</f>
      </c>
    </row>
    <row hidden="true" r="46">
      <c r="A46" s="114"/>
      <c r="B46" s="115" t="s">
        <v>91</v>
      </c>
      <c r="C46" s="115" t="s">
        <v>97</v>
      </c>
      <c r="D46" s="116">
        <f>450.14+0.11</f>
      </c>
      <c r="E46" s="117">
        <v>1</v>
      </c>
      <c r="F46" s="117">
        <v>0</v>
      </c>
      <c r="G46" s="119">
        <f t="shared" si="40"/>
      </c>
      <c r="H46" s="120">
        <v>1</v>
      </c>
      <c r="I46" s="120">
        <v>0</v>
      </c>
      <c r="J46" s="121">
        <v>0</v>
      </c>
      <c r="K46" s="120">
        <v>0</v>
      </c>
      <c r="L46" s="122">
        <v>0</v>
      </c>
      <c r="M46" s="120">
        <f t="shared" ref="M46:M49" si="49">K46+I46</f>
      </c>
      <c r="N46" s="119">
        <f t="shared" si="78"/>
      </c>
      <c r="O46" s="119">
        <f t="shared" si="0"/>
      </c>
      <c r="P46" s="123">
        <f t="shared" ref="P46:P49" si="9">J46+L46</f>
      </c>
      <c r="Q46" s="119">
        <f t="shared" si="38"/>
      </c>
      <c r="R46" s="124">
        <f t="shared" si="39"/>
      </c>
      <c r="S46" s="124">
        <f t="shared" si="141"/>
      </c>
      <c r="T46" s="125">
        <f t="shared" ref="T46:T49" si="150">AA46/60</f>
      </c>
      <c r="U46" s="126">
        <f t="shared" si="179"/>
      </c>
      <c r="V46" s="127">
        <f t="shared" si="180"/>
      </c>
      <c r="W46" s="126">
        <f t="shared" si="202"/>
      </c>
      <c r="X46" s="126">
        <f t="shared" si="181"/>
      </c>
      <c r="Y46" s="126">
        <f t="shared" si="122"/>
      </c>
      <c r="Z46" s="120">
        <v>1450</v>
      </c>
      <c r="AA46" s="120">
        <v>128</v>
      </c>
      <c r="AB46" s="120">
        <v>26</v>
      </c>
      <c r="AC46" s="149">
        <v>12</v>
      </c>
      <c r="AD46" s="120">
        <v>1</v>
      </c>
      <c r="AE46" s="128">
        <f>COUNT(AD46)</f>
      </c>
    </row>
    <row hidden="true" r="47">
      <c r="A47" s="114"/>
      <c r="B47" s="115" t="s">
        <v>93</v>
      </c>
      <c r="C47" s="115" t="s">
        <v>97</v>
      </c>
      <c r="D47" s="116">
        <f>554.09+9.31</f>
      </c>
      <c r="E47" s="117">
        <v>1</v>
      </c>
      <c r="F47" s="117">
        <v>0</v>
      </c>
      <c r="G47" s="119">
        <f t="shared" si="40"/>
      </c>
      <c r="H47" s="120">
        <v>1</v>
      </c>
      <c r="I47" s="120">
        <v>0</v>
      </c>
      <c r="J47" s="121">
        <v>0</v>
      </c>
      <c r="K47" s="120">
        <v>0</v>
      </c>
      <c r="L47" s="122">
        <v>0</v>
      </c>
      <c r="M47" s="120">
        <f t="shared" si="49"/>
      </c>
      <c r="N47" s="119">
        <f t="shared" si="78"/>
      </c>
      <c r="O47" s="119">
        <f t="shared" si="0"/>
      </c>
      <c r="P47" s="123">
        <f t="shared" si="9"/>
      </c>
      <c r="Q47" s="119">
        <f t="shared" si="38"/>
      </c>
      <c r="R47" s="124">
        <f t="shared" si="39"/>
      </c>
      <c r="S47" s="124">
        <f t="shared" si="141"/>
      </c>
      <c r="T47" s="125">
        <f t="shared" si="150"/>
      </c>
      <c r="U47" s="126">
        <f t="shared" si="179"/>
      </c>
      <c r="V47" s="127">
        <f t="shared" si="180"/>
      </c>
      <c r="W47" s="126">
        <f t="shared" si="202"/>
      </c>
      <c r="X47" s="126">
        <f t="shared" si="181"/>
      </c>
      <c r="Y47" s="126">
        <f>AE47/AD47</f>
      </c>
      <c r="Z47" s="120">
        <f>1597+28</f>
      </c>
      <c r="AA47" s="120">
        <v>93</v>
      </c>
      <c r="AB47" s="120">
        <v>11</v>
      </c>
      <c r="AC47" s="149">
        <v>7</v>
      </c>
      <c r="AD47" s="120">
        <v>1</v>
      </c>
      <c r="AE47" s="135">
        <v>1</v>
      </c>
    </row>
    <row hidden="true" r="48">
      <c r="A48" s="114"/>
      <c r="B48" s="115" t="s">
        <v>94</v>
      </c>
      <c r="C48" s="115" t="s">
        <v>97</v>
      </c>
      <c r="D48" s="116">
        <f>958.45+42.73</f>
      </c>
      <c r="E48" s="117">
        <v>5</v>
      </c>
      <c r="F48" s="117">
        <v>4</v>
      </c>
      <c r="G48" s="119">
        <f t="shared" si="40"/>
      </c>
      <c r="H48" s="120">
        <v>5</v>
      </c>
      <c r="I48" s="120">
        <v>3</v>
      </c>
      <c r="J48" s="121">
        <v>3312</v>
      </c>
      <c r="K48" s="120">
        <v>2</v>
      </c>
      <c r="L48" s="122">
        <v>3105.6000000000004</v>
      </c>
      <c r="M48" s="120">
        <f t="shared" si="49"/>
      </c>
      <c r="N48" s="119">
        <f t="shared" si="78"/>
      </c>
      <c r="O48" s="119">
        <f t="shared" si="0"/>
      </c>
      <c r="P48" s="123">
        <f t="shared" si="9"/>
      </c>
      <c r="Q48" s="119">
        <f t="shared" si="38"/>
      </c>
      <c r="R48" s="124">
        <f t="shared" si="39"/>
      </c>
      <c r="S48" s="124">
        <f t="shared" si="141"/>
      </c>
      <c r="T48" s="125">
        <f t="shared" si="150"/>
      </c>
      <c r="U48" s="126">
        <f t="shared" si="179"/>
      </c>
      <c r="V48" s="127">
        <f t="shared" si="180"/>
      </c>
      <c r="W48" s="126">
        <f t="shared" si="202"/>
      </c>
      <c r="X48" s="126">
        <f t="shared" si="181"/>
      </c>
      <c r="Y48" s="126">
        <f t="shared" ref="Y48:Y51" si="123">M48/AD48</f>
      </c>
      <c r="Z48" s="120">
        <v>3349</v>
      </c>
      <c r="AA48" s="120">
        <v>118</v>
      </c>
      <c r="AB48" s="120">
        <v>58</v>
      </c>
      <c r="AC48" s="149">
        <v>20</v>
      </c>
      <c r="AD48" s="120">
        <v>5</v>
      </c>
      <c r="AE48" s="128">
        <f t="shared" ref="AE48:AE49" si="87">COUNT(AD48)</f>
      </c>
    </row>
    <row hidden="true" r="49">
      <c r="A49" s="114"/>
      <c r="B49" s="150" t="s">
        <v>95</v>
      </c>
      <c r="C49" s="115" t="s">
        <v>97</v>
      </c>
      <c r="D49" s="116">
        <f>2399.17+4.79+58.09</f>
      </c>
      <c r="E49" s="117">
        <v>2</v>
      </c>
      <c r="F49" s="117">
        <v>2</v>
      </c>
      <c r="G49" s="119">
        <f t="shared" si="40"/>
      </c>
      <c r="H49" s="120">
        <f>2+1</f>
      </c>
      <c r="I49" s="120">
        <f>1+1</f>
      </c>
      <c r="J49" s="121">
        <f>1101.6+1546.8</f>
      </c>
      <c r="K49" s="120">
        <v>0</v>
      </c>
      <c r="L49" s="122">
        <v>0</v>
      </c>
      <c r="M49" s="120">
        <f t="shared" si="49"/>
      </c>
      <c r="N49" s="119">
        <f t="shared" si="78"/>
      </c>
      <c r="O49" s="119">
        <f t="shared" si="0"/>
      </c>
      <c r="P49" s="123">
        <f t="shared" si="9"/>
      </c>
      <c r="Q49" s="119">
        <f t="shared" si="38"/>
      </c>
      <c r="R49" s="124">
        <f t="shared" si="39"/>
      </c>
      <c r="S49" s="124">
        <f t="shared" si="141"/>
      </c>
      <c r="T49" s="125">
        <f t="shared" si="150"/>
      </c>
      <c r="U49" s="126">
        <f t="shared" si="179"/>
      </c>
      <c r="V49" s="127">
        <f t="shared" si="180"/>
      </c>
      <c r="W49" s="126">
        <f t="shared" si="202"/>
      </c>
      <c r="X49" s="126">
        <f t="shared" si="181"/>
      </c>
      <c r="Y49" s="126">
        <f t="shared" si="123"/>
      </c>
      <c r="Z49" s="120">
        <f>7859+15</f>
      </c>
      <c r="AA49" s="120">
        <v>207</v>
      </c>
      <c r="AB49" s="120">
        <v>39</v>
      </c>
      <c r="AC49" s="149">
        <v>31</v>
      </c>
      <c r="AD49" s="120">
        <v>2</v>
      </c>
      <c r="AE49" s="128">
        <f t="shared" si="87"/>
      </c>
    </row>
    <row hidden="true" r="50">
      <c r="A50" s="114"/>
      <c r="B50" s="141" t="s">
        <v>90</v>
      </c>
      <c r="C50" s="141"/>
      <c r="D50" s="142">
        <f>SUM(D46:D49)</f>
      </c>
      <c r="E50" s="143">
        <f>SUM(E46:E49)</f>
      </c>
      <c r="F50" s="143">
        <f>SUM(F46:F49)</f>
      </c>
      <c r="G50" s="151">
        <f t="shared" si="40"/>
      </c>
      <c r="H50" s="143">
        <f>SUM(H46:H49)</f>
      </c>
      <c r="I50" s="143">
        <f>SUM(I46:I49)</f>
      </c>
      <c r="J50" s="144">
        <f>SUM(J46:J49)</f>
      </c>
      <c r="K50" s="143">
        <f>SUM(K46:K49)</f>
      </c>
      <c r="L50" s="142">
        <f>SUM(L46:L49)</f>
      </c>
      <c r="M50" s="143">
        <f>SUM(M46:M49)</f>
      </c>
      <c r="N50" s="143">
        <f t="shared" si="78"/>
      </c>
      <c r="O50" s="143">
        <f t="shared" si="0"/>
      </c>
      <c r="P50" s="143">
        <f>SUM(P46:P49)</f>
      </c>
      <c r="Q50" s="143">
        <f t="shared" si="38"/>
      </c>
      <c r="R50" s="146">
        <f t="shared" si="39"/>
      </c>
      <c r="S50" s="146">
        <f t="shared" si="141"/>
      </c>
      <c r="T50" s="147">
        <f>(T49+T47+T48+T46)/4</f>
      </c>
      <c r="U50" s="152">
        <f t="shared" si="179"/>
      </c>
      <c r="V50" s="153">
        <f t="shared" si="180"/>
      </c>
      <c r="W50" s="152">
        <f t="shared" si="202"/>
      </c>
      <c r="X50" s="152">
        <f t="shared" si="181"/>
      </c>
      <c r="Y50" s="152">
        <f t="shared" si="123"/>
      </c>
      <c r="Z50" s="143">
        <f>SUM(Z46:Z49)</f>
      </c>
      <c r="AA50" s="143">
        <f>SUM(AA46:AA49)</f>
      </c>
      <c r="AB50" s="143">
        <f>SUM(AB46:AB49)</f>
      </c>
      <c r="AC50" s="143">
        <f>SUM(AC46:AC49)</f>
      </c>
      <c r="AD50" s="143">
        <f>SUM(AD46:AD49)</f>
      </c>
      <c r="AE50" s="143">
        <f>SUM(AE46:AE49)</f>
      </c>
    </row>
    <row hidden="true" r="51">
      <c r="A51" s="114"/>
      <c r="B51" s="154" t="s">
        <v>96</v>
      </c>
      <c r="C51" s="154"/>
      <c r="D51" s="155">
        <f>D50+D45</f>
      </c>
      <c r="E51" s="156">
        <f>E50+E45</f>
      </c>
      <c r="F51" s="156">
        <f>F50+F45</f>
      </c>
      <c r="G51" s="157">
        <f t="shared" si="40"/>
      </c>
      <c r="H51" s="158">
        <f>H50+H45</f>
      </c>
      <c r="I51" s="156">
        <f>I50+I45</f>
      </c>
      <c r="J51" s="159">
        <f>J50+J45</f>
      </c>
      <c r="K51" s="156">
        <f>K50+K45</f>
      </c>
      <c r="L51" s="155">
        <f>L50+L45</f>
      </c>
      <c r="M51" s="156">
        <f>M50+M45</f>
      </c>
      <c r="N51" s="157">
        <f t="shared" si="78"/>
      </c>
      <c r="O51" s="164">
        <f t="shared" si="0"/>
      </c>
      <c r="P51" s="165">
        <f>P50+P45</f>
      </c>
      <c r="Q51" s="157">
        <f t="shared" si="38"/>
      </c>
      <c r="R51" s="160">
        <f t="shared" si="39"/>
      </c>
      <c r="S51" s="160">
        <f t="shared" si="141"/>
      </c>
      <c r="T51" s="161">
        <f>(T50+T45)/2</f>
      </c>
      <c r="U51" s="162">
        <f t="shared" si="179"/>
      </c>
      <c r="V51" s="163">
        <f t="shared" si="180"/>
      </c>
      <c r="W51" s="162">
        <f t="shared" si="202"/>
      </c>
      <c r="X51" s="162">
        <f t="shared" si="181"/>
      </c>
      <c r="Y51" s="162">
        <f t="shared" si="123"/>
      </c>
      <c r="Z51" s="156">
        <f>Z50+Z45</f>
      </c>
      <c r="AA51" s="156">
        <f>AA50+AA45</f>
      </c>
      <c r="AB51" s="156">
        <f>AB50+AB45</f>
      </c>
      <c r="AC51" s="156">
        <f>AC50+AC45</f>
      </c>
      <c r="AD51" s="156">
        <f>AD50+AD45</f>
      </c>
      <c r="AE51" s="156">
        <f>AE50+AE45</f>
      </c>
    </row>
    <row hidden="true" r="52">
      <c r="A52" s="114">
        <v>46240</v>
      </c>
      <c r="B52" s="115" t="s">
        <v>85</v>
      </c>
      <c r="C52" s="115" t="s">
        <v>86</v>
      </c>
      <c r="D52" s="116">
        <f>2108.99+33.63</f>
      </c>
      <c r="E52" s="117">
        <v>1</v>
      </c>
      <c r="F52" s="117">
        <v>1</v>
      </c>
      <c r="G52" s="119">
        <f t="shared" si="40"/>
      </c>
      <c r="H52" s="131">
        <v>1</v>
      </c>
      <c r="I52" s="131">
        <v>1</v>
      </c>
      <c r="J52" s="132">
        <v>720</v>
      </c>
      <c r="K52" s="131">
        <v>0</v>
      </c>
      <c r="L52" s="133">
        <v>0</v>
      </c>
      <c r="M52" s="120">
        <f t="shared" ref="M52:M55" si="50">K52+I52</f>
      </c>
      <c r="N52" s="119">
        <f t="shared" si="78"/>
      </c>
      <c r="O52" s="119">
        <f t="shared" si="0"/>
      </c>
      <c r="P52" s="123">
        <f t="shared" ref="P52:P55" si="10">J52+L52</f>
      </c>
      <c r="Q52" s="119">
        <f t="shared" si="38"/>
      </c>
      <c r="R52" s="124">
        <f t="shared" si="39"/>
      </c>
      <c r="S52" s="124">
        <f t="shared" si="141"/>
      </c>
      <c r="T52" s="125">
        <f t="shared" ref="T52:T55" si="151">AA52/60</f>
      </c>
      <c r="U52" s="126">
        <f t="shared" si="179"/>
      </c>
      <c r="V52" s="127">
        <f t="shared" si="180"/>
      </c>
      <c r="W52" s="126">
        <f t="shared" si="202"/>
      </c>
      <c r="X52" s="126">
        <f t="shared" si="181"/>
      </c>
      <c r="Y52" s="126">
        <f t="shared" ref="Y52:Y53" si="187">AE52/AD52</f>
      </c>
      <c r="Z52" s="120">
        <f>6416+157</f>
      </c>
      <c r="AA52" s="120">
        <f>349+14</f>
      </c>
      <c r="AB52" s="120">
        <v>39</v>
      </c>
      <c r="AC52" s="120">
        <v>50</v>
      </c>
      <c r="AD52" s="120">
        <v>1</v>
      </c>
      <c r="AE52" s="128">
        <f>COUNT(AD52)</f>
      </c>
    </row>
    <row hidden="true" r="53">
      <c r="A53" s="114"/>
      <c r="B53" s="115" t="s">
        <v>87</v>
      </c>
      <c r="C53" s="115" t="s">
        <v>86</v>
      </c>
      <c r="D53" s="129">
        <f>1231.78+10.35</f>
      </c>
      <c r="E53" s="130">
        <v>0</v>
      </c>
      <c r="F53" s="130">
        <v>0</v>
      </c>
      <c r="G53" s="119">
        <f t="shared" si="40"/>
      </c>
      <c r="H53" s="131">
        <v>1</v>
      </c>
      <c r="I53" s="131">
        <v>0</v>
      </c>
      <c r="J53" s="132">
        <v>0</v>
      </c>
      <c r="K53" s="131">
        <v>0</v>
      </c>
      <c r="L53" s="133">
        <v>0</v>
      </c>
      <c r="M53" s="120">
        <f t="shared" si="50"/>
      </c>
      <c r="N53" s="119">
        <f t="shared" si="78"/>
      </c>
      <c r="O53" s="119">
        <f t="shared" si="0"/>
      </c>
      <c r="P53" s="123">
        <f t="shared" si="10"/>
      </c>
      <c r="Q53" s="119">
        <f t="shared" si="38"/>
      </c>
      <c r="R53" s="124">
        <f t="shared" si="39"/>
      </c>
      <c r="S53" s="134">
        <f t="shared" si="141"/>
      </c>
      <c r="T53" s="125">
        <f t="shared" si="151"/>
      </c>
      <c r="U53" s="126">
        <f t="shared" si="179"/>
      </c>
      <c r="V53" s="127">
        <f t="shared" si="180"/>
      </c>
      <c r="W53" s="126">
        <f t="shared" si="202"/>
      </c>
      <c r="X53" s="126">
        <f t="shared" si="181"/>
      </c>
      <c r="Y53" s="126">
        <f t="shared" si="187"/>
      </c>
      <c r="Z53" s="120">
        <f>4268+33</f>
      </c>
      <c r="AA53" s="131">
        <v>203</v>
      </c>
      <c r="AB53" s="131">
        <v>2</v>
      </c>
      <c r="AC53" s="131">
        <v>33</v>
      </c>
      <c r="AD53" s="131">
        <v>1</v>
      </c>
      <c r="AE53" s="135">
        <v>1</v>
      </c>
    </row>
    <row hidden="true" r="54">
      <c r="A54" s="114"/>
      <c r="B54" s="115" t="s">
        <v>88</v>
      </c>
      <c r="C54" s="115" t="s">
        <v>86</v>
      </c>
      <c r="D54" s="129">
        <f>956.05+2.47</f>
      </c>
      <c r="E54" s="130">
        <v>2</v>
      </c>
      <c r="F54" s="130">
        <v>2</v>
      </c>
      <c r="G54" s="119">
        <f t="shared" si="40"/>
      </c>
      <c r="H54" s="131">
        <v>2</v>
      </c>
      <c r="I54" s="131">
        <v>1</v>
      </c>
      <c r="J54" s="132">
        <v>720</v>
      </c>
      <c r="K54" s="131">
        <v>1</v>
      </c>
      <c r="L54" s="133">
        <v>668</v>
      </c>
      <c r="M54" s="136">
        <f t="shared" si="50"/>
      </c>
      <c r="N54" s="119">
        <f t="shared" si="78"/>
      </c>
      <c r="O54" s="137">
        <f t="shared" si="0"/>
      </c>
      <c r="P54" s="123">
        <f t="shared" si="10"/>
      </c>
      <c r="Q54" s="137">
        <f t="shared" si="38"/>
      </c>
      <c r="R54" s="134">
        <f t="shared" si="39"/>
      </c>
      <c r="S54" s="134">
        <f t="shared" si="141"/>
      </c>
      <c r="T54" s="125">
        <f t="shared" si="151"/>
      </c>
      <c r="U54" s="138">
        <f t="shared" si="179"/>
      </c>
      <c r="V54" s="138">
        <f t="shared" si="180"/>
      </c>
      <c r="W54" s="138">
        <f t="shared" si="202"/>
      </c>
      <c r="X54" s="138">
        <f t="shared" si="181"/>
      </c>
      <c r="Y54" s="139">
        <f t="shared" ref="Y54:Y57" si="124">M54/AD54</f>
      </c>
      <c r="Z54" s="120">
        <f>2674+13</f>
      </c>
      <c r="AA54" s="131">
        <v>133</v>
      </c>
      <c r="AB54" s="131">
        <v>60</v>
      </c>
      <c r="AC54" s="131">
        <v>23</v>
      </c>
      <c r="AD54" s="131">
        <v>2</v>
      </c>
      <c r="AE54" s="128">
        <f t="shared" ref="AE54:AE55" si="88">COUNT(AD54)</f>
      </c>
    </row>
    <row hidden="true" r="55">
      <c r="A55" s="114"/>
      <c r="B55" s="115" t="s">
        <v>89</v>
      </c>
      <c r="C55" s="115" t="s">
        <v>86</v>
      </c>
      <c r="D55" s="116">
        <f>1846.52+6.94</f>
      </c>
      <c r="E55" s="117">
        <v>1</v>
      </c>
      <c r="F55" s="117">
        <v>1</v>
      </c>
      <c r="G55" s="119">
        <f t="shared" si="40"/>
      </c>
      <c r="H55" s="120">
        <v>1</v>
      </c>
      <c r="I55" s="120">
        <v>0</v>
      </c>
      <c r="J55" s="121">
        <v>0</v>
      </c>
      <c r="K55" s="120">
        <v>1</v>
      </c>
      <c r="L55" s="122">
        <v>2722.8</v>
      </c>
      <c r="M55" s="120">
        <f t="shared" si="50"/>
      </c>
      <c r="N55" s="119">
        <f t="shared" si="78"/>
      </c>
      <c r="O55" s="119">
        <f t="shared" si="0"/>
      </c>
      <c r="P55" s="123">
        <f t="shared" si="10"/>
      </c>
      <c r="Q55" s="119">
        <f t="shared" si="38"/>
      </c>
      <c r="R55" s="134">
        <f t="shared" si="39"/>
      </c>
      <c r="S55" s="134">
        <f t="shared" si="141"/>
      </c>
      <c r="T55" s="125">
        <f t="shared" si="151"/>
      </c>
      <c r="U55" s="126">
        <f t="shared" si="179"/>
      </c>
      <c r="V55" s="127">
        <f t="shared" si="180"/>
      </c>
      <c r="W55" s="138">
        <f t="shared" si="202"/>
      </c>
      <c r="X55" s="126">
        <f t="shared" si="181"/>
      </c>
      <c r="Y55" s="140">
        <f t="shared" si="124"/>
      </c>
      <c r="Z55" s="120">
        <f>4138+11</f>
      </c>
      <c r="AA55" s="120">
        <f>188+4</f>
      </c>
      <c r="AB55" s="120">
        <v>20</v>
      </c>
      <c r="AC55" s="120">
        <v>34</v>
      </c>
      <c r="AD55" s="120">
        <v>1</v>
      </c>
      <c r="AE55" s="128">
        <f t="shared" si="88"/>
      </c>
    </row>
    <row hidden="true" r="56">
      <c r="A56" s="114"/>
      <c r="B56" s="141" t="s">
        <v>90</v>
      </c>
      <c r="C56" s="141"/>
      <c r="D56" s="142">
        <f>SUM(D52:D55)</f>
      </c>
      <c r="E56" s="143">
        <f>SUM(E52:E55)</f>
      </c>
      <c r="F56" s="143">
        <f>SUM(F52:F55)</f>
      </c>
      <c r="G56" s="143">
        <f t="shared" si="40"/>
      </c>
      <c r="H56" s="143">
        <f>SUM(H52:H55)</f>
      </c>
      <c r="I56" s="143">
        <f>SUM(I52:I55)</f>
      </c>
      <c r="J56" s="144">
        <f>SUM(J52:J55)</f>
      </c>
      <c r="K56" s="145">
        <f>SUM(K52:K55)</f>
      </c>
      <c r="L56" s="145">
        <f>SUM(L52:L55)</f>
      </c>
      <c r="M56" s="143">
        <f>SUM(M52:M55)</f>
      </c>
      <c r="N56" s="143">
        <f t="shared" si="78"/>
      </c>
      <c r="O56" s="143">
        <f t="shared" si="0"/>
      </c>
      <c r="P56" s="166">
        <f>P55+P54+P53+P52</f>
      </c>
      <c r="Q56" s="143">
        <f t="shared" si="38"/>
      </c>
      <c r="R56" s="146">
        <f t="shared" si="39"/>
      </c>
      <c r="S56" s="146">
        <f t="shared" si="141"/>
      </c>
      <c r="T56" s="147">
        <f>(T55+T53+T54+T52)/4</f>
      </c>
      <c r="U56" s="148">
        <f t="shared" si="179"/>
      </c>
      <c r="V56" s="148">
        <f t="shared" si="180"/>
      </c>
      <c r="W56" s="148">
        <f t="shared" si="202"/>
      </c>
      <c r="X56" s="148">
        <f t="shared" si="181"/>
      </c>
      <c r="Y56" s="148">
        <f t="shared" si="124"/>
      </c>
      <c r="Z56" s="143">
        <f>SUM(Z52:Z55)</f>
      </c>
      <c r="AA56" s="143">
        <f>SUM(AA52:AA55)</f>
      </c>
      <c r="AB56" s="143">
        <f>SUM(AB52:AB55)</f>
      </c>
      <c r="AC56" s="143">
        <f>SUM(AC52:AC55)</f>
      </c>
      <c r="AD56" s="143">
        <f>SUM(AD52:AD55)</f>
      </c>
      <c r="AE56" s="143">
        <f>SUM(AE52:AE55)</f>
      </c>
    </row>
    <row hidden="true" r="57">
      <c r="A57" s="114"/>
      <c r="B57" s="115" t="s">
        <v>91</v>
      </c>
      <c r="C57" s="115" t="s">
        <v>97</v>
      </c>
      <c r="D57" s="116">
        <f>1382.87+3.74</f>
      </c>
      <c r="E57" s="117">
        <v>1</v>
      </c>
      <c r="F57" s="117">
        <v>0</v>
      </c>
      <c r="G57" s="119">
        <f t="shared" si="40"/>
      </c>
      <c r="H57" s="120">
        <v>1</v>
      </c>
      <c r="I57" s="120">
        <v>0</v>
      </c>
      <c r="J57" s="121">
        <v>0</v>
      </c>
      <c r="K57" s="120">
        <v>0</v>
      </c>
      <c r="L57" s="122">
        <v>0</v>
      </c>
      <c r="M57" s="120">
        <f t="shared" ref="M57:M60" si="51">K57+I57</f>
      </c>
      <c r="N57" s="119">
        <f t="shared" si="78"/>
      </c>
      <c r="O57" s="119">
        <f t="shared" si="0"/>
      </c>
      <c r="P57" s="123">
        <f t="shared" ref="P57:P60" si="11">J57+L57</f>
      </c>
      <c r="Q57" s="119">
        <f t="shared" si="38"/>
      </c>
      <c r="R57" s="124">
        <f t="shared" si="39"/>
      </c>
      <c r="S57" s="124">
        <f t="shared" si="141"/>
      </c>
      <c r="T57" s="125">
        <f t="shared" ref="T57:T60" si="152">AA57/60</f>
      </c>
      <c r="U57" s="126">
        <f t="shared" si="179"/>
      </c>
      <c r="V57" s="127">
        <f t="shared" si="180"/>
      </c>
      <c r="W57" s="126">
        <f t="shared" si="202"/>
      </c>
      <c r="X57" s="126">
        <f t="shared" si="181"/>
      </c>
      <c r="Y57" s="126">
        <f t="shared" si="124"/>
      </c>
      <c r="Z57" s="120">
        <f>4682+12</f>
      </c>
      <c r="AA57" s="120">
        <v>228</v>
      </c>
      <c r="AB57" s="120">
        <v>30</v>
      </c>
      <c r="AC57" s="149">
        <v>29</v>
      </c>
      <c r="AD57" s="120">
        <v>1</v>
      </c>
      <c r="AE57" s="128">
        <f>COUNT(AD57)</f>
      </c>
    </row>
    <row hidden="true" r="58">
      <c r="A58" s="114"/>
      <c r="B58" s="115" t="s">
        <v>93</v>
      </c>
      <c r="C58" s="115" t="s">
        <v>97</v>
      </c>
      <c r="D58" s="116">
        <f>1546.76+7.3</f>
      </c>
      <c r="E58" s="117">
        <v>1</v>
      </c>
      <c r="F58" s="117">
        <v>1</v>
      </c>
      <c r="G58" s="119">
        <f t="shared" si="40"/>
      </c>
      <c r="H58" s="120">
        <v>1</v>
      </c>
      <c r="I58" s="120">
        <v>1</v>
      </c>
      <c r="J58" s="121">
        <v>720</v>
      </c>
      <c r="K58" s="120">
        <v>0</v>
      </c>
      <c r="L58" s="122">
        <v>0</v>
      </c>
      <c r="M58" s="120">
        <f t="shared" si="51"/>
      </c>
      <c r="N58" s="119">
        <f t="shared" si="78"/>
      </c>
      <c r="O58" s="119">
        <f t="shared" si="0"/>
      </c>
      <c r="P58" s="123">
        <f t="shared" si="11"/>
      </c>
      <c r="Q58" s="119">
        <f t="shared" si="38"/>
      </c>
      <c r="R58" s="124">
        <f t="shared" si="39"/>
      </c>
      <c r="S58" s="124">
        <f t="shared" si="141"/>
      </c>
      <c r="T58" s="125">
        <f t="shared" si="152"/>
      </c>
      <c r="U58" s="126">
        <f t="shared" si="179"/>
      </c>
      <c r="V58" s="127">
        <f t="shared" si="180"/>
      </c>
      <c r="W58" s="126">
        <f t="shared" si="202"/>
      </c>
      <c r="X58" s="126">
        <f t="shared" si="181"/>
      </c>
      <c r="Y58" s="126">
        <f>AE58/AD58</f>
      </c>
      <c r="Z58" s="120">
        <f>6246+21</f>
      </c>
      <c r="AA58" s="120">
        <f>343</f>
      </c>
      <c r="AB58" s="120">
        <v>54</v>
      </c>
      <c r="AC58" s="149">
        <v>41</v>
      </c>
      <c r="AD58" s="120">
        <v>1</v>
      </c>
      <c r="AE58" s="135">
        <v>1</v>
      </c>
    </row>
    <row hidden="true" r="59">
      <c r="A59" s="114"/>
      <c r="B59" s="115" t="s">
        <v>94</v>
      </c>
      <c r="C59" s="115" t="s">
        <v>97</v>
      </c>
      <c r="D59" s="116">
        <f>+1972.76+3.08</f>
      </c>
      <c r="E59" s="117">
        <v>0</v>
      </c>
      <c r="F59" s="117">
        <v>0</v>
      </c>
      <c r="G59" s="119">
        <f t="shared" si="40"/>
      </c>
      <c r="H59" s="120">
        <v>0</v>
      </c>
      <c r="I59" s="120">
        <v>0</v>
      </c>
      <c r="J59" s="121">
        <v>0</v>
      </c>
      <c r="K59" s="120">
        <v>0</v>
      </c>
      <c r="L59" s="122">
        <v>0</v>
      </c>
      <c r="M59" s="120">
        <f t="shared" si="51"/>
      </c>
      <c r="N59" s="119">
        <f t="shared" si="78"/>
      </c>
      <c r="O59" s="119">
        <f t="shared" si="0"/>
      </c>
      <c r="P59" s="123">
        <f t="shared" si="11"/>
      </c>
      <c r="Q59" s="119">
        <f t="shared" si="38"/>
      </c>
      <c r="R59" s="124">
        <f t="shared" si="39"/>
      </c>
      <c r="S59" s="124">
        <f t="shared" si="141"/>
      </c>
      <c r="T59" s="125">
        <f t="shared" si="152"/>
      </c>
      <c r="U59" s="126">
        <f t="shared" si="179"/>
      </c>
      <c r="V59" s="127">
        <f t="shared" si="180"/>
      </c>
      <c r="W59" s="126">
        <f t="shared" si="202"/>
      </c>
      <c r="X59" s="126">
        <f t="shared" si="181"/>
      </c>
      <c r="Y59" s="126">
        <f t="shared" ref="Y59:Y62" si="125">M59/AD59</f>
      </c>
      <c r="Z59" s="120">
        <f>6104+5</f>
      </c>
      <c r="AA59" s="120">
        <v>341</v>
      </c>
      <c r="AB59" s="120">
        <v>25</v>
      </c>
      <c r="AC59" s="149">
        <v>40</v>
      </c>
      <c r="AD59" s="120">
        <v>0</v>
      </c>
      <c r="AE59" s="128">
        <f t="shared" ref="AE59:AE60" si="89">COUNT(AD59)</f>
      </c>
    </row>
    <row hidden="true" r="60">
      <c r="A60" s="114"/>
      <c r="B60" s="150" t="s">
        <v>95</v>
      </c>
      <c r="C60" s="115" t="s">
        <v>97</v>
      </c>
      <c r="D60" s="116">
        <f>605.85+0.79</f>
      </c>
      <c r="E60" s="117">
        <v>1</v>
      </c>
      <c r="F60" s="117">
        <v>1</v>
      </c>
      <c r="G60" s="119">
        <f t="shared" si="40"/>
      </c>
      <c r="H60" s="120">
        <v>3</v>
      </c>
      <c r="I60" s="120">
        <v>3</v>
      </c>
      <c r="J60" s="121">
        <v>6265.200000000001</v>
      </c>
      <c r="K60" s="120">
        <v>0</v>
      </c>
      <c r="L60" s="122">
        <v>0</v>
      </c>
      <c r="M60" s="120">
        <f t="shared" si="51"/>
      </c>
      <c r="N60" s="119">
        <f t="shared" si="78"/>
      </c>
      <c r="O60" s="119">
        <f t="shared" si="0"/>
      </c>
      <c r="P60" s="123">
        <f t="shared" si="11"/>
      </c>
      <c r="Q60" s="119">
        <f t="shared" si="38"/>
      </c>
      <c r="R60" s="124">
        <f t="shared" si="39"/>
      </c>
      <c r="S60" s="124">
        <f t="shared" si="141"/>
      </c>
      <c r="T60" s="125">
        <f t="shared" si="152"/>
      </c>
      <c r="U60" s="126">
        <f t="shared" si="179"/>
      </c>
      <c r="V60" s="127">
        <f t="shared" si="180"/>
      </c>
      <c r="W60" s="126">
        <f t="shared" si="202"/>
      </c>
      <c r="X60" s="126">
        <f t="shared" si="181"/>
      </c>
      <c r="Y60" s="126">
        <f t="shared" si="125"/>
      </c>
      <c r="Z60" s="120">
        <v>2089</v>
      </c>
      <c r="AA60" s="120">
        <v>127</v>
      </c>
      <c r="AB60" s="120">
        <v>54</v>
      </c>
      <c r="AC60" s="149">
        <v>18</v>
      </c>
      <c r="AD60" s="120">
        <v>3</v>
      </c>
      <c r="AE60" s="128">
        <f t="shared" si="89"/>
      </c>
    </row>
    <row hidden="true" r="61">
      <c r="A61" s="114"/>
      <c r="B61" s="141" t="s">
        <v>90</v>
      </c>
      <c r="C61" s="141"/>
      <c r="D61" s="142">
        <f>SUM(D57:D60)</f>
      </c>
      <c r="E61" s="143">
        <f>SUM(E57:E60)</f>
      </c>
      <c r="F61" s="143">
        <f>SUM(F57:F60)</f>
      </c>
      <c r="G61" s="151">
        <f t="shared" si="40"/>
      </c>
      <c r="H61" s="143">
        <f>SUM(H57:H60)</f>
      </c>
      <c r="I61" s="143">
        <f>SUM(I57:I60)</f>
      </c>
      <c r="J61" s="144">
        <f>SUM(J57:J60)</f>
      </c>
      <c r="K61" s="143">
        <f>SUM(K57:K60)</f>
      </c>
      <c r="L61" s="142">
        <f>SUM(L57:L60)</f>
      </c>
      <c r="M61" s="143">
        <f>SUM(M57:M60)</f>
      </c>
      <c r="N61" s="143">
        <f t="shared" si="78"/>
      </c>
      <c r="O61" s="143">
        <f t="shared" si="0"/>
      </c>
      <c r="P61" s="143">
        <f>SUM(P57:P60)</f>
      </c>
      <c r="Q61" s="143">
        <f t="shared" si="38"/>
      </c>
      <c r="R61" s="146">
        <f t="shared" si="39"/>
      </c>
      <c r="S61" s="146">
        <f t="shared" si="141"/>
      </c>
      <c r="T61" s="147">
        <f>(T60+T58+T59+T57)/4</f>
      </c>
      <c r="U61" s="152">
        <f t="shared" si="179"/>
      </c>
      <c r="V61" s="153">
        <f t="shared" si="180"/>
      </c>
      <c r="W61" s="152">
        <f t="shared" si="202"/>
      </c>
      <c r="X61" s="152">
        <f t="shared" si="181"/>
      </c>
      <c r="Y61" s="152">
        <f t="shared" si="125"/>
      </c>
      <c r="Z61" s="143">
        <f>SUM(Z57:Z60)</f>
      </c>
      <c r="AA61" s="143">
        <f>SUM(AA57:AA60)</f>
      </c>
      <c r="AB61" s="143">
        <f>SUM(AB57:AB60)</f>
      </c>
      <c r="AC61" s="143">
        <f>SUM(AC57:AC60)</f>
      </c>
      <c r="AD61" s="143">
        <f>SUM(AD57:AD60)</f>
      </c>
      <c r="AE61" s="143">
        <f>SUM(AE57:AE60)</f>
      </c>
    </row>
    <row hidden="true" r="62">
      <c r="A62" s="114"/>
      <c r="B62" s="154" t="s">
        <v>96</v>
      </c>
      <c r="C62" s="154"/>
      <c r="D62" s="155">
        <f>D61+D56</f>
      </c>
      <c r="E62" s="156">
        <f>E61+E56</f>
      </c>
      <c r="F62" s="156">
        <f>F61+F56</f>
      </c>
      <c r="G62" s="157">
        <f t="shared" si="40"/>
      </c>
      <c r="H62" s="158">
        <f>H61+H56</f>
      </c>
      <c r="I62" s="156">
        <f>I61+I56</f>
      </c>
      <c r="J62" s="159">
        <f>J61+J56</f>
      </c>
      <c r="K62" s="156">
        <f>K61+K56</f>
      </c>
      <c r="L62" s="155">
        <f>L61+L56</f>
      </c>
      <c r="M62" s="156">
        <f>M61+M56</f>
      </c>
      <c r="N62" s="157">
        <f t="shared" si="78"/>
      </c>
      <c r="O62" s="164">
        <f t="shared" si="0"/>
      </c>
      <c r="P62" s="167">
        <v>11815.8</v>
      </c>
      <c r="Q62" s="157">
        <f t="shared" si="38"/>
      </c>
      <c r="R62" s="160">
        <f t="shared" si="39"/>
      </c>
      <c r="S62" s="160">
        <f t="shared" si="141"/>
      </c>
      <c r="T62" s="161">
        <f>(T61+T56)/2</f>
      </c>
      <c r="U62" s="162">
        <f t="shared" si="179"/>
      </c>
      <c r="V62" s="163">
        <f t="shared" si="180"/>
      </c>
      <c r="W62" s="162">
        <f t="shared" si="202"/>
      </c>
      <c r="X62" s="162">
        <f t="shared" si="181"/>
      </c>
      <c r="Y62" s="162">
        <f t="shared" si="125"/>
      </c>
      <c r="Z62" s="156">
        <f>Z61+Z56</f>
      </c>
      <c r="AA62" s="156">
        <f>AA61+AA56</f>
      </c>
      <c r="AB62" s="156">
        <f>AB61+AB56</f>
      </c>
      <c r="AC62" s="156">
        <f>AC61+AC56</f>
      </c>
      <c r="AD62" s="156">
        <f>AD61+AD56</f>
      </c>
      <c r="AE62" s="156">
        <f>AE61+AE56</f>
      </c>
    </row>
    <row hidden="true" r="63">
      <c r="A63" s="114">
        <v>46241</v>
      </c>
      <c r="B63" s="115" t="s">
        <v>85</v>
      </c>
      <c r="C63" s="115" t="s">
        <v>92</v>
      </c>
      <c r="D63" s="116">
        <v>3354.23</v>
      </c>
      <c r="E63" s="117">
        <v>4</v>
      </c>
      <c r="F63" s="117">
        <v>2</v>
      </c>
      <c r="G63" s="119">
        <f t="shared" si="40"/>
      </c>
      <c r="H63" s="131">
        <v>4</v>
      </c>
      <c r="I63" s="131">
        <v>1</v>
      </c>
      <c r="J63" s="132">
        <v>1101.6</v>
      </c>
      <c r="K63" s="131">
        <v>1</v>
      </c>
      <c r="L63" s="132">
        <v>2722.8</v>
      </c>
      <c r="M63" s="120">
        <f t="shared" ref="M63:M66" si="52">K63+I63</f>
      </c>
      <c r="N63" s="119">
        <f t="shared" si="78"/>
      </c>
      <c r="O63" s="119">
        <f t="shared" si="0"/>
      </c>
      <c r="P63" s="123">
        <f t="shared" ref="P63:P66" si="12">J63+L63</f>
      </c>
      <c r="Q63" s="119">
        <f t="shared" si="38"/>
      </c>
      <c r="R63" s="124">
        <f t="shared" si="39"/>
      </c>
      <c r="S63" s="124">
        <f t="shared" si="141"/>
      </c>
      <c r="T63" s="125">
        <f t="shared" ref="T63:T66" si="153">AA63/60</f>
      </c>
      <c r="U63" s="126">
        <f t="shared" si="179"/>
      </c>
      <c r="V63" s="127">
        <f t="shared" si="180"/>
      </c>
      <c r="W63" s="126">
        <f t="shared" si="202"/>
      </c>
      <c r="X63" s="126">
        <f t="shared" si="181"/>
      </c>
      <c r="Y63" s="126">
        <f t="shared" ref="Y63:Y64" si="188">AE63/AD63</f>
      </c>
      <c r="Z63" s="120">
        <v>9498</v>
      </c>
      <c r="AA63" s="120">
        <v>434</v>
      </c>
      <c r="AB63" s="120">
        <v>68</v>
      </c>
      <c r="AC63" s="120">
        <v>63</v>
      </c>
      <c r="AD63" s="120">
        <v>4</v>
      </c>
      <c r="AE63" s="128">
        <f>COUNT(AD63)</f>
      </c>
    </row>
    <row hidden="true" r="64">
      <c r="A64" s="114"/>
      <c r="B64" s="115" t="s">
        <v>87</v>
      </c>
      <c r="C64" s="115" t="s">
        <v>92</v>
      </c>
      <c r="D64" s="129">
        <v>3105.1499999999996</v>
      </c>
      <c r="E64" s="130">
        <v>6</v>
      </c>
      <c r="F64" s="130">
        <v>1</v>
      </c>
      <c r="G64" s="119">
        <f t="shared" si="40"/>
      </c>
      <c r="H64" s="131">
        <v>7</v>
      </c>
      <c r="I64" s="131">
        <v>2</v>
      </c>
      <c r="J64" s="132">
        <v>1290.0000000000005</v>
      </c>
      <c r="K64" s="131">
        <v>0</v>
      </c>
      <c r="L64" s="132">
        <v>0</v>
      </c>
      <c r="M64" s="120">
        <f t="shared" si="52"/>
      </c>
      <c r="N64" s="119">
        <f t="shared" si="78"/>
      </c>
      <c r="O64" s="119">
        <f t="shared" si="0"/>
      </c>
      <c r="P64" s="123">
        <f t="shared" si="12"/>
      </c>
      <c r="Q64" s="119">
        <f t="shared" si="38"/>
      </c>
      <c r="R64" s="124">
        <f t="shared" si="39"/>
      </c>
      <c r="S64" s="134">
        <f t="shared" si="141"/>
      </c>
      <c r="T64" s="125">
        <f t="shared" si="153"/>
      </c>
      <c r="U64" s="126">
        <f t="shared" si="179"/>
      </c>
      <c r="V64" s="127">
        <f t="shared" si="180"/>
      </c>
      <c r="W64" s="126">
        <f t="shared" si="202"/>
      </c>
      <c r="X64" s="126">
        <f t="shared" si="181"/>
      </c>
      <c r="Y64" s="126">
        <f t="shared" si="188"/>
      </c>
      <c r="Z64" s="120">
        <v>7584</v>
      </c>
      <c r="AA64" s="131">
        <v>280</v>
      </c>
      <c r="AB64" s="131">
        <v>55</v>
      </c>
      <c r="AC64" s="131">
        <v>63</v>
      </c>
      <c r="AD64" s="131">
        <v>7</v>
      </c>
      <c r="AE64" s="135">
        <v>1</v>
      </c>
    </row>
    <row hidden="true" r="65">
      <c r="A65" s="114"/>
      <c r="B65" s="115" t="s">
        <v>88</v>
      </c>
      <c r="C65" s="115" t="s">
        <v>92</v>
      </c>
      <c r="D65" s="129">
        <v>1847.8799999999999</v>
      </c>
      <c r="E65" s="130">
        <v>4</v>
      </c>
      <c r="F65" s="130">
        <v>2</v>
      </c>
      <c r="G65" s="119">
        <f t="shared" si="40"/>
      </c>
      <c r="H65" s="131">
        <v>4</v>
      </c>
      <c r="I65" s="131">
        <v>1</v>
      </c>
      <c r="J65" s="132">
        <v>1101.6</v>
      </c>
      <c r="K65" s="131">
        <v>1</v>
      </c>
      <c r="L65" s="132">
        <v>2722.8</v>
      </c>
      <c r="M65" s="120">
        <f t="shared" si="52"/>
      </c>
      <c r="N65" s="119">
        <f t="shared" si="78"/>
      </c>
      <c r="O65" s="137">
        <f t="shared" si="0"/>
      </c>
      <c r="P65" s="123">
        <f t="shared" si="12"/>
      </c>
      <c r="Q65" s="137">
        <f t="shared" si="38"/>
      </c>
      <c r="R65" s="134">
        <f t="shared" si="39"/>
      </c>
      <c r="S65" s="134">
        <f t="shared" si="141"/>
      </c>
      <c r="T65" s="125">
        <f t="shared" si="153"/>
      </c>
      <c r="U65" s="138">
        <f t="shared" si="179"/>
      </c>
      <c r="V65" s="138">
        <f t="shared" si="180"/>
      </c>
      <c r="W65" s="138">
        <f t="shared" si="202"/>
      </c>
      <c r="X65" s="138">
        <f t="shared" si="181"/>
      </c>
      <c r="Y65" s="139">
        <f t="shared" ref="Y65:Y68" si="126">M65/AD65</f>
      </c>
      <c r="Z65" s="120">
        <v>5223</v>
      </c>
      <c r="AA65" s="131">
        <v>213</v>
      </c>
      <c r="AB65" s="131">
        <v>92</v>
      </c>
      <c r="AC65" s="131">
        <v>25</v>
      </c>
      <c r="AD65" s="131">
        <v>4</v>
      </c>
      <c r="AE65" s="128">
        <f t="shared" ref="AE65:AE66" si="90">COUNT(AD65)</f>
      </c>
    </row>
    <row hidden="true" r="66">
      <c r="A66" s="114"/>
      <c r="B66" s="115" t="s">
        <v>89</v>
      </c>
      <c r="C66" s="115" t="s">
        <v>92</v>
      </c>
      <c r="D66" s="116">
        <f>20.25+2342.63+5.99</f>
      </c>
      <c r="E66" s="117">
        <v>7</v>
      </c>
      <c r="F66" s="117">
        <v>4</v>
      </c>
      <c r="G66" s="119">
        <f t="shared" si="40"/>
      </c>
      <c r="H66" s="120">
        <v>8</v>
      </c>
      <c r="I66" s="120">
        <v>3</v>
      </c>
      <c r="J66" s="121">
        <v>3750.0000000000005</v>
      </c>
      <c r="K66" s="120">
        <v>2</v>
      </c>
      <c r="L66" s="121">
        <v>4817.6</v>
      </c>
      <c r="M66" s="120">
        <f t="shared" si="52"/>
      </c>
      <c r="N66" s="119">
        <f t="shared" si="78"/>
      </c>
      <c r="O66" s="119">
        <f t="shared" si="0"/>
      </c>
      <c r="P66" s="123">
        <f t="shared" si="12"/>
      </c>
      <c r="Q66" s="119">
        <f t="shared" si="38"/>
      </c>
      <c r="R66" s="134">
        <f t="shared" si="39"/>
      </c>
      <c r="S66" s="134">
        <f t="shared" si="141"/>
      </c>
      <c r="T66" s="125">
        <f t="shared" si="153"/>
      </c>
      <c r="U66" s="126">
        <f t="shared" si="179"/>
      </c>
      <c r="V66" s="127">
        <f t="shared" si="180"/>
      </c>
      <c r="W66" s="138">
        <f t="shared" si="202"/>
      </c>
      <c r="X66" s="126">
        <f t="shared" si="181"/>
      </c>
      <c r="Y66" s="140">
        <f t="shared" si="126"/>
      </c>
      <c r="Z66" s="120">
        <v>5600</v>
      </c>
      <c r="AA66" s="120">
        <v>212</v>
      </c>
      <c r="AB66" s="120">
        <v>49</v>
      </c>
      <c r="AC66" s="120">
        <v>46</v>
      </c>
      <c r="AD66" s="120">
        <v>8</v>
      </c>
      <c r="AE66" s="128">
        <f t="shared" si="90"/>
      </c>
    </row>
    <row hidden="true" r="67">
      <c r="A67" s="114"/>
      <c r="B67" s="141" t="s">
        <v>90</v>
      </c>
      <c r="C67" s="141"/>
      <c r="D67" s="142">
        <f>SUM(D63:D66)</f>
      </c>
      <c r="E67" s="143">
        <f>SUM(E63:E66)</f>
      </c>
      <c r="F67" s="143">
        <f>SUM(F63:F66)</f>
      </c>
      <c r="G67" s="143">
        <f t="shared" si="40"/>
      </c>
      <c r="H67" s="143">
        <f>SUM(H63:H66)</f>
      </c>
      <c r="I67" s="143">
        <f>SUM(I63:I66)</f>
      </c>
      <c r="J67" s="144">
        <f>SUM(J63:J66)</f>
      </c>
      <c r="K67" s="143">
        <f>SUM(K63:K66)</f>
      </c>
      <c r="L67" s="144">
        <f>SUM(L63:L66)</f>
      </c>
      <c r="M67" s="143">
        <f>SUM(M63:M66)</f>
      </c>
      <c r="N67" s="143">
        <f t="shared" si="78"/>
      </c>
      <c r="O67" s="143">
        <f t="shared" si="0"/>
      </c>
      <c r="P67" s="145">
        <f>SUM(P63:P66)</f>
      </c>
      <c r="Q67" s="143">
        <f t="shared" si="38"/>
      </c>
      <c r="R67" s="146">
        <f t="shared" si="39"/>
      </c>
      <c r="S67" s="146">
        <f t="shared" si="141"/>
      </c>
      <c r="T67" s="147">
        <f>(T66+T64+T65+T63)/4</f>
      </c>
      <c r="U67" s="148">
        <f t="shared" si="179"/>
      </c>
      <c r="V67" s="148">
        <f t="shared" si="180"/>
      </c>
      <c r="W67" s="148">
        <f t="shared" si="202"/>
      </c>
      <c r="X67" s="148">
        <f t="shared" si="181"/>
      </c>
      <c r="Y67" s="148">
        <f t="shared" si="126"/>
      </c>
      <c r="Z67" s="143">
        <f>SUM(Z63:Z66)</f>
      </c>
      <c r="AA67" s="143">
        <f>SUM(AA63:AA66)</f>
      </c>
      <c r="AB67" s="143">
        <f>SUM(AB63:AB66)</f>
      </c>
      <c r="AC67" s="143">
        <f>SUM(AC63:AC66)</f>
      </c>
      <c r="AD67" s="143">
        <f>SUM(AD63:AD66)</f>
      </c>
      <c r="AE67" s="143">
        <f>SUM(AE63:AE66)</f>
      </c>
    </row>
    <row hidden="true" r="68">
      <c r="A68" s="114"/>
      <c r="B68" s="154" t="s">
        <v>96</v>
      </c>
      <c r="C68" s="154"/>
      <c r="D68" s="155">
        <f>D67</f>
      </c>
      <c r="E68" s="156">
        <f>E67</f>
      </c>
      <c r="F68" s="156">
        <f>F67</f>
      </c>
      <c r="G68" s="157">
        <f t="shared" si="40"/>
      </c>
      <c r="H68" s="156">
        <f>H67</f>
      </c>
      <c r="I68" s="156">
        <f>I67</f>
      </c>
      <c r="J68" s="159">
        <f>J67</f>
      </c>
      <c r="K68" s="156">
        <f>K67</f>
      </c>
      <c r="L68" s="159">
        <f>L67</f>
      </c>
      <c r="M68" s="156">
        <f>M67</f>
      </c>
      <c r="N68" s="157">
        <f t="shared" si="78"/>
      </c>
      <c r="O68" s="164">
        <f t="shared" si="0"/>
      </c>
      <c r="P68" s="155">
        <f>P67</f>
      </c>
      <c r="Q68" s="157">
        <f t="shared" si="38"/>
      </c>
      <c r="R68" s="160">
        <f t="shared" si="39"/>
      </c>
      <c r="S68" s="160">
        <f t="shared" si="141"/>
      </c>
      <c r="T68" s="161">
        <f>T67</f>
      </c>
      <c r="U68" s="162">
        <f t="shared" si="179"/>
      </c>
      <c r="V68" s="163">
        <f t="shared" si="180"/>
      </c>
      <c r="W68" s="162">
        <f t="shared" si="202"/>
      </c>
      <c r="X68" s="162">
        <f t="shared" si="181"/>
      </c>
      <c r="Y68" s="162">
        <f t="shared" si="126"/>
      </c>
      <c r="Z68" s="155">
        <f>Z67</f>
      </c>
      <c r="AA68" s="155">
        <f>AA67</f>
      </c>
      <c r="AB68" s="155">
        <f>AB67</f>
      </c>
      <c r="AC68" s="155">
        <f>AC67</f>
      </c>
      <c r="AD68" s="155">
        <f>AD67</f>
      </c>
      <c r="AE68" s="155">
        <f>AE67</f>
      </c>
    </row>
    <row hidden="true" r="69">
      <c r="A69" s="114">
        <v>46242</v>
      </c>
      <c r="B69" s="115" t="s">
        <v>85</v>
      </c>
      <c r="C69" s="115" t="s">
        <v>97</v>
      </c>
      <c r="D69" s="116">
        <v>3349.08</v>
      </c>
      <c r="E69" s="117">
        <v>4</v>
      </c>
      <c r="F69" s="117">
        <v>2</v>
      </c>
      <c r="G69" s="119">
        <f t="shared" si="40"/>
      </c>
      <c r="H69" s="131">
        <v>4</v>
      </c>
      <c r="I69" s="131">
        <v>0</v>
      </c>
      <c r="J69" s="132">
        <v>0</v>
      </c>
      <c r="K69" s="131">
        <v>2</v>
      </c>
      <c r="L69" s="132">
        <v>5445.6</v>
      </c>
      <c r="M69" s="120">
        <f t="shared" ref="M69:M72" si="53">K69+I69</f>
      </c>
      <c r="N69" s="119">
        <f t="shared" si="78"/>
      </c>
      <c r="O69" s="119">
        <f t="shared" si="0"/>
      </c>
      <c r="P69" s="123">
        <f t="shared" ref="P69:P72" si="13">J69+L69</f>
      </c>
      <c r="Q69" s="119">
        <f t="shared" si="38"/>
      </c>
      <c r="R69" s="124">
        <f t="shared" si="39"/>
      </c>
      <c r="S69" s="124">
        <f t="shared" si="141"/>
      </c>
      <c r="T69" s="125">
        <f t="shared" ref="T69:T72" si="154">AA69/60</f>
      </c>
      <c r="U69" s="126">
        <f t="shared" si="179"/>
      </c>
      <c r="V69" s="127">
        <f t="shared" si="180"/>
      </c>
      <c r="W69" s="126">
        <f t="shared" si="202"/>
      </c>
      <c r="X69" s="126">
        <f t="shared" si="181"/>
      </c>
      <c r="Y69" s="126">
        <f t="shared" ref="Y69:Y70" si="189">AE69/AD69</f>
      </c>
      <c r="Z69" s="120">
        <v>9325</v>
      </c>
      <c r="AA69" s="120">
        <v>492</v>
      </c>
      <c r="AB69" s="120">
        <v>55</v>
      </c>
      <c r="AC69" s="120">
        <v>56</v>
      </c>
      <c r="AD69" s="120">
        <v>4</v>
      </c>
      <c r="AE69" s="136">
        <f t="shared" ref="AE69:AE72" si="91">COUNT(AD69)</f>
      </c>
    </row>
    <row hidden="true" r="70">
      <c r="A70" s="114"/>
      <c r="B70" s="115" t="s">
        <v>87</v>
      </c>
      <c r="C70" s="115" t="s">
        <v>97</v>
      </c>
      <c r="D70" s="129">
        <f>2576.65+52.64</f>
      </c>
      <c r="E70" s="130">
        <v>2</v>
      </c>
      <c r="F70" s="130">
        <v>0</v>
      </c>
      <c r="G70" s="119">
        <f t="shared" si="40"/>
      </c>
      <c r="H70" s="131">
        <v>2</v>
      </c>
      <c r="I70" s="131">
        <v>0</v>
      </c>
      <c r="J70" s="132">
        <v>0</v>
      </c>
      <c r="K70" s="131">
        <v>0</v>
      </c>
      <c r="L70" s="132">
        <v>0</v>
      </c>
      <c r="M70" s="120">
        <f t="shared" si="53"/>
      </c>
      <c r="N70" s="119">
        <f t="shared" si="78"/>
      </c>
      <c r="O70" s="119">
        <f t="shared" si="0"/>
      </c>
      <c r="P70" s="123">
        <f t="shared" si="13"/>
      </c>
      <c r="Q70" s="119">
        <f t="shared" si="38"/>
      </c>
      <c r="R70" s="124">
        <f t="shared" si="39"/>
      </c>
      <c r="S70" s="134">
        <f t="shared" si="141"/>
      </c>
      <c r="T70" s="125">
        <f t="shared" si="154"/>
      </c>
      <c r="U70" s="126">
        <f t="shared" si="179"/>
      </c>
      <c r="V70" s="127">
        <f t="shared" si="180"/>
      </c>
      <c r="W70" s="126">
        <f t="shared" si="202"/>
      </c>
      <c r="X70" s="126">
        <f t="shared" si="181"/>
      </c>
      <c r="Y70" s="126">
        <f t="shared" si="189"/>
      </c>
      <c r="Z70" s="120">
        <v>7279</v>
      </c>
      <c r="AA70" s="131">
        <v>372</v>
      </c>
      <c r="AB70" s="131">
        <v>36</v>
      </c>
      <c r="AC70" s="131">
        <v>52</v>
      </c>
      <c r="AD70" s="131">
        <v>2</v>
      </c>
      <c r="AE70" s="136">
        <f t="shared" si="91"/>
      </c>
    </row>
    <row hidden="true" r="71">
      <c r="A71" s="114"/>
      <c r="B71" s="115" t="s">
        <v>88</v>
      </c>
      <c r="C71" s="115" t="s">
        <v>97</v>
      </c>
      <c r="D71" s="129">
        <f>12.62+2880.21</f>
      </c>
      <c r="E71" s="130">
        <v>5</v>
      </c>
      <c r="F71" s="130">
        <v>4</v>
      </c>
      <c r="G71" s="119">
        <f t="shared" si="40"/>
      </c>
      <c r="H71" s="131">
        <v>5</v>
      </c>
      <c r="I71" s="131">
        <v>2</v>
      </c>
      <c r="J71" s="132">
        <v>1320</v>
      </c>
      <c r="K71" s="131">
        <v>2</v>
      </c>
      <c r="L71" s="132">
        <v>1437.6000000000004</v>
      </c>
      <c r="M71" s="120">
        <f t="shared" si="53"/>
      </c>
      <c r="N71" s="119">
        <f t="shared" si="78"/>
      </c>
      <c r="O71" s="137">
        <f t="shared" si="0"/>
      </c>
      <c r="P71" s="123">
        <f t="shared" si="13"/>
      </c>
      <c r="Q71" s="137">
        <f t="shared" si="38"/>
      </c>
      <c r="R71" s="134">
        <f t="shared" si="39"/>
      </c>
      <c r="S71" s="134">
        <f t="shared" si="141"/>
      </c>
      <c r="T71" s="125">
        <f t="shared" si="154"/>
      </c>
      <c r="U71" s="138">
        <f t="shared" si="179"/>
      </c>
      <c r="V71" s="138">
        <f t="shared" si="180"/>
      </c>
      <c r="W71" s="138">
        <f t="shared" si="202"/>
      </c>
      <c r="X71" s="138">
        <f t="shared" si="181"/>
      </c>
      <c r="Y71" s="139">
        <f t="shared" ref="Y71:Y74" si="127">M71/AD71</f>
      </c>
      <c r="Z71" s="120">
        <v>7890</v>
      </c>
      <c r="AA71" s="131">
        <v>407</v>
      </c>
      <c r="AB71" s="131">
        <v>63</v>
      </c>
      <c r="AC71" s="131">
        <v>57</v>
      </c>
      <c r="AD71" s="131">
        <v>5</v>
      </c>
      <c r="AE71" s="136">
        <f t="shared" si="91"/>
      </c>
    </row>
    <row hidden="true" r="72">
      <c r="A72" s="114"/>
      <c r="B72" s="115" t="s">
        <v>89</v>
      </c>
      <c r="C72" s="115" t="s">
        <v>97</v>
      </c>
      <c r="D72" s="116">
        <f>1763.85+1.67+106.87</f>
      </c>
      <c r="E72" s="117">
        <v>4</v>
      </c>
      <c r="F72" s="117">
        <v>2</v>
      </c>
      <c r="G72" s="119">
        <f t="shared" si="40"/>
      </c>
      <c r="H72" s="120">
        <v>7</v>
      </c>
      <c r="I72" s="120">
        <v>4</v>
      </c>
      <c r="J72" s="121">
        <v>2925.6000000000004</v>
      </c>
      <c r="K72" s="120">
        <v>1</v>
      </c>
      <c r="L72" s="121">
        <v>3002.399999999998</v>
      </c>
      <c r="M72" s="120">
        <f t="shared" si="53"/>
      </c>
      <c r="N72" s="119">
        <f t="shared" si="78"/>
      </c>
      <c r="O72" s="119">
        <f t="shared" si="0"/>
      </c>
      <c r="P72" s="123">
        <f t="shared" si="13"/>
      </c>
      <c r="Q72" s="119">
        <f t="shared" si="38"/>
      </c>
      <c r="R72" s="134">
        <f t="shared" si="39"/>
      </c>
      <c r="S72" s="134">
        <f t="shared" si="141"/>
      </c>
      <c r="T72" s="125">
        <f t="shared" si="154"/>
      </c>
      <c r="U72" s="126">
        <f t="shared" si="179"/>
      </c>
      <c r="V72" s="127">
        <f t="shared" si="180"/>
      </c>
      <c r="W72" s="138">
        <f t="shared" si="202"/>
      </c>
      <c r="X72" s="126">
        <f t="shared" si="181"/>
      </c>
      <c r="Y72" s="140">
        <f t="shared" si="127"/>
      </c>
      <c r="Z72" s="120">
        <v>6180</v>
      </c>
      <c r="AA72" s="120">
        <v>356</v>
      </c>
      <c r="AB72" s="120">
        <v>66</v>
      </c>
      <c r="AC72" s="120">
        <v>34</v>
      </c>
      <c r="AD72" s="120">
        <v>7</v>
      </c>
      <c r="AE72" s="136">
        <f t="shared" si="91"/>
      </c>
    </row>
    <row hidden="true" r="73">
      <c r="A73" s="114"/>
      <c r="B73" s="141" t="s">
        <v>90</v>
      </c>
      <c r="C73" s="141"/>
      <c r="D73" s="142">
        <f>SUM(D69:D72)</f>
      </c>
      <c r="E73" s="143">
        <f>SUM(E69:E72)</f>
      </c>
      <c r="F73" s="143">
        <f>SUM(F69:F72)</f>
      </c>
      <c r="G73" s="143">
        <f t="shared" si="40"/>
      </c>
      <c r="H73" s="143">
        <f>SUM(H69:H72)</f>
      </c>
      <c r="I73" s="143">
        <f>SUM(I69:I72)</f>
      </c>
      <c r="J73" s="144">
        <f>SUM(J69:J72)</f>
      </c>
      <c r="K73" s="143">
        <f>SUM(K69:K72)</f>
      </c>
      <c r="L73" s="144">
        <f>SUM(L69:L72)</f>
      </c>
      <c r="M73" s="143">
        <f>SUM(M69:M72)</f>
      </c>
      <c r="N73" s="143">
        <f t="shared" si="78"/>
      </c>
      <c r="O73" s="143">
        <f t="shared" si="0"/>
      </c>
      <c r="P73" s="145">
        <f>SUM(P69:P72)</f>
      </c>
      <c r="Q73" s="143">
        <f t="shared" si="38"/>
      </c>
      <c r="R73" s="146">
        <f t="shared" si="39"/>
      </c>
      <c r="S73" s="146">
        <f t="shared" si="141"/>
      </c>
      <c r="T73" s="147">
        <f>(T72+T70+T71+T69)/4</f>
      </c>
      <c r="U73" s="148">
        <f t="shared" si="179"/>
      </c>
      <c r="V73" s="148">
        <f t="shared" si="180"/>
      </c>
      <c r="W73" s="148">
        <f t="shared" si="202"/>
      </c>
      <c r="X73" s="148">
        <f t="shared" si="181"/>
      </c>
      <c r="Y73" s="148">
        <f t="shared" si="127"/>
      </c>
      <c r="Z73" s="143">
        <f>SUM(Z69:Z72)</f>
      </c>
      <c r="AA73" s="143">
        <f>SUM(AA69:AA72)</f>
      </c>
      <c r="AB73" s="143">
        <f>SUM(AB69:AB72)</f>
      </c>
      <c r="AC73" s="143">
        <f>SUM(AC69:AC72)</f>
      </c>
      <c r="AD73" s="143">
        <f>SUM(AD69:AD72)</f>
      </c>
      <c r="AE73" s="143">
        <f>SUM(AE69:AE72)</f>
      </c>
    </row>
    <row hidden="true" r="74">
      <c r="A74" s="114"/>
      <c r="B74" s="154" t="s">
        <v>96</v>
      </c>
      <c r="C74" s="154"/>
      <c r="D74" s="155">
        <f>D73</f>
      </c>
      <c r="E74" s="156">
        <f>E73</f>
      </c>
      <c r="F74" s="156">
        <f>F73</f>
      </c>
      <c r="G74" s="157">
        <f t="shared" si="40"/>
      </c>
      <c r="H74" s="156">
        <f>H73</f>
      </c>
      <c r="I74" s="156">
        <f>I73</f>
      </c>
      <c r="J74" s="159">
        <f>J73</f>
      </c>
      <c r="K74" s="156">
        <f>K73</f>
      </c>
      <c r="L74" s="159">
        <f>L73</f>
      </c>
      <c r="M74" s="156">
        <f>M73</f>
      </c>
      <c r="N74" s="157">
        <f t="shared" si="78"/>
      </c>
      <c r="O74" s="164">
        <f t="shared" si="0"/>
      </c>
      <c r="P74" s="155">
        <f>P73</f>
      </c>
      <c r="Q74" s="157">
        <f t="shared" si="38"/>
      </c>
      <c r="R74" s="160">
        <f t="shared" si="39"/>
      </c>
      <c r="S74" s="160">
        <f t="shared" si="141"/>
      </c>
      <c r="T74" s="161">
        <f>T73</f>
      </c>
      <c r="U74" s="162">
        <f t="shared" si="179"/>
      </c>
      <c r="V74" s="163">
        <f t="shared" si="180"/>
      </c>
      <c r="W74" s="162">
        <f t="shared" si="202"/>
      </c>
      <c r="X74" s="162">
        <f t="shared" si="181"/>
      </c>
      <c r="Y74" s="162">
        <f t="shared" si="127"/>
      </c>
      <c r="Z74" s="155">
        <f>Z73</f>
      </c>
      <c r="AA74" s="155">
        <f>AA73</f>
      </c>
      <c r="AB74" s="155">
        <f>AB73</f>
      </c>
      <c r="AC74" s="155">
        <f>AC73</f>
      </c>
      <c r="AD74" s="155">
        <f>AD73</f>
      </c>
      <c r="AE74" s="155">
        <f>AE73</f>
      </c>
    </row>
    <row hidden="true" r="75">
      <c r="A75" s="114">
        <v>46243</v>
      </c>
      <c r="B75" s="115" t="s">
        <v>85</v>
      </c>
      <c r="C75" s="115" t="s">
        <v>86</v>
      </c>
      <c r="D75" s="116">
        <f>4215.7+73.9</f>
      </c>
      <c r="E75" s="117">
        <v>8</v>
      </c>
      <c r="F75" s="117">
        <v>5</v>
      </c>
      <c r="G75" s="119">
        <f t="shared" si="40"/>
      </c>
      <c r="H75" s="131">
        <v>10</v>
      </c>
      <c r="I75" s="131">
        <v>5</v>
      </c>
      <c r="J75" s="132">
        <v>4981.200000000001</v>
      </c>
      <c r="K75" s="131">
        <v>2</v>
      </c>
      <c r="L75" s="132">
        <v>5251.2</v>
      </c>
      <c r="M75" s="120">
        <f t="shared" ref="M75:M78" si="54">K75+I75</f>
      </c>
      <c r="N75" s="119">
        <f t="shared" si="78"/>
      </c>
      <c r="O75" s="119">
        <f t="shared" si="0"/>
      </c>
      <c r="P75" s="123">
        <f t="shared" ref="P75:P78" si="14">J75+L75</f>
      </c>
      <c r="Q75" s="119">
        <f t="shared" si="38"/>
      </c>
      <c r="R75" s="124">
        <f t="shared" si="39"/>
      </c>
      <c r="S75" s="124">
        <f t="shared" si="141"/>
      </c>
      <c r="T75" s="125">
        <f t="shared" ref="T75:T78" si="155">AA75/60</f>
      </c>
      <c r="U75" s="126">
        <f t="shared" si="179"/>
      </c>
      <c r="V75" s="127">
        <f t="shared" si="180"/>
      </c>
      <c r="W75" s="126">
        <f t="shared" si="202"/>
      </c>
      <c r="X75" s="126">
        <f t="shared" si="181"/>
      </c>
      <c r="Y75" s="126">
        <f t="shared" ref="Y75:Y76" si="190">AE75/AD75</f>
      </c>
      <c r="Z75" s="120">
        <f>11317+117</f>
      </c>
      <c r="AA75" s="120">
        <f>648+14</f>
      </c>
      <c r="AB75" s="120">
        <v>87</v>
      </c>
      <c r="AC75" s="120">
        <v>92</v>
      </c>
      <c r="AD75" s="120">
        <v>10</v>
      </c>
      <c r="AE75" s="136">
        <f t="shared" ref="AE75:AE78" si="92">COUNT(AD75)</f>
      </c>
    </row>
    <row hidden="true" r="76">
      <c r="A76" s="114"/>
      <c r="B76" s="115" t="s">
        <v>87</v>
      </c>
      <c r="C76" s="115" t="s">
        <v>86</v>
      </c>
      <c r="D76" s="129">
        <f>4862.99+212.83</f>
      </c>
      <c r="E76" s="130">
        <v>6</v>
      </c>
      <c r="F76" s="130">
        <v>3</v>
      </c>
      <c r="G76" s="119">
        <f t="shared" si="40"/>
      </c>
      <c r="H76" s="131">
        <v>7</v>
      </c>
      <c r="I76" s="131">
        <v>1</v>
      </c>
      <c r="J76" s="132">
        <v>2030.3999999999987</v>
      </c>
      <c r="K76" s="131">
        <v>3</v>
      </c>
      <c r="L76" s="132">
        <v>4634.599999999999</v>
      </c>
      <c r="M76" s="120">
        <f t="shared" si="54"/>
      </c>
      <c r="N76" s="119">
        <f t="shared" si="78"/>
      </c>
      <c r="O76" s="119">
        <f t="shared" si="0"/>
      </c>
      <c r="P76" s="123">
        <f t="shared" si="14"/>
      </c>
      <c r="Q76" s="119">
        <f t="shared" si="38"/>
      </c>
      <c r="R76" s="124">
        <f t="shared" si="39"/>
      </c>
      <c r="S76" s="134">
        <f t="shared" si="141"/>
      </c>
      <c r="T76" s="125">
        <f t="shared" si="155"/>
      </c>
      <c r="U76" s="126">
        <f t="shared" si="179"/>
      </c>
      <c r="V76" s="127">
        <f t="shared" si="180"/>
      </c>
      <c r="W76" s="126">
        <f t="shared" si="202"/>
      </c>
      <c r="X76" s="126">
        <f t="shared" si="181"/>
      </c>
      <c r="Y76" s="126">
        <f t="shared" si="190"/>
      </c>
      <c r="Z76" s="120">
        <f>14272+454</f>
      </c>
      <c r="AA76" s="131">
        <f>648+35</f>
      </c>
      <c r="AB76" s="131">
        <f>83+6</f>
      </c>
      <c r="AC76" s="131">
        <v>102</v>
      </c>
      <c r="AD76" s="131">
        <v>7</v>
      </c>
      <c r="AE76" s="136">
        <f t="shared" si="92"/>
      </c>
    </row>
    <row hidden="true" r="77">
      <c r="A77" s="114"/>
      <c r="B77" s="115" t="s">
        <v>88</v>
      </c>
      <c r="C77" s="115" t="s">
        <v>86</v>
      </c>
      <c r="D77" s="129">
        <f>3667.07+334.64</f>
      </c>
      <c r="E77" s="130">
        <v>5</v>
      </c>
      <c r="F77" s="130">
        <v>3</v>
      </c>
      <c r="G77" s="119">
        <f t="shared" si="40"/>
      </c>
      <c r="H77" s="131">
        <v>5</v>
      </c>
      <c r="I77" s="131">
        <v>3</v>
      </c>
      <c r="J77" s="132">
        <v>4297.2</v>
      </c>
      <c r="K77" s="131">
        <v>0</v>
      </c>
      <c r="L77" s="132">
        <v>0</v>
      </c>
      <c r="M77" s="120">
        <f t="shared" si="54"/>
      </c>
      <c r="N77" s="119">
        <f t="shared" si="78"/>
      </c>
      <c r="O77" s="137">
        <f t="shared" si="0"/>
      </c>
      <c r="P77" s="123">
        <f t="shared" si="14"/>
      </c>
      <c r="Q77" s="137">
        <f t="shared" si="38"/>
      </c>
      <c r="R77" s="134">
        <f t="shared" si="39"/>
      </c>
      <c r="S77" s="134">
        <f t="shared" si="141"/>
      </c>
      <c r="T77" s="125">
        <f t="shared" si="155"/>
      </c>
      <c r="U77" s="138">
        <f t="shared" si="179"/>
      </c>
      <c r="V77" s="138">
        <f t="shared" si="180"/>
      </c>
      <c r="W77" s="138">
        <f t="shared" si="202"/>
      </c>
      <c r="X77" s="138">
        <f t="shared" si="181"/>
      </c>
      <c r="Y77" s="139">
        <f t="shared" ref="Y77:Y152" si="128">M77/AD77</f>
      </c>
      <c r="Z77" s="120">
        <f>10854+553</f>
      </c>
      <c r="AA77" s="131">
        <f>340+40</f>
      </c>
      <c r="AB77" s="131">
        <f>9+69</f>
      </c>
      <c r="AC77" s="131">
        <f>72+10</f>
      </c>
      <c r="AD77" s="131">
        <v>5</v>
      </c>
      <c r="AE77" s="136">
        <f t="shared" si="92"/>
      </c>
    </row>
    <row hidden="true" r="78">
      <c r="A78" s="114"/>
      <c r="B78" s="115" t="s">
        <v>89</v>
      </c>
      <c r="C78" s="115" t="s">
        <v>86</v>
      </c>
      <c r="D78" s="116">
        <f>3876.91+23.59+255.08+90.16</f>
      </c>
      <c r="E78" s="117">
        <v>9</v>
      </c>
      <c r="F78" s="117">
        <v>4</v>
      </c>
      <c r="G78" s="119">
        <f t="shared" si="40"/>
      </c>
      <c r="H78" s="120">
        <v>9</v>
      </c>
      <c r="I78" s="120">
        <v>2</v>
      </c>
      <c r="J78" s="121">
        <v>1440.0000000000018</v>
      </c>
      <c r="K78" s="120">
        <v>2</v>
      </c>
      <c r="L78" s="121">
        <v>3571.2000000000007</v>
      </c>
      <c r="M78" s="120">
        <f t="shared" si="54"/>
      </c>
      <c r="N78" s="119">
        <f t="shared" si="78"/>
      </c>
      <c r="O78" s="119">
        <f t="shared" si="0"/>
      </c>
      <c r="P78" s="123">
        <f t="shared" si="14"/>
      </c>
      <c r="Q78" s="119">
        <f t="shared" si="38"/>
      </c>
      <c r="R78" s="134">
        <f t="shared" si="39"/>
      </c>
      <c r="S78" s="134">
        <f t="shared" si="141"/>
      </c>
      <c r="T78" s="125">
        <f t="shared" si="155"/>
      </c>
      <c r="U78" s="126">
        <f t="shared" si="179"/>
      </c>
      <c r="V78" s="127">
        <f t="shared" si="180"/>
      </c>
      <c r="W78" s="138">
        <f t="shared" si="202"/>
      </c>
      <c r="X78" s="126">
        <f t="shared" si="181"/>
      </c>
      <c r="Y78" s="140">
        <f t="shared" si="128"/>
      </c>
      <c r="Z78" s="120">
        <f>12434+80+155+536</f>
      </c>
      <c r="AA78" s="120">
        <f>343+4+30</f>
      </c>
      <c r="AB78" s="120">
        <f>83+7</f>
      </c>
      <c r="AC78" s="120">
        <v>74</v>
      </c>
      <c r="AD78" s="120">
        <v>9</v>
      </c>
      <c r="AE78" s="136">
        <f t="shared" si="92"/>
      </c>
    </row>
    <row hidden="true" r="79">
      <c r="A79" s="114"/>
      <c r="B79" s="141" t="s">
        <v>90</v>
      </c>
      <c r="C79" s="141"/>
      <c r="D79" s="142">
        <f>SUM(D75:D78)</f>
      </c>
      <c r="E79" s="143">
        <f>SUM(E75:E78)</f>
      </c>
      <c r="F79" s="143">
        <f>SUM(F75:F78)</f>
      </c>
      <c r="G79" s="143">
        <f t="shared" si="40"/>
      </c>
      <c r="H79" s="143">
        <f>SUM(H75:H78)</f>
      </c>
      <c r="I79" s="143">
        <f>SUM(I75:I78)</f>
      </c>
      <c r="J79" s="144">
        <f>SUM(J75:J78)</f>
      </c>
      <c r="K79" s="143">
        <f>SUM(K75:K78)</f>
      </c>
      <c r="L79" s="144">
        <f>SUM(L75:L78)</f>
      </c>
      <c r="M79" s="143">
        <f>SUM(M75:M78)</f>
      </c>
      <c r="N79" s="143">
        <f t="shared" si="78"/>
      </c>
      <c r="O79" s="143">
        <f t="shared" si="0"/>
      </c>
      <c r="P79" s="145">
        <f>SUM(P75:P78)</f>
      </c>
      <c r="Q79" s="143">
        <f t="shared" si="38"/>
      </c>
      <c r="R79" s="146">
        <f t="shared" si="39"/>
      </c>
      <c r="S79" s="146">
        <f t="shared" si="141"/>
      </c>
      <c r="T79" s="147">
        <f>(T78+T76+T77+T75)/4</f>
      </c>
      <c r="U79" s="148">
        <f t="shared" si="179"/>
      </c>
      <c r="V79" s="148">
        <f t="shared" si="180"/>
      </c>
      <c r="W79" s="148">
        <f t="shared" si="202"/>
      </c>
      <c r="X79" s="148">
        <f t="shared" si="181"/>
      </c>
      <c r="Y79" s="148">
        <f t="shared" si="128"/>
      </c>
      <c r="Z79" s="143">
        <f>SUM(Z75:Z78)</f>
      </c>
      <c r="AA79" s="143">
        <f>SUM(AA75:AA78)</f>
      </c>
      <c r="AB79" s="143">
        <f>SUM(AB75:AB78)</f>
      </c>
      <c r="AC79" s="143">
        <f>SUM(AC75:AC78)</f>
      </c>
      <c r="AD79" s="143">
        <f>SUM(AD75:AD78)</f>
      </c>
      <c r="AE79" s="143">
        <f>SUM(AE75:AE78)</f>
      </c>
    </row>
    <row hidden="true" r="80">
      <c r="A80" s="114"/>
      <c r="B80" s="154" t="s">
        <v>96</v>
      </c>
      <c r="C80" s="154"/>
      <c r="D80" s="155">
        <f>D79</f>
      </c>
      <c r="E80" s="156">
        <f>E79</f>
      </c>
      <c r="F80" s="156">
        <f>F79</f>
      </c>
      <c r="G80" s="157">
        <f t="shared" si="40"/>
      </c>
      <c r="H80" s="156">
        <f>H79</f>
      </c>
      <c r="I80" s="156">
        <f>I79</f>
      </c>
      <c r="J80" s="159">
        <f>J79</f>
      </c>
      <c r="K80" s="156">
        <f>K79</f>
      </c>
      <c r="L80" s="159">
        <f>L79</f>
      </c>
      <c r="M80" s="156">
        <f>M79</f>
      </c>
      <c r="N80" s="157">
        <f t="shared" si="78"/>
      </c>
      <c r="O80" s="164">
        <f t="shared" si="0"/>
      </c>
      <c r="P80" s="155">
        <f>P79</f>
      </c>
      <c r="Q80" s="157">
        <f t="shared" si="38"/>
      </c>
      <c r="R80" s="160">
        <f t="shared" si="39"/>
      </c>
      <c r="S80" s="160">
        <f t="shared" si="141"/>
      </c>
      <c r="T80" s="161">
        <f>T79</f>
      </c>
      <c r="U80" s="162">
        <f t="shared" si="179"/>
      </c>
      <c r="V80" s="163">
        <f t="shared" si="180"/>
      </c>
      <c r="W80" s="162">
        <f t="shared" si="202"/>
      </c>
      <c r="X80" s="162">
        <f t="shared" si="181"/>
      </c>
      <c r="Y80" s="162">
        <f t="shared" si="128"/>
      </c>
      <c r="Z80" s="155">
        <f>Z79</f>
      </c>
      <c r="AA80" s="155">
        <f>AA79</f>
      </c>
      <c r="AB80" s="155">
        <f>AB79</f>
      </c>
      <c r="AC80" s="155">
        <f>AC79</f>
      </c>
      <c r="AD80" s="155">
        <f>AD79</f>
      </c>
      <c r="AE80" s="155">
        <f>AE79</f>
      </c>
    </row>
    <row hidden="true" r="81">
      <c r="A81" s="114">
        <v>46244</v>
      </c>
      <c r="B81" s="115" t="s">
        <v>85</v>
      </c>
      <c r="C81" s="115" t="s">
        <v>99</v>
      </c>
      <c r="D81" s="116">
        <f>3797.06+282.72</f>
      </c>
      <c r="E81" s="117">
        <v>9</v>
      </c>
      <c r="F81" s="117">
        <v>5</v>
      </c>
      <c r="G81" s="119">
        <f t="shared" si="40"/>
      </c>
      <c r="H81" s="131">
        <v>14</v>
      </c>
      <c r="I81" s="131">
        <v>1</v>
      </c>
      <c r="J81" s="132">
        <v>720</v>
      </c>
      <c r="K81" s="131">
        <v>8</v>
      </c>
      <c r="L81" s="132">
        <v>12355.199999999999</v>
      </c>
      <c r="M81" s="120">
        <f t="shared" ref="M81:M84" si="55">K81+I81</f>
      </c>
      <c r="N81" s="119">
        <f t="shared" si="78"/>
      </c>
      <c r="O81" s="119">
        <f t="shared" si="0"/>
      </c>
      <c r="P81" s="123">
        <f t="shared" ref="P81:P84" si="15">J81+L81</f>
      </c>
      <c r="Q81" s="119">
        <f t="shared" si="38"/>
      </c>
      <c r="R81" s="124">
        <f t="shared" si="39"/>
      </c>
      <c r="S81" s="124">
        <f t="shared" si="141"/>
      </c>
      <c r="T81" s="125">
        <f t="shared" ref="T81:T84" si="156">AA81/60</f>
      </c>
      <c r="U81" s="126">
        <f t="shared" si="179"/>
      </c>
      <c r="V81" s="127">
        <f t="shared" si="180"/>
      </c>
      <c r="W81" s="126">
        <f t="shared" si="202"/>
      </c>
      <c r="X81" s="126">
        <f t="shared" si="181"/>
      </c>
      <c r="Y81" s="126">
        <f t="shared" si="128"/>
      </c>
      <c r="Z81" s="120">
        <f>17233+590</f>
      </c>
      <c r="AA81" s="120">
        <f>665+42</f>
      </c>
      <c r="AB81" s="120">
        <v>104</v>
      </c>
      <c r="AC81" s="120">
        <v>84</v>
      </c>
      <c r="AD81" s="120">
        <v>14</v>
      </c>
      <c r="AE81" s="136">
        <f t="shared" ref="AE81:AE84" si="93">COUNT(AD81)</f>
      </c>
    </row>
    <row hidden="true" r="82">
      <c r="A82" s="114"/>
      <c r="B82" s="115" t="s">
        <v>87</v>
      </c>
      <c r="C82" s="115" t="s">
        <v>99</v>
      </c>
      <c r="D82" s="129">
        <f>6652.93+202.14</f>
      </c>
      <c r="E82" s="130">
        <v>13</v>
      </c>
      <c r="F82" s="130">
        <v>6</v>
      </c>
      <c r="G82" s="119">
        <f t="shared" si="40"/>
      </c>
      <c r="H82" s="131">
        <v>14</v>
      </c>
      <c r="I82" s="131">
        <v>6</v>
      </c>
      <c r="J82" s="132">
        <v>5870.400000000001</v>
      </c>
      <c r="K82" s="131">
        <v>1</v>
      </c>
      <c r="L82" s="132">
        <v>2587.199999999999</v>
      </c>
      <c r="M82" s="120">
        <f t="shared" si="55"/>
      </c>
      <c r="N82" s="119">
        <f t="shared" si="78"/>
      </c>
      <c r="O82" s="119">
        <f t="shared" si="0"/>
      </c>
      <c r="P82" s="123">
        <f t="shared" si="15"/>
      </c>
      <c r="Q82" s="119">
        <f t="shared" si="38"/>
      </c>
      <c r="R82" s="124">
        <f t="shared" si="39"/>
      </c>
      <c r="S82" s="134">
        <f t="shared" si="141"/>
      </c>
      <c r="T82" s="125">
        <f t="shared" si="156"/>
      </c>
      <c r="U82" s="126">
        <f t="shared" si="179"/>
      </c>
      <c r="V82" s="127">
        <f t="shared" si="180"/>
      </c>
      <c r="W82" s="126">
        <f t="shared" si="202"/>
      </c>
      <c r="X82" s="126">
        <f t="shared" si="181"/>
      </c>
      <c r="Y82" s="126">
        <f t="shared" si="128"/>
      </c>
      <c r="Z82" s="120">
        <f>34233+206</f>
      </c>
      <c r="AA82" s="131">
        <f>783+13</f>
      </c>
      <c r="AB82" s="131">
        <v>129</v>
      </c>
      <c r="AC82" s="131">
        <v>120</v>
      </c>
      <c r="AD82" s="131">
        <v>14</v>
      </c>
      <c r="AE82" s="136">
        <f t="shared" si="93"/>
      </c>
    </row>
    <row hidden="true" r="83">
      <c r="A83" s="114"/>
      <c r="B83" s="115" t="s">
        <v>88</v>
      </c>
      <c r="C83" s="115" t="s">
        <v>99</v>
      </c>
      <c r="D83" s="129">
        <f>8266.4+27.2</f>
      </c>
      <c r="E83" s="130">
        <v>18</v>
      </c>
      <c r="F83" s="130">
        <v>8</v>
      </c>
      <c r="G83" s="119">
        <f t="shared" si="40"/>
      </c>
      <c r="H83" s="131">
        <v>14</v>
      </c>
      <c r="I83" s="131">
        <v>4</v>
      </c>
      <c r="J83" s="132">
        <v>2355.5999999999995</v>
      </c>
      <c r="K83" s="131">
        <v>5</v>
      </c>
      <c r="L83" s="132">
        <v>4149.200000000001</v>
      </c>
      <c r="M83" s="120">
        <f t="shared" si="55"/>
      </c>
      <c r="N83" s="119">
        <f t="shared" si="78"/>
      </c>
      <c r="O83" s="137">
        <f t="shared" si="0"/>
      </c>
      <c r="P83" s="123">
        <f t="shared" si="15"/>
      </c>
      <c r="Q83" s="137">
        <f t="shared" si="38"/>
      </c>
      <c r="R83" s="134">
        <f t="shared" si="39"/>
      </c>
      <c r="S83" s="134">
        <f t="shared" si="141"/>
      </c>
      <c r="T83" s="125">
        <f t="shared" si="156"/>
      </c>
      <c r="U83" s="138">
        <f t="shared" si="179"/>
      </c>
      <c r="V83" s="138">
        <f t="shared" si="180"/>
      </c>
      <c r="W83" s="138">
        <f t="shared" si="202"/>
      </c>
      <c r="X83" s="138">
        <f t="shared" si="181"/>
      </c>
      <c r="Y83" s="139">
        <f t="shared" si="128"/>
      </c>
      <c r="Z83" s="120">
        <f>47018+60</f>
      </c>
      <c r="AA83" s="131">
        <v>782</v>
      </c>
      <c r="AB83" s="131">
        <f>166</f>
      </c>
      <c r="AC83" s="131">
        <v>131</v>
      </c>
      <c r="AD83" s="131">
        <v>14</v>
      </c>
      <c r="AE83" s="136">
        <f t="shared" si="93"/>
      </c>
    </row>
    <row hidden="true" r="84">
      <c r="A84" s="114"/>
      <c r="B84" s="115" t="s">
        <v>89</v>
      </c>
      <c r="C84" s="115" t="s">
        <v>99</v>
      </c>
      <c r="D84" s="116">
        <f>5734.61</f>
      </c>
      <c r="E84" s="117">
        <v>10</v>
      </c>
      <c r="F84" s="117">
        <v>3</v>
      </c>
      <c r="G84" s="119">
        <f t="shared" si="40"/>
      </c>
      <c r="H84" s="120">
        <v>11</v>
      </c>
      <c r="I84" s="120">
        <v>1</v>
      </c>
      <c r="J84" s="121">
        <v>720</v>
      </c>
      <c r="K84" s="120">
        <v>2</v>
      </c>
      <c r="L84" s="121">
        <v>2176.7999999999993</v>
      </c>
      <c r="M84" s="120">
        <f t="shared" si="55"/>
      </c>
      <c r="N84" s="119">
        <f t="shared" si="78"/>
      </c>
      <c r="O84" s="119">
        <f t="shared" si="0"/>
      </c>
      <c r="P84" s="123">
        <f t="shared" si="15"/>
      </c>
      <c r="Q84" s="119">
        <f t="shared" si="38"/>
      </c>
      <c r="R84" s="134">
        <f t="shared" si="39"/>
      </c>
      <c r="S84" s="134">
        <f t="shared" si="141"/>
      </c>
      <c r="T84" s="125">
        <f t="shared" si="156"/>
      </c>
      <c r="U84" s="126">
        <f t="shared" si="179"/>
      </c>
      <c r="V84" s="127">
        <f t="shared" si="180"/>
      </c>
      <c r="W84" s="138">
        <f t="shared" si="202"/>
      </c>
      <c r="X84" s="126">
        <f t="shared" si="181"/>
      </c>
      <c r="Y84" s="140">
        <f t="shared" si="128"/>
      </c>
      <c r="Z84" s="120">
        <f>33477+14</f>
      </c>
      <c r="AA84" s="120">
        <v>549</v>
      </c>
      <c r="AB84" s="120">
        <v>116</v>
      </c>
      <c r="AC84" s="120">
        <v>73</v>
      </c>
      <c r="AD84" s="120">
        <v>11</v>
      </c>
      <c r="AE84" s="136">
        <f t="shared" si="93"/>
      </c>
    </row>
    <row hidden="true" r="85">
      <c r="A85" s="114"/>
      <c r="B85" s="141" t="s">
        <v>90</v>
      </c>
      <c r="C85" s="141"/>
      <c r="D85" s="142">
        <f>SUM(D81:D84)</f>
      </c>
      <c r="E85" s="143">
        <f>SUM(E81:E84)</f>
      </c>
      <c r="F85" s="143">
        <f>SUM(F81:F84)</f>
      </c>
      <c r="G85" s="143">
        <f t="shared" si="40"/>
      </c>
      <c r="H85" s="143">
        <f>SUM(H81:H84)</f>
      </c>
      <c r="I85" s="143">
        <f>SUM(I81:I84)</f>
      </c>
      <c r="J85" s="144">
        <f>SUM(J81:J84)</f>
      </c>
      <c r="K85" s="143">
        <f>SUM(K81:K84)</f>
      </c>
      <c r="L85" s="144">
        <f>SUM(L81:L84)</f>
      </c>
      <c r="M85" s="143">
        <f>SUM(M81:M84)</f>
      </c>
      <c r="N85" s="143">
        <f t="shared" si="78"/>
      </c>
      <c r="O85" s="143">
        <f t="shared" si="0"/>
      </c>
      <c r="P85" s="145">
        <f>SUM(P81:P84)</f>
      </c>
      <c r="Q85" s="143">
        <f t="shared" si="38"/>
      </c>
      <c r="R85" s="146">
        <f t="shared" si="39"/>
      </c>
      <c r="S85" s="146">
        <f t="shared" si="141"/>
      </c>
      <c r="T85" s="147">
        <f>(T84+T82+T83+T81)/4</f>
      </c>
      <c r="U85" s="148">
        <f t="shared" si="179"/>
      </c>
      <c r="V85" s="148">
        <f t="shared" si="180"/>
      </c>
      <c r="W85" s="148">
        <f t="shared" si="202"/>
      </c>
      <c r="X85" s="148">
        <f t="shared" si="181"/>
      </c>
      <c r="Y85" s="148">
        <f t="shared" si="128"/>
      </c>
      <c r="Z85" s="143">
        <f>SUM(Z81:Z84)</f>
      </c>
      <c r="AA85" s="143">
        <f>SUM(AA81:AA84)</f>
      </c>
      <c r="AB85" s="143">
        <f>SUM(AB81:AB84)</f>
      </c>
      <c r="AC85" s="143">
        <f>SUM(AC81:AC84)</f>
      </c>
      <c r="AD85" s="143">
        <f>SUM(AD81:AD84)</f>
      </c>
      <c r="AE85" s="143">
        <f>SUM(AE81:AE84)</f>
      </c>
    </row>
    <row hidden="true" r="86">
      <c r="A86" s="114"/>
      <c r="B86" s="154" t="s">
        <v>96</v>
      </c>
      <c r="C86" s="154"/>
      <c r="D86" s="155">
        <f>D85</f>
      </c>
      <c r="E86" s="156">
        <f>E85</f>
      </c>
      <c r="F86" s="156">
        <f>F85</f>
      </c>
      <c r="G86" s="157">
        <f t="shared" si="40"/>
      </c>
      <c r="H86" s="156">
        <f>H85</f>
      </c>
      <c r="I86" s="156">
        <f>I85</f>
      </c>
      <c r="J86" s="159">
        <f>J85</f>
      </c>
      <c r="K86" s="156">
        <f>K85</f>
      </c>
      <c r="L86" s="159">
        <f>L85</f>
      </c>
      <c r="M86" s="156">
        <f>M85</f>
      </c>
      <c r="N86" s="157">
        <f t="shared" si="78"/>
      </c>
      <c r="O86" s="164">
        <f t="shared" si="0"/>
      </c>
      <c r="P86" s="155">
        <f>P85</f>
      </c>
      <c r="Q86" s="157">
        <f t="shared" si="38"/>
      </c>
      <c r="R86" s="160">
        <f t="shared" si="39"/>
      </c>
      <c r="S86" s="160">
        <f t="shared" si="141"/>
      </c>
      <c r="T86" s="161">
        <f>T85</f>
      </c>
      <c r="U86" s="162">
        <f t="shared" si="179"/>
      </c>
      <c r="V86" s="163">
        <f t="shared" si="180"/>
      </c>
      <c r="W86" s="162">
        <f t="shared" si="202"/>
      </c>
      <c r="X86" s="162">
        <f t="shared" si="181"/>
      </c>
      <c r="Y86" s="162">
        <f t="shared" si="128"/>
      </c>
      <c r="Z86" s="155">
        <f>Z85</f>
      </c>
      <c r="AA86" s="155">
        <f>AA85</f>
      </c>
      <c r="AB86" s="155">
        <f>AB85</f>
      </c>
      <c r="AC86" s="155">
        <f>AC85</f>
      </c>
      <c r="AD86" s="155">
        <f>AD85</f>
      </c>
      <c r="AE86" s="155">
        <f>AE85</f>
      </c>
    </row>
    <row hidden="true" r="87">
      <c r="A87" s="114">
        <v>46245</v>
      </c>
      <c r="B87" s="115" t="s">
        <v>85</v>
      </c>
      <c r="C87" s="115" t="s">
        <v>99</v>
      </c>
      <c r="D87" s="116">
        <v>5986.53</v>
      </c>
      <c r="E87" s="117">
        <v>3</v>
      </c>
      <c r="F87" s="117">
        <v>2</v>
      </c>
      <c r="G87" s="119">
        <f t="shared" si="40"/>
      </c>
      <c r="H87" s="131">
        <v>3</v>
      </c>
      <c r="I87" s="131">
        <v>1</v>
      </c>
      <c r="J87" s="132">
        <v>1101.6</v>
      </c>
      <c r="K87" s="131">
        <v>1</v>
      </c>
      <c r="L87" s="132">
        <v>1414.8000000000002</v>
      </c>
      <c r="M87" s="120">
        <f t="shared" ref="M87:M91" si="56">K87+I87</f>
      </c>
      <c r="N87" s="119">
        <f t="shared" si="78"/>
      </c>
      <c r="O87" s="119">
        <f t="shared" si="0"/>
      </c>
      <c r="P87" s="123">
        <f t="shared" ref="P87:P91" si="16">J87+L87</f>
      </c>
      <c r="Q87" s="119">
        <f t="shared" si="38"/>
      </c>
      <c r="R87" s="124">
        <f t="shared" si="39"/>
      </c>
      <c r="S87" s="124">
        <f t="shared" si="141"/>
      </c>
      <c r="T87" s="125">
        <f t="shared" ref="T87:T91" si="157">AA87/60</f>
      </c>
      <c r="U87" s="126">
        <f t="shared" si="179"/>
      </c>
      <c r="V87" s="127">
        <f t="shared" si="180"/>
      </c>
      <c r="W87" s="126">
        <f t="shared" si="202"/>
      </c>
      <c r="X87" s="126">
        <f t="shared" si="181"/>
      </c>
      <c r="Y87" s="126">
        <f t="shared" si="128"/>
      </c>
      <c r="Z87" s="120">
        <v>23734</v>
      </c>
      <c r="AA87" s="120">
        <v>935</v>
      </c>
      <c r="AB87" s="120">
        <v>80</v>
      </c>
      <c r="AC87" s="120">
        <v>101</v>
      </c>
      <c r="AD87" s="120">
        <v>3</v>
      </c>
      <c r="AE87" s="136">
        <f t="shared" ref="AE87:AE91" si="94">COUNT(AD87)</f>
      </c>
    </row>
    <row hidden="true" r="88">
      <c r="A88" s="114"/>
      <c r="B88" s="115" t="s">
        <v>87</v>
      </c>
      <c r="C88" s="115" t="s">
        <v>99</v>
      </c>
      <c r="D88" s="129">
        <v>3913.27</v>
      </c>
      <c r="E88" s="130">
        <v>9</v>
      </c>
      <c r="F88" s="130">
        <v>2</v>
      </c>
      <c r="G88" s="119">
        <f t="shared" si="40"/>
      </c>
      <c r="H88" s="131">
        <v>10</v>
      </c>
      <c r="I88" s="131">
        <v>1</v>
      </c>
      <c r="J88" s="132">
        <v>1045.1999999999998</v>
      </c>
      <c r="K88" s="131">
        <v>1</v>
      </c>
      <c r="L88" s="132">
        <v>2898</v>
      </c>
      <c r="M88" s="120">
        <f t="shared" si="56"/>
      </c>
      <c r="N88" s="119">
        <f t="shared" si="78"/>
      </c>
      <c r="O88" s="119">
        <f t="shared" si="0"/>
      </c>
      <c r="P88" s="123">
        <f t="shared" si="16"/>
      </c>
      <c r="Q88" s="119">
        <f t="shared" si="38"/>
      </c>
      <c r="R88" s="124">
        <f t="shared" si="39"/>
      </c>
      <c r="S88" s="134">
        <f t="shared" si="141"/>
      </c>
      <c r="T88" s="125">
        <f t="shared" si="157"/>
      </c>
      <c r="U88" s="126">
        <f t="shared" si="179"/>
      </c>
      <c r="V88" s="127">
        <f t="shared" si="180"/>
      </c>
      <c r="W88" s="126">
        <f t="shared" si="202"/>
      </c>
      <c r="X88" s="126">
        <f t="shared" si="181"/>
      </c>
      <c r="Y88" s="126">
        <f t="shared" si="128"/>
      </c>
      <c r="Z88" s="120">
        <v>11936</v>
      </c>
      <c r="AA88" s="131">
        <v>592</v>
      </c>
      <c r="AB88" s="131">
        <v>68</v>
      </c>
      <c r="AC88" s="131">
        <v>81</v>
      </c>
      <c r="AD88" s="131">
        <v>10</v>
      </c>
      <c r="AE88" s="136">
        <f t="shared" si="94"/>
      </c>
    </row>
    <row customHeight="true" hidden="true" ht="16.071428571428573" r="89">
      <c r="A89" s="114"/>
      <c r="B89" s="115" t="s">
        <v>88</v>
      </c>
      <c r="C89" s="115" t="s">
        <v>99</v>
      </c>
      <c r="D89" s="129">
        <v>5437.89</v>
      </c>
      <c r="E89" s="130">
        <v>9</v>
      </c>
      <c r="F89" s="130">
        <v>5</v>
      </c>
      <c r="G89" s="119">
        <f t="shared" si="40"/>
      </c>
      <c r="H89" s="131">
        <v>10</v>
      </c>
      <c r="I89" s="131">
        <v>2</v>
      </c>
      <c r="J89" s="132">
        <v>1113.6</v>
      </c>
      <c r="K89" s="131">
        <v>4</v>
      </c>
      <c r="L89" s="132">
        <v>3427.5999999999995</v>
      </c>
      <c r="M89" s="120">
        <f t="shared" si="56"/>
      </c>
      <c r="N89" s="119">
        <f t="shared" si="78"/>
      </c>
      <c r="O89" s="119">
        <f t="shared" si="0"/>
      </c>
      <c r="P89" s="123">
        <f t="shared" si="16"/>
      </c>
      <c r="Q89" s="119">
        <f t="shared" si="38"/>
      </c>
      <c r="R89" s="124">
        <f t="shared" si="39"/>
      </c>
      <c r="S89" s="134">
        <f t="shared" si="141"/>
      </c>
      <c r="T89" s="125">
        <f t="shared" si="157"/>
      </c>
      <c r="U89" s="138">
        <f t="shared" si="179"/>
      </c>
      <c r="V89" s="138">
        <f t="shared" si="180"/>
      </c>
      <c r="W89" s="126">
        <f t="shared" si="202"/>
      </c>
      <c r="X89" s="126">
        <f t="shared" si="181"/>
      </c>
      <c r="Y89" s="126">
        <f t="shared" si="128"/>
      </c>
      <c r="Z89" s="120">
        <v>17340</v>
      </c>
      <c r="AA89" s="131">
        <v>837</v>
      </c>
      <c r="AB89" s="131">
        <v>128</v>
      </c>
      <c r="AC89" s="131">
        <v>130</v>
      </c>
      <c r="AD89" s="131">
        <v>10</v>
      </c>
      <c r="AE89" s="136">
        <f t="shared" si="94"/>
      </c>
    </row>
    <row hidden="true" r="90">
      <c r="A90" s="114"/>
      <c r="B90" s="115" t="s">
        <v>89</v>
      </c>
      <c r="C90" s="115" t="s">
        <v>99</v>
      </c>
      <c r="D90" s="129">
        <f>5416.18</f>
      </c>
      <c r="E90" s="130">
        <v>5</v>
      </c>
      <c r="F90" s="130">
        <v>1</v>
      </c>
      <c r="G90" s="119">
        <f t="shared" si="40"/>
      </c>
      <c r="H90" s="131">
        <v>5</v>
      </c>
      <c r="I90" s="131">
        <v>1</v>
      </c>
      <c r="J90" s="132">
        <v>720</v>
      </c>
      <c r="K90" s="131">
        <v>1</v>
      </c>
      <c r="L90" s="132">
        <v>2722.800000000001</v>
      </c>
      <c r="M90" s="120">
        <f t="shared" si="56"/>
      </c>
      <c r="N90" s="119">
        <f t="shared" si="78"/>
      </c>
      <c r="O90" s="137">
        <f t="shared" si="0"/>
      </c>
      <c r="P90" s="123">
        <f t="shared" si="16"/>
      </c>
      <c r="Q90" s="119">
        <f t="shared" si="38"/>
      </c>
      <c r="R90" s="134">
        <f t="shared" si="39"/>
      </c>
      <c r="S90" s="134">
        <f t="shared" si="141"/>
      </c>
      <c r="T90" s="125">
        <f t="shared" si="157"/>
      </c>
      <c r="U90" s="126">
        <f t="shared" si="179"/>
      </c>
      <c r="V90" s="127">
        <f t="shared" si="180"/>
      </c>
      <c r="W90" s="138">
        <f t="shared" si="202"/>
      </c>
      <c r="X90" s="126">
        <f t="shared" si="181"/>
      </c>
      <c r="Y90" s="139">
        <f t="shared" si="128"/>
      </c>
      <c r="Z90" s="120">
        <v>14937</v>
      </c>
      <c r="AA90" s="131">
        <v>578</v>
      </c>
      <c r="AB90" s="131">
        <v>105</v>
      </c>
      <c r="AC90" s="131">
        <v>106</v>
      </c>
      <c r="AD90" s="131">
        <v>5</v>
      </c>
      <c r="AE90" s="136">
        <f t="shared" si="94"/>
      </c>
    </row>
    <row hidden="true" r="91">
      <c r="A91" s="114"/>
      <c r="B91" s="115" t="s">
        <v>91</v>
      </c>
      <c r="C91" s="115" t="s">
        <v>99</v>
      </c>
      <c r="D91" s="116">
        <f>3052.8+0.03+0.05</f>
      </c>
      <c r="E91" s="117">
        <v>9</v>
      </c>
      <c r="F91" s="117">
        <v>5</v>
      </c>
      <c r="G91" s="119">
        <f t="shared" si="40"/>
      </c>
      <c r="H91" s="120">
        <v>9</v>
      </c>
      <c r="I91" s="120">
        <v>3</v>
      </c>
      <c r="J91" s="121">
        <v>2739</v>
      </c>
      <c r="K91" s="120">
        <v>1</v>
      </c>
      <c r="L91" s="121">
        <v>1088.3999999999996</v>
      </c>
      <c r="M91" s="120">
        <f t="shared" si="56"/>
      </c>
      <c r="N91" s="119">
        <f t="shared" si="78"/>
      </c>
      <c r="O91" s="119">
        <f t="shared" si="0"/>
      </c>
      <c r="P91" s="123">
        <f t="shared" si="16"/>
      </c>
      <c r="Q91" s="119">
        <f t="shared" si="38"/>
      </c>
      <c r="R91" s="134">
        <f t="shared" si="39"/>
      </c>
      <c r="S91" s="134">
        <f t="shared" si="141"/>
      </c>
      <c r="T91" s="125">
        <f t="shared" si="157"/>
      </c>
      <c r="U91" s="126">
        <f t="shared" si="179"/>
      </c>
      <c r="V91" s="127">
        <f t="shared" si="180"/>
      </c>
      <c r="W91" s="138">
        <f t="shared" si="202"/>
      </c>
      <c r="X91" s="126">
        <f t="shared" si="181"/>
      </c>
      <c r="Y91" s="140">
        <f t="shared" si="128"/>
      </c>
      <c r="Z91" s="120">
        <v>11023</v>
      </c>
      <c r="AA91" s="120">
        <v>377</v>
      </c>
      <c r="AB91" s="120">
        <v>49</v>
      </c>
      <c r="AC91" s="120">
        <v>59</v>
      </c>
      <c r="AD91" s="120">
        <v>9</v>
      </c>
      <c r="AE91" s="136">
        <f t="shared" si="94"/>
      </c>
    </row>
    <row hidden="true" r="92">
      <c r="A92" s="114"/>
      <c r="B92" s="141" t="s">
        <v>90</v>
      </c>
      <c r="C92" s="141"/>
      <c r="D92" s="142">
        <f>SUM(D87:D91)</f>
      </c>
      <c r="E92" s="143">
        <f>SUM(E87:E91)</f>
      </c>
      <c r="F92" s="143">
        <f>SUM(F87:F91)</f>
      </c>
      <c r="G92" s="143">
        <f t="shared" si="40"/>
      </c>
      <c r="H92" s="143">
        <f>SUM(H87:H91)</f>
      </c>
      <c r="I92" s="143">
        <f>SUM(I87:I91)</f>
      </c>
      <c r="J92" s="144">
        <f>SUM(J87:J91)</f>
      </c>
      <c r="K92" s="143">
        <f>SUM(K87:K91)</f>
      </c>
      <c r="L92" s="144">
        <f>SUM(L87:L91)</f>
      </c>
      <c r="M92" s="143">
        <f>SUM(M87:M91)</f>
      </c>
      <c r="N92" s="143">
        <f t="shared" si="78"/>
      </c>
      <c r="O92" s="143">
        <f t="shared" si="0"/>
      </c>
      <c r="P92" s="145">
        <f>SUM(P87:P91)</f>
      </c>
      <c r="Q92" s="143">
        <f t="shared" si="38"/>
      </c>
      <c r="R92" s="146">
        <f t="shared" si="39"/>
      </c>
      <c r="S92" s="146">
        <f t="shared" si="141"/>
      </c>
      <c r="T92" s="147">
        <f>(T91+T88+T90+T89+T87)/5</f>
      </c>
      <c r="U92" s="148">
        <f t="shared" si="179"/>
      </c>
      <c r="V92" s="148">
        <f t="shared" si="180"/>
      </c>
      <c r="W92" s="148">
        <f t="shared" si="202"/>
      </c>
      <c r="X92" s="148">
        <f t="shared" si="181"/>
      </c>
      <c r="Y92" s="148">
        <f t="shared" si="128"/>
      </c>
      <c r="Z92" s="143">
        <f>SUM(Z87:Z91)</f>
      </c>
      <c r="AA92" s="143">
        <f>SUM(AA87:AA91)</f>
      </c>
      <c r="AB92" s="143">
        <f>SUM(AB87:AB91)</f>
      </c>
      <c r="AC92" s="143">
        <f>SUM(AC87:AC91)</f>
      </c>
      <c r="AD92" s="143">
        <f>SUM(AD87:AD91)</f>
      </c>
      <c r="AE92" s="143">
        <f>SUM(AE87:AE91)</f>
      </c>
    </row>
    <row hidden="true" r="93">
      <c r="A93" s="114"/>
      <c r="B93" s="154" t="s">
        <v>96</v>
      </c>
      <c r="C93" s="154"/>
      <c r="D93" s="155">
        <f>D92</f>
      </c>
      <c r="E93" s="156">
        <f>E92</f>
      </c>
      <c r="F93" s="156">
        <f>F92</f>
      </c>
      <c r="G93" s="157">
        <f t="shared" si="40"/>
      </c>
      <c r="H93" s="156">
        <f>H92</f>
      </c>
      <c r="I93" s="156">
        <f>I92</f>
      </c>
      <c r="J93" s="159">
        <f>J92</f>
      </c>
      <c r="K93" s="156">
        <f>K92</f>
      </c>
      <c r="L93" s="159">
        <f>L92</f>
      </c>
      <c r="M93" s="156">
        <f>M92</f>
      </c>
      <c r="N93" s="157">
        <f t="shared" si="78"/>
      </c>
      <c r="O93" s="164">
        <f t="shared" si="0"/>
      </c>
      <c r="P93" s="155">
        <f>P92</f>
      </c>
      <c r="Q93" s="157">
        <f t="shared" si="38"/>
      </c>
      <c r="R93" s="160">
        <f t="shared" si="39"/>
      </c>
      <c r="S93" s="160">
        <f t="shared" si="141"/>
      </c>
      <c r="T93" s="161">
        <f>T92</f>
      </c>
      <c r="U93" s="162">
        <f t="shared" si="179"/>
      </c>
      <c r="V93" s="163">
        <f t="shared" si="180"/>
      </c>
      <c r="W93" s="162">
        <f t="shared" si="202"/>
      </c>
      <c r="X93" s="162">
        <f t="shared" si="181"/>
      </c>
      <c r="Y93" s="162">
        <f t="shared" si="128"/>
      </c>
      <c r="Z93" s="155">
        <f>Z92</f>
      </c>
      <c r="AA93" s="155">
        <f>AA92</f>
      </c>
      <c r="AB93" s="155">
        <f>AB92</f>
      </c>
      <c r="AC93" s="155">
        <f>AC92</f>
      </c>
      <c r="AD93" s="155">
        <f>AD92</f>
      </c>
      <c r="AE93" s="155">
        <f>AE92</f>
      </c>
    </row>
    <row hidden="true" r="94">
      <c r="A94" s="114">
        <v>46246</v>
      </c>
      <c r="B94" s="115" t="s">
        <v>85</v>
      </c>
      <c r="C94" s="115" t="s">
        <v>99</v>
      </c>
      <c r="D94" s="116">
        <v>3611.82</v>
      </c>
      <c r="E94" s="117">
        <v>5</v>
      </c>
      <c r="F94" s="117">
        <v>2</v>
      </c>
      <c r="G94" s="119">
        <f t="shared" si="40"/>
      </c>
      <c r="H94" s="131">
        <v>6</v>
      </c>
      <c r="I94" s="131">
        <v>1</v>
      </c>
      <c r="J94" s="132">
        <v>2997.6000000000004</v>
      </c>
      <c r="K94" s="131">
        <v>1</v>
      </c>
      <c r="L94" s="132">
        <v>1088.4</v>
      </c>
      <c r="M94" s="120">
        <f t="shared" ref="M94:M98" si="57">K94+I94</f>
      </c>
      <c r="N94" s="119">
        <f t="shared" si="78"/>
      </c>
      <c r="O94" s="119">
        <f t="shared" si="0"/>
      </c>
      <c r="P94" s="123">
        <f t="shared" ref="P94:P98" si="17">J94+L94</f>
      </c>
      <c r="Q94" s="119">
        <f t="shared" si="38"/>
      </c>
      <c r="R94" s="124">
        <f t="shared" si="39"/>
      </c>
      <c r="S94" s="124">
        <f t="shared" si="141"/>
      </c>
      <c r="T94" s="125">
        <f t="shared" ref="T94:T98" si="158">AA94/60</f>
      </c>
      <c r="U94" s="126">
        <f t="shared" si="179"/>
      </c>
      <c r="V94" s="127">
        <f t="shared" si="180"/>
      </c>
      <c r="W94" s="126">
        <f t="shared" si="202"/>
      </c>
      <c r="X94" s="126">
        <f t="shared" si="181"/>
      </c>
      <c r="Y94" s="126">
        <f t="shared" si="128"/>
      </c>
      <c r="Z94" s="120">
        <v>16944</v>
      </c>
      <c r="AA94" s="120">
        <v>642</v>
      </c>
      <c r="AB94" s="120">
        <v>91</v>
      </c>
      <c r="AC94" s="120">
        <v>79</v>
      </c>
      <c r="AD94" s="120">
        <v>6</v>
      </c>
      <c r="AE94" s="136">
        <f t="shared" ref="AE94:AE98" si="95">COUNT(AD94)</f>
      </c>
    </row>
    <row hidden="true" r="95">
      <c r="A95" s="114"/>
      <c r="B95" s="115" t="s">
        <v>87</v>
      </c>
      <c r="C95" s="115" t="s">
        <v>99</v>
      </c>
      <c r="D95" s="129">
        <v>4239.84</v>
      </c>
      <c r="E95" s="130">
        <v>8</v>
      </c>
      <c r="F95" s="130">
        <v>3</v>
      </c>
      <c r="G95" s="119">
        <f t="shared" si="40"/>
      </c>
      <c r="H95" s="131">
        <v>9</v>
      </c>
      <c r="I95" s="131">
        <v>3</v>
      </c>
      <c r="J95" s="132">
        <v>3248.3999999999996</v>
      </c>
      <c r="K95" s="131">
        <v>1</v>
      </c>
      <c r="L95" s="132">
        <v>728.4000000000001</v>
      </c>
      <c r="M95" s="120">
        <f t="shared" si="57"/>
      </c>
      <c r="N95" s="119">
        <f t="shared" si="78"/>
      </c>
      <c r="O95" s="119">
        <f t="shared" si="0"/>
      </c>
      <c r="P95" s="123">
        <f t="shared" si="17"/>
      </c>
      <c r="Q95" s="119">
        <f t="shared" si="38"/>
      </c>
      <c r="R95" s="124">
        <f t="shared" si="39"/>
      </c>
      <c r="S95" s="134">
        <f t="shared" si="141"/>
      </c>
      <c r="T95" s="125">
        <f t="shared" si="158"/>
      </c>
      <c r="U95" s="126">
        <f t="shared" si="179"/>
      </c>
      <c r="V95" s="127">
        <f t="shared" si="180"/>
      </c>
      <c r="W95" s="126">
        <f t="shared" si="202"/>
      </c>
      <c r="X95" s="126">
        <f t="shared" si="181"/>
      </c>
      <c r="Y95" s="126">
        <f t="shared" si="128"/>
      </c>
      <c r="Z95" s="120">
        <v>15461</v>
      </c>
      <c r="AA95" s="131">
        <v>574</v>
      </c>
      <c r="AB95" s="131">
        <v>97</v>
      </c>
      <c r="AC95" s="131">
        <v>85</v>
      </c>
      <c r="AD95" s="131">
        <v>9</v>
      </c>
      <c r="AE95" s="136">
        <f t="shared" si="95"/>
      </c>
    </row>
    <row hidden="true" r="96">
      <c r="A96" s="114"/>
      <c r="B96" s="115" t="s">
        <v>88</v>
      </c>
      <c r="C96" s="115" t="s">
        <v>99</v>
      </c>
      <c r="D96" s="129">
        <v>5247.03</v>
      </c>
      <c r="E96" s="130">
        <v>12</v>
      </c>
      <c r="F96" s="130">
        <v>4</v>
      </c>
      <c r="G96" s="119">
        <f t="shared" si="40"/>
      </c>
      <c r="H96" s="131">
        <v>13</v>
      </c>
      <c r="I96" s="131">
        <v>2</v>
      </c>
      <c r="J96" s="132">
        <v>2266.7999999999993</v>
      </c>
      <c r="K96" s="131">
        <v>2</v>
      </c>
      <c r="L96" s="132">
        <v>5488.799999999999</v>
      </c>
      <c r="M96" s="120">
        <f t="shared" si="57"/>
      </c>
      <c r="N96" s="119">
        <f t="shared" si="78"/>
      </c>
      <c r="O96" s="119">
        <f t="shared" si="0"/>
      </c>
      <c r="P96" s="123">
        <f t="shared" si="17"/>
      </c>
      <c r="Q96" s="119">
        <f t="shared" si="38"/>
      </c>
      <c r="R96" s="124">
        <f t="shared" si="39"/>
      </c>
      <c r="S96" s="134">
        <f t="shared" si="141"/>
      </c>
      <c r="T96" s="125">
        <f t="shared" si="158"/>
      </c>
      <c r="U96" s="138">
        <f t="shared" si="179"/>
      </c>
      <c r="V96" s="138">
        <f t="shared" si="180"/>
      </c>
      <c r="W96" s="126">
        <f t="shared" si="202"/>
      </c>
      <c r="X96" s="126">
        <f t="shared" si="181"/>
      </c>
      <c r="Y96" s="126">
        <f t="shared" si="128"/>
      </c>
      <c r="Z96" s="120">
        <v>15369</v>
      </c>
      <c r="AA96" s="131">
        <v>605</v>
      </c>
      <c r="AB96" s="131">
        <v>113</v>
      </c>
      <c r="AC96" s="131">
        <v>108</v>
      </c>
      <c r="AD96" s="131">
        <v>13</v>
      </c>
      <c r="AE96" s="136">
        <f t="shared" si="95"/>
      </c>
    </row>
    <row hidden="true" r="97">
      <c r="A97" s="114"/>
      <c r="B97" s="115" t="s">
        <v>89</v>
      </c>
      <c r="C97" s="115" t="s">
        <v>99</v>
      </c>
      <c r="D97" s="129">
        <v>4842.32</v>
      </c>
      <c r="E97" s="130">
        <v>6</v>
      </c>
      <c r="F97" s="130">
        <v>4</v>
      </c>
      <c r="G97" s="119">
        <f t="shared" si="40"/>
      </c>
      <c r="H97" s="131">
        <v>8</v>
      </c>
      <c r="I97" s="131">
        <v>2</v>
      </c>
      <c r="J97" s="132">
        <v>1821.6000000000004</v>
      </c>
      <c r="K97" s="131">
        <v>4</v>
      </c>
      <c r="L97" s="132">
        <v>8165.999999999999</v>
      </c>
      <c r="M97" s="120">
        <f t="shared" si="57"/>
      </c>
      <c r="N97" s="119">
        <f t="shared" si="78"/>
      </c>
      <c r="O97" s="137">
        <f t="shared" si="0"/>
      </c>
      <c r="P97" s="123">
        <f t="shared" si="17"/>
      </c>
      <c r="Q97" s="119">
        <f t="shared" si="38"/>
      </c>
      <c r="R97" s="134">
        <f t="shared" si="39"/>
      </c>
      <c r="S97" s="134">
        <f t="shared" si="141"/>
      </c>
      <c r="T97" s="125">
        <f t="shared" si="158"/>
      </c>
      <c r="U97" s="126">
        <f t="shared" si="179"/>
      </c>
      <c r="V97" s="127">
        <f t="shared" si="180"/>
      </c>
      <c r="W97" s="138">
        <f t="shared" si="202"/>
      </c>
      <c r="X97" s="126">
        <f t="shared" si="181"/>
      </c>
      <c r="Y97" s="139">
        <f t="shared" si="128"/>
      </c>
      <c r="Z97" s="120">
        <v>13192</v>
      </c>
      <c r="AA97" s="131">
        <v>584</v>
      </c>
      <c r="AB97" s="131">
        <v>107</v>
      </c>
      <c r="AC97" s="131">
        <v>89</v>
      </c>
      <c r="AD97" s="131">
        <v>8</v>
      </c>
      <c r="AE97" s="136">
        <f t="shared" si="95"/>
      </c>
    </row>
    <row hidden="true" r="98">
      <c r="A98" s="114"/>
      <c r="B98" s="115" t="s">
        <v>91</v>
      </c>
      <c r="C98" s="115" t="s">
        <v>99</v>
      </c>
      <c r="D98" s="116">
        <v>2453.19</v>
      </c>
      <c r="E98" s="117">
        <v>4</v>
      </c>
      <c r="F98" s="117">
        <v>1</v>
      </c>
      <c r="G98" s="119">
        <f t="shared" si="40"/>
      </c>
      <c r="H98" s="120">
        <v>4</v>
      </c>
      <c r="I98" s="120">
        <v>0</v>
      </c>
      <c r="J98" s="121">
        <v>0</v>
      </c>
      <c r="K98" s="120">
        <v>1</v>
      </c>
      <c r="L98" s="121">
        <v>402</v>
      </c>
      <c r="M98" s="120">
        <f t="shared" si="57"/>
      </c>
      <c r="N98" s="119">
        <f t="shared" si="78"/>
      </c>
      <c r="O98" s="119">
        <f t="shared" si="0"/>
      </c>
      <c r="P98" s="123">
        <f t="shared" si="17"/>
      </c>
      <c r="Q98" s="119">
        <f t="shared" si="38"/>
      </c>
      <c r="R98" s="134">
        <f t="shared" si="39"/>
      </c>
      <c r="S98" s="134">
        <f t="shared" si="141"/>
      </c>
      <c r="T98" s="125">
        <f t="shared" si="158"/>
      </c>
      <c r="U98" s="126">
        <f t="shared" si="179"/>
      </c>
      <c r="V98" s="127">
        <f t="shared" si="180"/>
      </c>
      <c r="W98" s="138">
        <f t="shared" si="202"/>
      </c>
      <c r="X98" s="126">
        <f t="shared" si="181"/>
      </c>
      <c r="Y98" s="140">
        <f t="shared" si="128"/>
      </c>
      <c r="Z98" s="120">
        <v>9466</v>
      </c>
      <c r="AA98" s="120">
        <v>400</v>
      </c>
      <c r="AB98" s="120">
        <v>78</v>
      </c>
      <c r="AC98" s="120">
        <v>60</v>
      </c>
      <c r="AD98" s="120">
        <v>4</v>
      </c>
      <c r="AE98" s="136">
        <f t="shared" si="95"/>
      </c>
    </row>
    <row hidden="true" r="99">
      <c r="A99" s="114"/>
      <c r="B99" s="141" t="s">
        <v>90</v>
      </c>
      <c r="C99" s="141"/>
      <c r="D99" s="142">
        <f>SUM(D94:D98)</f>
      </c>
      <c r="E99" s="143">
        <f>SUM(E94:E98)</f>
      </c>
      <c r="F99" s="143">
        <f>SUM(F94:F98)</f>
      </c>
      <c r="G99" s="143">
        <f t="shared" si="40"/>
      </c>
      <c r="H99" s="143">
        <f>SUM(H94:H98)</f>
      </c>
      <c r="I99" s="143">
        <f>SUM(I94:I98)</f>
      </c>
      <c r="J99" s="144">
        <f>SUM(J94:J98)</f>
      </c>
      <c r="K99" s="143">
        <f>SUM(K94:K98)</f>
      </c>
      <c r="L99" s="144">
        <f>SUM(L94:L98)</f>
      </c>
      <c r="M99" s="143">
        <f>SUM(M94:M98)</f>
      </c>
      <c r="N99" s="143">
        <f t="shared" si="78"/>
      </c>
      <c r="O99" s="143">
        <f t="shared" si="0"/>
      </c>
      <c r="P99" s="145">
        <f>SUM(P94:P98)</f>
      </c>
      <c r="Q99" s="143">
        <f t="shared" si="38"/>
      </c>
      <c r="R99" s="146">
        <f t="shared" si="39"/>
      </c>
      <c r="S99" s="146">
        <f t="shared" si="141"/>
      </c>
      <c r="T99" s="147">
        <f>(T98+T95+T97+T96+T94)/5</f>
      </c>
      <c r="U99" s="148">
        <f t="shared" si="179"/>
      </c>
      <c r="V99" s="148">
        <f t="shared" si="180"/>
      </c>
      <c r="W99" s="148">
        <f t="shared" si="202"/>
      </c>
      <c r="X99" s="148">
        <f t="shared" si="181"/>
      </c>
      <c r="Y99" s="148">
        <f t="shared" si="128"/>
      </c>
      <c r="Z99" s="143">
        <f>SUM(Z94:Z98)</f>
      </c>
      <c r="AA99" s="143">
        <f>SUM(AA94:AA98)</f>
      </c>
      <c r="AB99" s="143">
        <f>SUM(AB94:AB98)</f>
      </c>
      <c r="AC99" s="143">
        <f>SUM(AC94:AC98)</f>
      </c>
      <c r="AD99" s="143">
        <f>SUM(AD94:AD98)</f>
      </c>
      <c r="AE99" s="143">
        <f>SUM(AE94:AE98)</f>
      </c>
    </row>
    <row hidden="true" r="100">
      <c r="A100" s="114"/>
      <c r="B100" s="154" t="s">
        <v>96</v>
      </c>
      <c r="C100" s="154"/>
      <c r="D100" s="155">
        <f>D99</f>
      </c>
      <c r="E100" s="156">
        <f>E99</f>
      </c>
      <c r="F100" s="156">
        <f>F99</f>
      </c>
      <c r="G100" s="157">
        <f t="shared" si="40"/>
      </c>
      <c r="H100" s="156">
        <f>H99</f>
      </c>
      <c r="I100" s="156">
        <f>I99</f>
      </c>
      <c r="J100" s="159">
        <f>J99</f>
      </c>
      <c r="K100" s="156">
        <f>K99</f>
      </c>
      <c r="L100" s="159">
        <f>L99</f>
      </c>
      <c r="M100" s="156">
        <f>M99</f>
      </c>
      <c r="N100" s="157">
        <f t="shared" si="78"/>
      </c>
      <c r="O100" s="164">
        <f t="shared" si="0"/>
      </c>
      <c r="P100" s="155">
        <f>P99</f>
      </c>
      <c r="Q100" s="157">
        <f t="shared" si="38"/>
      </c>
      <c r="R100" s="160">
        <f t="shared" si="39"/>
      </c>
      <c r="S100" s="160">
        <f t="shared" si="141"/>
      </c>
      <c r="T100" s="161">
        <f>T99</f>
      </c>
      <c r="U100" s="162">
        <f t="shared" si="179"/>
      </c>
      <c r="V100" s="163">
        <f t="shared" si="180"/>
      </c>
      <c r="W100" s="162">
        <f t="shared" si="202"/>
      </c>
      <c r="X100" s="162">
        <f t="shared" si="181"/>
      </c>
      <c r="Y100" s="162">
        <f t="shared" si="128"/>
      </c>
      <c r="Z100" s="155">
        <f>Z99</f>
      </c>
      <c r="AA100" s="155">
        <f>AA99</f>
      </c>
      <c r="AB100" s="155">
        <f>AB99</f>
      </c>
      <c r="AC100" s="155">
        <f>AC99</f>
      </c>
      <c r="AD100" s="155">
        <f>AD99</f>
      </c>
      <c r="AE100" s="155">
        <f>AE99</f>
      </c>
    </row>
    <row hidden="true" r="101">
      <c r="A101" s="114">
        <v>46247</v>
      </c>
      <c r="B101" s="115" t="s">
        <v>85</v>
      </c>
      <c r="C101" s="115" t="s">
        <v>92</v>
      </c>
      <c r="D101" s="116">
        <v>4040.1</v>
      </c>
      <c r="E101" s="117">
        <v>3</v>
      </c>
      <c r="F101" s="117">
        <v>0</v>
      </c>
      <c r="G101" s="119">
        <f t="shared" si="40"/>
      </c>
      <c r="H101" s="131">
        <v>3</v>
      </c>
      <c r="I101" s="131">
        <v>0</v>
      </c>
      <c r="J101" s="132">
        <v>0</v>
      </c>
      <c r="K101" s="131">
        <v>0</v>
      </c>
      <c r="L101" s="132">
        <v>0</v>
      </c>
      <c r="M101" s="120">
        <f t="shared" ref="M101:M104" si="58">K101+I101</f>
      </c>
      <c r="N101" s="119">
        <f t="shared" si="78"/>
      </c>
      <c r="O101" s="119">
        <f t="shared" si="0"/>
      </c>
      <c r="P101" s="123">
        <f t="shared" ref="P101:P104" si="18">J101+L101</f>
      </c>
      <c r="Q101" s="119">
        <f t="shared" si="38"/>
      </c>
      <c r="R101" s="124">
        <f t="shared" si="39"/>
      </c>
      <c r="S101" s="124">
        <f t="shared" si="141"/>
      </c>
      <c r="T101" s="125">
        <f t="shared" ref="T101:T104" si="159">AA101/60</f>
      </c>
      <c r="U101" s="126">
        <f t="shared" si="179"/>
      </c>
      <c r="V101" s="127">
        <f t="shared" si="180"/>
      </c>
      <c r="W101" s="126">
        <f t="shared" si="202"/>
      </c>
      <c r="X101" s="126">
        <f t="shared" si="181"/>
      </c>
      <c r="Y101" s="126">
        <f t="shared" si="128"/>
      </c>
      <c r="Z101" s="120">
        <v>11205</v>
      </c>
      <c r="AA101" s="120">
        <v>619</v>
      </c>
      <c r="AB101" s="120">
        <v>60</v>
      </c>
      <c r="AC101" s="120">
        <v>91</v>
      </c>
      <c r="AD101" s="120">
        <v>3</v>
      </c>
      <c r="AE101" s="136">
        <f t="shared" ref="AE101:AE104" si="96">COUNT(AD101)</f>
      </c>
    </row>
    <row hidden="true" r="102">
      <c r="A102" s="114"/>
      <c r="B102" s="115" t="s">
        <v>87</v>
      </c>
      <c r="C102" s="115" t="s">
        <v>92</v>
      </c>
      <c r="D102" s="129">
        <v>3851.12</v>
      </c>
      <c r="E102" s="130">
        <v>5</v>
      </c>
      <c r="F102" s="130">
        <v>2</v>
      </c>
      <c r="G102" s="119">
        <f t="shared" si="40"/>
      </c>
      <c r="H102" s="131">
        <v>5</v>
      </c>
      <c r="I102" s="131">
        <v>2</v>
      </c>
      <c r="J102" s="132">
        <v>1647.6000000000001</v>
      </c>
      <c r="K102" s="131">
        <v>0</v>
      </c>
      <c r="L102" s="132">
        <v>0</v>
      </c>
      <c r="M102" s="120">
        <f t="shared" si="58"/>
      </c>
      <c r="N102" s="119">
        <f t="shared" si="78"/>
      </c>
      <c r="O102" s="119">
        <f t="shared" si="0"/>
      </c>
      <c r="P102" s="123">
        <f t="shared" si="18"/>
      </c>
      <c r="Q102" s="119">
        <f t="shared" si="38"/>
      </c>
      <c r="R102" s="124">
        <f t="shared" si="39"/>
      </c>
      <c r="S102" s="134">
        <f t="shared" si="141"/>
      </c>
      <c r="T102" s="125">
        <f t="shared" si="159"/>
      </c>
      <c r="U102" s="126">
        <f t="shared" si="179"/>
      </c>
      <c r="V102" s="127">
        <f t="shared" si="180"/>
      </c>
      <c r="W102" s="126">
        <f t="shared" si="202"/>
      </c>
      <c r="X102" s="126">
        <f t="shared" si="181"/>
      </c>
      <c r="Y102" s="126">
        <f t="shared" si="128"/>
      </c>
      <c r="Z102" s="120">
        <v>11803</v>
      </c>
      <c r="AA102" s="131">
        <v>499</v>
      </c>
      <c r="AB102" s="131">
        <v>79</v>
      </c>
      <c r="AC102" s="131">
        <v>89</v>
      </c>
      <c r="AD102" s="131">
        <v>5</v>
      </c>
      <c r="AE102" s="136">
        <f t="shared" si="96"/>
      </c>
    </row>
    <row hidden="true" r="103">
      <c r="A103" s="114"/>
      <c r="B103" s="115" t="s">
        <v>88</v>
      </c>
      <c r="C103" s="115" t="s">
        <v>92</v>
      </c>
      <c r="D103" s="129">
        <v>3141.51</v>
      </c>
      <c r="E103" s="130">
        <v>8</v>
      </c>
      <c r="F103" s="130">
        <v>4</v>
      </c>
      <c r="G103" s="119">
        <f t="shared" si="40"/>
      </c>
      <c r="H103" s="131">
        <v>9</v>
      </c>
      <c r="I103" s="131">
        <v>3</v>
      </c>
      <c r="J103" s="132">
        <v>2830.8</v>
      </c>
      <c r="K103" s="131">
        <v>3</v>
      </c>
      <c r="L103" s="132">
        <v>3482.4000000000005</v>
      </c>
      <c r="M103" s="120">
        <f t="shared" si="58"/>
      </c>
      <c r="N103" s="119">
        <f t="shared" si="78"/>
      </c>
      <c r="O103" s="137">
        <f t="shared" si="0"/>
      </c>
      <c r="P103" s="123">
        <f t="shared" si="18"/>
      </c>
      <c r="Q103" s="137">
        <f t="shared" si="38"/>
      </c>
      <c r="R103" s="134">
        <f t="shared" si="39"/>
      </c>
      <c r="S103" s="134">
        <f t="shared" si="141"/>
      </c>
      <c r="T103" s="125">
        <f t="shared" si="159"/>
      </c>
      <c r="U103" s="138">
        <f t="shared" si="179"/>
      </c>
      <c r="V103" s="138">
        <f t="shared" si="180"/>
      </c>
      <c r="W103" s="138">
        <f t="shared" si="202"/>
      </c>
      <c r="X103" s="138">
        <f t="shared" si="181"/>
      </c>
      <c r="Y103" s="139">
        <f t="shared" si="128"/>
      </c>
      <c r="Z103" s="120">
        <v>8961</v>
      </c>
      <c r="AA103" s="131">
        <v>391</v>
      </c>
      <c r="AB103" s="131">
        <v>87</v>
      </c>
      <c r="AC103" s="131">
        <v>73</v>
      </c>
      <c r="AD103" s="131">
        <v>9</v>
      </c>
      <c r="AE103" s="136">
        <f t="shared" si="96"/>
      </c>
    </row>
    <row hidden="true" r="104">
      <c r="A104" s="114"/>
      <c r="B104" s="115" t="s">
        <v>89</v>
      </c>
      <c r="C104" s="115" t="s">
        <v>92</v>
      </c>
      <c r="D104" s="116">
        <v>2901.4100000000003</v>
      </c>
      <c r="E104" s="117">
        <v>5</v>
      </c>
      <c r="F104" s="117">
        <v>5</v>
      </c>
      <c r="G104" s="119">
        <f t="shared" si="40"/>
      </c>
      <c r="H104" s="120">
        <v>5</v>
      </c>
      <c r="I104" s="120">
        <v>0</v>
      </c>
      <c r="J104" s="121">
        <v>0</v>
      </c>
      <c r="K104" s="120">
        <v>4</v>
      </c>
      <c r="L104" s="121">
        <f>5482.8+1415</f>
      </c>
      <c r="M104" s="120">
        <f t="shared" si="58"/>
      </c>
      <c r="N104" s="119">
        <f t="shared" si="78"/>
      </c>
      <c r="O104" s="119">
        <f t="shared" si="0"/>
      </c>
      <c r="P104" s="123">
        <f t="shared" si="18"/>
      </c>
      <c r="Q104" s="119">
        <f t="shared" si="38"/>
      </c>
      <c r="R104" s="134">
        <f t="shared" si="39"/>
      </c>
      <c r="S104" s="134">
        <f t="shared" si="141"/>
      </c>
      <c r="T104" s="125">
        <f t="shared" si="159"/>
      </c>
      <c r="U104" s="126">
        <f t="shared" si="179"/>
      </c>
      <c r="V104" s="127">
        <f t="shared" si="180"/>
      </c>
      <c r="W104" s="138">
        <f t="shared" si="202"/>
      </c>
      <c r="X104" s="126">
        <f t="shared" si="181"/>
      </c>
      <c r="Y104" s="140">
        <f t="shared" si="128"/>
      </c>
      <c r="Z104" s="120">
        <v>9493</v>
      </c>
      <c r="AA104" s="120">
        <v>385</v>
      </c>
      <c r="AB104" s="120">
        <v>137</v>
      </c>
      <c r="AC104" s="120">
        <v>72</v>
      </c>
      <c r="AD104" s="120">
        <v>5</v>
      </c>
      <c r="AE104" s="136">
        <f t="shared" si="96"/>
      </c>
    </row>
    <row hidden="true" r="105">
      <c r="A105" s="114"/>
      <c r="B105" s="141" t="s">
        <v>90</v>
      </c>
      <c r="C105" s="141"/>
      <c r="D105" s="142">
        <f>SUM(D101:D104)</f>
      </c>
      <c r="E105" s="143">
        <f>SUM(E101:E104)</f>
      </c>
      <c r="F105" s="143">
        <f>SUM(F101:F104)</f>
      </c>
      <c r="G105" s="143">
        <f t="shared" si="40"/>
      </c>
      <c r="H105" s="143">
        <f>SUM(H101:H104)</f>
      </c>
      <c r="I105" s="143">
        <f>SUM(I101:I104)</f>
      </c>
      <c r="J105" s="144">
        <f>SUM(J101:J104)</f>
      </c>
      <c r="K105" s="143">
        <f>SUM(K101:K104)</f>
      </c>
      <c r="L105" s="144">
        <f>SUM(L101:L104)</f>
      </c>
      <c r="M105" s="143">
        <f>SUM(M101:M104)</f>
      </c>
      <c r="N105" s="143">
        <f t="shared" si="78"/>
      </c>
      <c r="O105" s="143">
        <f t="shared" si="0"/>
      </c>
      <c r="P105" s="145">
        <f>SUM(P101:P104)</f>
      </c>
      <c r="Q105" s="143">
        <f t="shared" si="38"/>
      </c>
      <c r="R105" s="146">
        <f t="shared" si="39"/>
      </c>
      <c r="S105" s="146">
        <f t="shared" si="141"/>
      </c>
      <c r="T105" s="147">
        <f>(T104+T102+T103+T101)/4</f>
      </c>
      <c r="U105" s="148">
        <f t="shared" si="179"/>
      </c>
      <c r="V105" s="148">
        <f t="shared" si="180"/>
      </c>
      <c r="W105" s="148">
        <f t="shared" si="202"/>
      </c>
      <c r="X105" s="148">
        <f t="shared" si="181"/>
      </c>
      <c r="Y105" s="148">
        <f t="shared" si="128"/>
      </c>
      <c r="Z105" s="143">
        <f>SUM(Z101:Z104)</f>
      </c>
      <c r="AA105" s="143">
        <f>SUM(AA101:AA104)</f>
      </c>
      <c r="AB105" s="143">
        <f>SUM(AB101:AB104)</f>
      </c>
      <c r="AC105" s="143">
        <f>SUM(AC101:AC104)</f>
      </c>
      <c r="AD105" s="143">
        <f>SUM(AD101:AD104)</f>
      </c>
      <c r="AE105" s="143">
        <f>SUM(AE101:AE104)</f>
      </c>
    </row>
    <row hidden="true" r="106">
      <c r="A106" s="114"/>
      <c r="B106" s="154" t="s">
        <v>96</v>
      </c>
      <c r="C106" s="154"/>
      <c r="D106" s="155">
        <f>D105</f>
      </c>
      <c r="E106" s="156">
        <f>E105</f>
      </c>
      <c r="F106" s="156">
        <f>F105</f>
      </c>
      <c r="G106" s="157">
        <f t="shared" si="40"/>
      </c>
      <c r="H106" s="156">
        <f>H105</f>
      </c>
      <c r="I106" s="156">
        <f>I105</f>
      </c>
      <c r="J106" s="159">
        <f>J105</f>
      </c>
      <c r="K106" s="156">
        <f>K105</f>
      </c>
      <c r="L106" s="159">
        <f>L105</f>
      </c>
      <c r="M106" s="156">
        <f>M105</f>
      </c>
      <c r="N106" s="157">
        <f t="shared" si="78"/>
      </c>
      <c r="O106" s="164">
        <f t="shared" si="0"/>
      </c>
      <c r="P106" s="155">
        <f>P105</f>
      </c>
      <c r="Q106" s="157">
        <f t="shared" si="38"/>
      </c>
      <c r="R106" s="160">
        <f t="shared" si="39"/>
      </c>
      <c r="S106" s="160">
        <f t="shared" si="141"/>
      </c>
      <c r="T106" s="161">
        <f>T105</f>
      </c>
      <c r="U106" s="162">
        <f t="shared" si="179"/>
      </c>
      <c r="V106" s="163">
        <f t="shared" si="180"/>
      </c>
      <c r="W106" s="162">
        <f t="shared" si="202"/>
      </c>
      <c r="X106" s="162">
        <f t="shared" si="181"/>
      </c>
      <c r="Y106" s="162">
        <f t="shared" si="128"/>
      </c>
      <c r="Z106" s="168">
        <f>Z105</f>
      </c>
      <c r="AA106" s="168">
        <f>AA105</f>
      </c>
      <c r="AB106" s="168">
        <f>AB105</f>
      </c>
      <c r="AC106" s="168">
        <f>AC105</f>
      </c>
      <c r="AD106" s="168">
        <f>AD105</f>
      </c>
      <c r="AE106" s="168">
        <f>AE105</f>
      </c>
    </row>
    <row hidden="true" r="107">
      <c r="A107" s="114">
        <v>46248</v>
      </c>
      <c r="B107" s="115" t="s">
        <v>85</v>
      </c>
      <c r="C107" s="115" t="s">
        <v>99</v>
      </c>
      <c r="D107" s="116">
        <v>4290.62</v>
      </c>
      <c r="E107" s="117">
        <v>6</v>
      </c>
      <c r="F107" s="117">
        <v>5</v>
      </c>
      <c r="G107" s="119">
        <f t="shared" si="40"/>
      </c>
      <c r="H107" s="131">
        <v>6</v>
      </c>
      <c r="I107" s="131">
        <v>3</v>
      </c>
      <c r="J107" s="132">
        <v>1862.28</v>
      </c>
      <c r="K107" s="131">
        <v>2</v>
      </c>
      <c r="L107" s="132">
        <v>1741.1999999999998</v>
      </c>
      <c r="M107" s="120">
        <f t="shared" ref="M107:M111" si="59">K107+I107</f>
      </c>
      <c r="N107" s="119">
        <f t="shared" si="78"/>
      </c>
      <c r="O107" s="119">
        <f t="shared" si="0"/>
      </c>
      <c r="P107" s="123">
        <f t="shared" ref="P107:P111" si="19">J107+L107</f>
      </c>
      <c r="Q107" s="119">
        <f t="shared" si="38"/>
      </c>
      <c r="R107" s="124">
        <f t="shared" si="39"/>
      </c>
      <c r="S107" s="124">
        <f t="shared" si="141"/>
      </c>
      <c r="T107" s="125">
        <f t="shared" ref="T107:T111" si="160">AA107/60</f>
      </c>
      <c r="U107" s="126">
        <f t="shared" si="179"/>
      </c>
      <c r="V107" s="127">
        <f t="shared" si="180"/>
      </c>
      <c r="W107" s="126">
        <f t="shared" si="202"/>
      </c>
      <c r="X107" s="126">
        <f t="shared" si="181"/>
      </c>
      <c r="Y107" s="126">
        <f t="shared" si="128"/>
      </c>
      <c r="Z107" s="120">
        <v>15361</v>
      </c>
      <c r="AA107" s="120">
        <v>695</v>
      </c>
      <c r="AB107" s="120">
        <v>68</v>
      </c>
      <c r="AC107" s="120">
        <v>73</v>
      </c>
      <c r="AD107" s="120">
        <v>6</v>
      </c>
      <c r="AE107" s="136">
        <f t="shared" ref="AE107:AE111" si="97">COUNT(AD107)</f>
      </c>
    </row>
    <row hidden="true" r="108">
      <c r="A108" s="114"/>
      <c r="B108" s="115" t="s">
        <v>87</v>
      </c>
      <c r="C108" s="115" t="s">
        <v>99</v>
      </c>
      <c r="D108" s="129">
        <v>4318.71</v>
      </c>
      <c r="E108" s="130">
        <v>7</v>
      </c>
      <c r="F108" s="130">
        <v>1</v>
      </c>
      <c r="G108" s="119">
        <f t="shared" si="40"/>
      </c>
      <c r="H108" s="131">
        <v>8</v>
      </c>
      <c r="I108" s="131">
        <v>2</v>
      </c>
      <c r="J108" s="132">
        <v>1960.8000000000004</v>
      </c>
      <c r="K108" s="131">
        <v>0</v>
      </c>
      <c r="L108" s="132">
        <v>0</v>
      </c>
      <c r="M108" s="120">
        <f t="shared" si="59"/>
      </c>
      <c r="N108" s="119">
        <f t="shared" si="78"/>
      </c>
      <c r="O108" s="119">
        <f t="shared" si="0"/>
      </c>
      <c r="P108" s="123">
        <f t="shared" si="19"/>
      </c>
      <c r="Q108" s="119">
        <f t="shared" si="38"/>
      </c>
      <c r="R108" s="124">
        <f t="shared" si="39"/>
      </c>
      <c r="S108" s="134">
        <f t="shared" si="141"/>
      </c>
      <c r="T108" s="125">
        <f t="shared" si="160"/>
      </c>
      <c r="U108" s="126">
        <f t="shared" si="179"/>
      </c>
      <c r="V108" s="127">
        <f t="shared" si="180"/>
      </c>
      <c r="W108" s="126">
        <f t="shared" si="202"/>
      </c>
      <c r="X108" s="126">
        <f t="shared" si="181"/>
      </c>
      <c r="Y108" s="126">
        <f t="shared" si="128"/>
      </c>
      <c r="Z108" s="120">
        <v>15438</v>
      </c>
      <c r="AA108" s="131">
        <v>500</v>
      </c>
      <c r="AB108" s="131">
        <v>92</v>
      </c>
      <c r="AC108" s="131">
        <v>94</v>
      </c>
      <c r="AD108" s="131">
        <v>8</v>
      </c>
      <c r="AE108" s="136">
        <f t="shared" si="97"/>
      </c>
    </row>
    <row hidden="true" r="109">
      <c r="A109" s="114"/>
      <c r="B109" s="115" t="s">
        <v>88</v>
      </c>
      <c r="C109" s="115" t="s">
        <v>99</v>
      </c>
      <c r="D109" s="129">
        <v>5217.09</v>
      </c>
      <c r="E109" s="130">
        <v>13</v>
      </c>
      <c r="F109" s="130">
        <v>8</v>
      </c>
      <c r="G109" s="119">
        <f t="shared" si="40"/>
      </c>
      <c r="H109" s="131">
        <v>20</v>
      </c>
      <c r="I109" s="131">
        <v>9</v>
      </c>
      <c r="J109" s="132">
        <v>8932.800000000001</v>
      </c>
      <c r="K109" s="131">
        <v>2</v>
      </c>
      <c r="L109" s="132">
        <v>1816.8000000000002</v>
      </c>
      <c r="M109" s="120">
        <f t="shared" si="59"/>
      </c>
      <c r="N109" s="119">
        <f t="shared" si="78"/>
      </c>
      <c r="O109" s="119">
        <f t="shared" si="0"/>
      </c>
      <c r="P109" s="123">
        <f t="shared" si="19"/>
      </c>
      <c r="Q109" s="119">
        <f t="shared" si="38"/>
      </c>
      <c r="R109" s="124">
        <f t="shared" si="39"/>
      </c>
      <c r="S109" s="134">
        <f t="shared" si="141"/>
      </c>
      <c r="T109" s="125">
        <f t="shared" si="160"/>
      </c>
      <c r="U109" s="138">
        <f t="shared" si="179"/>
      </c>
      <c r="V109" s="138">
        <f t="shared" si="180"/>
      </c>
      <c r="W109" s="126">
        <f t="shared" si="202"/>
      </c>
      <c r="X109" s="126">
        <f t="shared" si="181"/>
      </c>
      <c r="Y109" s="126">
        <f t="shared" si="128"/>
      </c>
      <c r="Z109" s="120">
        <v>17567</v>
      </c>
      <c r="AA109" s="131">
        <v>533</v>
      </c>
      <c r="AB109" s="131">
        <v>103</v>
      </c>
      <c r="AC109" s="131">
        <v>138</v>
      </c>
      <c r="AD109" s="131">
        <v>20</v>
      </c>
      <c r="AE109" s="136">
        <f t="shared" si="97"/>
      </c>
    </row>
    <row hidden="true" r="110">
      <c r="A110" s="114"/>
      <c r="B110" s="115" t="s">
        <v>89</v>
      </c>
      <c r="C110" s="115" t="s">
        <v>99</v>
      </c>
      <c r="D110" s="129">
        <v>5068.87</v>
      </c>
      <c r="E110" s="130">
        <v>8</v>
      </c>
      <c r="F110" s="130">
        <v>3</v>
      </c>
      <c r="G110" s="119">
        <f t="shared" si="40"/>
      </c>
      <c r="H110" s="131">
        <v>8</v>
      </c>
      <c r="I110" s="131">
        <v>2</v>
      </c>
      <c r="J110" s="132">
        <v>2245.199999999997</v>
      </c>
      <c r="K110" s="131">
        <v>1</v>
      </c>
      <c r="L110" s="132">
        <v>1088.3999999999996</v>
      </c>
      <c r="M110" s="120">
        <f t="shared" si="59"/>
      </c>
      <c r="N110" s="119">
        <f t="shared" si="78"/>
      </c>
      <c r="O110" s="137">
        <f t="shared" si="0"/>
      </c>
      <c r="P110" s="123">
        <f t="shared" si="19"/>
      </c>
      <c r="Q110" s="119">
        <f t="shared" si="38"/>
      </c>
      <c r="R110" s="134">
        <f t="shared" si="39"/>
      </c>
      <c r="S110" s="134">
        <f t="shared" si="141"/>
      </c>
      <c r="T110" s="125">
        <f t="shared" si="160"/>
      </c>
      <c r="U110" s="126">
        <f t="shared" si="179"/>
      </c>
      <c r="V110" s="127">
        <f t="shared" si="180"/>
      </c>
      <c r="W110" s="138">
        <f t="shared" si="202"/>
      </c>
      <c r="X110" s="126">
        <f t="shared" si="181"/>
      </c>
      <c r="Y110" s="139">
        <f t="shared" si="128"/>
      </c>
      <c r="Z110" s="120">
        <v>15461</v>
      </c>
      <c r="AA110" s="131">
        <v>446</v>
      </c>
      <c r="AB110" s="131">
        <v>88</v>
      </c>
      <c r="AC110" s="131">
        <v>114</v>
      </c>
      <c r="AD110" s="131">
        <v>8</v>
      </c>
      <c r="AE110" s="136">
        <f t="shared" si="97"/>
      </c>
    </row>
    <row hidden="true" r="111">
      <c r="A111" s="114"/>
      <c r="B111" s="115" t="s">
        <v>91</v>
      </c>
      <c r="C111" s="115" t="s">
        <v>99</v>
      </c>
      <c r="D111" s="116">
        <v>6061.75</v>
      </c>
      <c r="E111" s="117">
        <v>19</v>
      </c>
      <c r="F111" s="117">
        <v>11</v>
      </c>
      <c r="G111" s="119">
        <f t="shared" si="40"/>
      </c>
      <c r="H111" s="120">
        <v>23</v>
      </c>
      <c r="I111" s="120">
        <v>7</v>
      </c>
      <c r="J111" s="121">
        <v>8445</v>
      </c>
      <c r="K111" s="120">
        <v>7</v>
      </c>
      <c r="L111" s="121">
        <v>6950</v>
      </c>
      <c r="M111" s="120">
        <f t="shared" si="59"/>
      </c>
      <c r="N111" s="119">
        <f t="shared" si="78"/>
      </c>
      <c r="O111" s="119">
        <f t="shared" si="0"/>
      </c>
      <c r="P111" s="123">
        <f t="shared" si="19"/>
      </c>
      <c r="Q111" s="119">
        <f t="shared" si="38"/>
      </c>
      <c r="R111" s="134">
        <f t="shared" si="39"/>
      </c>
      <c r="S111" s="134">
        <f t="shared" si="141"/>
      </c>
      <c r="T111" s="125">
        <f t="shared" si="160"/>
      </c>
      <c r="U111" s="126">
        <f t="shared" si="179"/>
      </c>
      <c r="V111" s="127">
        <f t="shared" si="180"/>
      </c>
      <c r="W111" s="138">
        <f t="shared" si="202"/>
      </c>
      <c r="X111" s="126">
        <f t="shared" si="181"/>
      </c>
      <c r="Y111" s="140">
        <f t="shared" si="128"/>
      </c>
      <c r="Z111" s="120">
        <v>20858</v>
      </c>
      <c r="AA111" s="120">
        <v>368</v>
      </c>
      <c r="AB111" s="120">
        <v>118</v>
      </c>
      <c r="AC111" s="120">
        <v>136</v>
      </c>
      <c r="AD111" s="120">
        <v>23</v>
      </c>
      <c r="AE111" s="136">
        <f t="shared" si="97"/>
      </c>
    </row>
    <row hidden="true" r="112">
      <c r="A112" s="114"/>
      <c r="B112" s="141" t="s">
        <v>90</v>
      </c>
      <c r="C112" s="141"/>
      <c r="D112" s="142">
        <f>SUM(D107:D111)</f>
      </c>
      <c r="E112" s="143">
        <f>SUM(E107:E111)</f>
      </c>
      <c r="F112" s="143">
        <f>SUM(F107:F111)</f>
      </c>
      <c r="G112" s="143">
        <f t="shared" si="40"/>
      </c>
      <c r="H112" s="143">
        <f>SUM(H107:H111)</f>
      </c>
      <c r="I112" s="143">
        <f>SUM(I107:I111)</f>
      </c>
      <c r="J112" s="144">
        <f>SUM(J107:J111)</f>
      </c>
      <c r="K112" s="143">
        <f>SUM(K107:K111)</f>
      </c>
      <c r="L112" s="144">
        <f>SUM(L107:L111)</f>
      </c>
      <c r="M112" s="143">
        <f>SUM(M107:M111)</f>
      </c>
      <c r="N112" s="143">
        <f t="shared" si="78"/>
      </c>
      <c r="O112" s="143">
        <f t="shared" si="0"/>
      </c>
      <c r="P112" s="145">
        <f>SUM(P107:P111)</f>
      </c>
      <c r="Q112" s="143">
        <f t="shared" si="38"/>
      </c>
      <c r="R112" s="146">
        <f t="shared" si="39"/>
      </c>
      <c r="S112" s="146">
        <f t="shared" si="141"/>
      </c>
      <c r="T112" s="147">
        <f>(T111+T108+T110+T109+T107)/5</f>
      </c>
      <c r="U112" s="148">
        <f t="shared" si="179"/>
      </c>
      <c r="V112" s="148">
        <f t="shared" si="180"/>
      </c>
      <c r="W112" s="148">
        <f t="shared" si="202"/>
      </c>
      <c r="X112" s="148">
        <f t="shared" si="181"/>
      </c>
      <c r="Y112" s="148">
        <f t="shared" si="128"/>
      </c>
      <c r="Z112" s="143">
        <f>SUM(Z107:Z111)</f>
      </c>
      <c r="AA112" s="143">
        <f>SUM(AA107:AA111)</f>
      </c>
      <c r="AB112" s="143">
        <f>SUM(AB107:AB111)</f>
      </c>
      <c r="AC112" s="143">
        <f>SUM(AC107:AC111)</f>
      </c>
      <c r="AD112" s="143">
        <f>SUM(AD107:AD111)</f>
      </c>
      <c r="AE112" s="143">
        <f>SUM(AE107:AE111)</f>
      </c>
    </row>
    <row hidden="true" r="113">
      <c r="A113" s="114"/>
      <c r="B113" s="154" t="s">
        <v>96</v>
      </c>
      <c r="C113" s="154"/>
      <c r="D113" s="155">
        <f>D112</f>
      </c>
      <c r="E113" s="156">
        <f>E112</f>
      </c>
      <c r="F113" s="156">
        <f>F112</f>
      </c>
      <c r="G113" s="157">
        <f t="shared" si="40"/>
      </c>
      <c r="H113" s="156">
        <f>H112</f>
      </c>
      <c r="I113" s="156">
        <f>I112</f>
      </c>
      <c r="J113" s="159">
        <f>J112</f>
      </c>
      <c r="K113" s="156">
        <f>K112</f>
      </c>
      <c r="L113" s="159">
        <f>L112</f>
      </c>
      <c r="M113" s="156">
        <f>M112</f>
      </c>
      <c r="N113" s="157">
        <f t="shared" si="78"/>
      </c>
      <c r="O113" s="164">
        <f t="shared" si="0"/>
      </c>
      <c r="P113" s="155">
        <f>P112</f>
      </c>
      <c r="Q113" s="157">
        <f t="shared" si="38"/>
      </c>
      <c r="R113" s="160">
        <f t="shared" si="39"/>
      </c>
      <c r="S113" s="160">
        <f t="shared" si="141"/>
      </c>
      <c r="T113" s="161">
        <f>T112</f>
      </c>
      <c r="U113" s="162">
        <f t="shared" si="179"/>
      </c>
      <c r="V113" s="163">
        <f t="shared" si="180"/>
      </c>
      <c r="W113" s="162">
        <f t="shared" si="202"/>
      </c>
      <c r="X113" s="162">
        <f t="shared" si="181"/>
      </c>
      <c r="Y113" s="162">
        <f t="shared" si="128"/>
      </c>
      <c r="Z113" s="155">
        <f>Z112</f>
      </c>
      <c r="AA113" s="155">
        <f>AA112</f>
      </c>
      <c r="AB113" s="155">
        <f>AB112</f>
      </c>
      <c r="AC113" s="155">
        <f>AC112</f>
      </c>
      <c r="AD113" s="155">
        <f>AD112</f>
      </c>
      <c r="AE113" s="155">
        <f>AE112</f>
      </c>
    </row>
    <row hidden="true" r="114">
      <c r="A114" s="114">
        <v>46249</v>
      </c>
      <c r="B114" s="115" t="s">
        <v>85</v>
      </c>
      <c r="C114" s="115" t="s">
        <v>99</v>
      </c>
      <c r="D114" s="116">
        <v>6090.77</v>
      </c>
      <c r="E114" s="117">
        <v>18</v>
      </c>
      <c r="F114" s="117">
        <v>8</v>
      </c>
      <c r="G114" s="119">
        <f t="shared" si="40"/>
      </c>
      <c r="H114" s="131">
        <v>20</v>
      </c>
      <c r="I114" s="131">
        <v>8</v>
      </c>
      <c r="J114" s="132">
        <v>9958</v>
      </c>
      <c r="K114" s="131">
        <v>2</v>
      </c>
      <c r="L114" s="132">
        <v>2086.4</v>
      </c>
      <c r="M114" s="120">
        <f t="shared" ref="M114:M118" si="60">K114+I114</f>
      </c>
      <c r="N114" s="119">
        <f t="shared" si="78"/>
      </c>
      <c r="O114" s="119">
        <f t="shared" si="0"/>
      </c>
      <c r="P114" s="123">
        <f t="shared" ref="P114:P118" si="20">J114+L114</f>
      </c>
      <c r="Q114" s="119">
        <f t="shared" si="38"/>
      </c>
      <c r="R114" s="124">
        <f t="shared" si="39"/>
      </c>
      <c r="S114" s="124">
        <f t="shared" si="141"/>
      </c>
      <c r="T114" s="125">
        <f t="shared" ref="T114:T118" si="161">AA114/60</f>
      </c>
      <c r="U114" s="126">
        <f t="shared" si="179"/>
      </c>
      <c r="V114" s="127">
        <f t="shared" si="180"/>
      </c>
      <c r="W114" s="126">
        <f t="shared" si="202"/>
      </c>
      <c r="X114" s="126">
        <f t="shared" si="181"/>
      </c>
      <c r="Y114" s="126">
        <f t="shared" si="128"/>
      </c>
      <c r="Z114" s="120">
        <v>20969</v>
      </c>
      <c r="AA114" s="120">
        <v>951</v>
      </c>
      <c r="AB114" s="120">
        <v>105</v>
      </c>
      <c r="AC114" s="120">
        <v>164</v>
      </c>
      <c r="AD114" s="120">
        <v>20</v>
      </c>
      <c r="AE114" s="136">
        <f t="shared" ref="AE114:AE118" si="98">COUNT(AD114)</f>
      </c>
    </row>
    <row hidden="true" r="115">
      <c r="A115" s="114"/>
      <c r="B115" s="115" t="s">
        <v>87</v>
      </c>
      <c r="C115" s="115" t="s">
        <v>99</v>
      </c>
      <c r="D115" s="129">
        <v>7678.48</v>
      </c>
      <c r="E115" s="130">
        <v>18</v>
      </c>
      <c r="F115" s="130">
        <v>10</v>
      </c>
      <c r="G115" s="119">
        <f t="shared" si="40"/>
      </c>
      <c r="H115" s="131">
        <v>24</v>
      </c>
      <c r="I115" s="131">
        <v>10</v>
      </c>
      <c r="J115" s="132">
        <v>10494.8</v>
      </c>
      <c r="K115" s="131">
        <v>4</v>
      </c>
      <c r="L115" s="132">
        <v>4576.800000000001</v>
      </c>
      <c r="M115" s="120">
        <f t="shared" si="60"/>
      </c>
      <c r="N115" s="119">
        <f t="shared" si="78"/>
      </c>
      <c r="O115" s="119">
        <f t="shared" si="0"/>
      </c>
      <c r="P115" s="123">
        <f t="shared" si="20"/>
      </c>
      <c r="Q115" s="119">
        <f t="shared" si="38"/>
      </c>
      <c r="R115" s="124">
        <f t="shared" si="39"/>
      </c>
      <c r="S115" s="134">
        <f t="shared" si="141"/>
      </c>
      <c r="T115" s="125">
        <f t="shared" si="161"/>
      </c>
      <c r="U115" s="126">
        <f t="shared" si="179"/>
      </c>
      <c r="V115" s="127">
        <f t="shared" si="180"/>
      </c>
      <c r="W115" s="126">
        <f t="shared" si="202"/>
      </c>
      <c r="X115" s="126">
        <f t="shared" si="181"/>
      </c>
      <c r="Y115" s="126">
        <f t="shared" si="128"/>
      </c>
      <c r="Z115" s="120">
        <v>22406</v>
      </c>
      <c r="AA115" s="131">
        <v>737</v>
      </c>
      <c r="AB115" s="131">
        <v>159</v>
      </c>
      <c r="AC115" s="131">
        <v>176</v>
      </c>
      <c r="AD115" s="131">
        <v>24</v>
      </c>
      <c r="AE115" s="136">
        <f t="shared" si="98"/>
      </c>
    </row>
    <row hidden="true" r="116">
      <c r="A116" s="114"/>
      <c r="B116" s="115" t="s">
        <v>88</v>
      </c>
      <c r="C116" s="115" t="s">
        <v>99</v>
      </c>
      <c r="D116" s="129">
        <v>7724.23</v>
      </c>
      <c r="E116" s="130">
        <v>16</v>
      </c>
      <c r="F116" s="130">
        <v>9</v>
      </c>
      <c r="G116" s="119">
        <f t="shared" si="40"/>
      </c>
      <c r="H116" s="131">
        <v>20</v>
      </c>
      <c r="I116" s="131">
        <v>12</v>
      </c>
      <c r="J116" s="132">
        <v>12969.2</v>
      </c>
      <c r="K116" s="131">
        <v>1</v>
      </c>
      <c r="L116" s="132">
        <v>1088.3999999999996</v>
      </c>
      <c r="M116" s="120">
        <f t="shared" si="60"/>
      </c>
      <c r="N116" s="119">
        <f t="shared" si="78"/>
      </c>
      <c r="O116" s="119">
        <f t="shared" si="0"/>
      </c>
      <c r="P116" s="123">
        <f t="shared" si="20"/>
      </c>
      <c r="Q116" s="119">
        <f t="shared" si="38"/>
      </c>
      <c r="R116" s="124">
        <f t="shared" si="39"/>
      </c>
      <c r="S116" s="134">
        <f t="shared" si="141"/>
      </c>
      <c r="T116" s="125">
        <f t="shared" si="161"/>
      </c>
      <c r="U116" s="138">
        <f t="shared" si="179"/>
      </c>
      <c r="V116" s="138">
        <f t="shared" si="180"/>
      </c>
      <c r="W116" s="126">
        <f t="shared" si="202"/>
      </c>
      <c r="X116" s="126">
        <f t="shared" si="181"/>
      </c>
      <c r="Y116" s="126">
        <f t="shared" si="128"/>
      </c>
      <c r="Z116" s="120">
        <v>24653</v>
      </c>
      <c r="AA116" s="131">
        <v>731</v>
      </c>
      <c r="AB116" s="131">
        <v>152</v>
      </c>
      <c r="AC116" s="131">
        <v>184</v>
      </c>
      <c r="AD116" s="131">
        <v>20</v>
      </c>
      <c r="AE116" s="136">
        <f t="shared" si="98"/>
      </c>
    </row>
    <row hidden="true" r="117">
      <c r="A117" s="114"/>
      <c r="B117" s="115" t="s">
        <v>89</v>
      </c>
      <c r="C117" s="115" t="s">
        <v>99</v>
      </c>
      <c r="D117" s="129">
        <v>6968.53</v>
      </c>
      <c r="E117" s="130">
        <v>18</v>
      </c>
      <c r="F117" s="130">
        <v>7</v>
      </c>
      <c r="G117" s="119">
        <f t="shared" si="40"/>
      </c>
      <c r="H117" s="131">
        <v>19</v>
      </c>
      <c r="I117" s="131">
        <v>6</v>
      </c>
      <c r="J117" s="132">
        <v>5068.800000000003</v>
      </c>
      <c r="K117" s="131">
        <v>1</v>
      </c>
      <c r="L117" s="132">
        <v>1088.4000000000015</v>
      </c>
      <c r="M117" s="120">
        <f t="shared" si="60"/>
      </c>
      <c r="N117" s="119">
        <f t="shared" si="78"/>
      </c>
      <c r="O117" s="137">
        <f t="shared" si="0"/>
      </c>
      <c r="P117" s="123">
        <f t="shared" si="20"/>
      </c>
      <c r="Q117" s="119">
        <f t="shared" si="38"/>
      </c>
      <c r="R117" s="134">
        <f t="shared" si="39"/>
      </c>
      <c r="S117" s="134">
        <f t="shared" si="141"/>
      </c>
      <c r="T117" s="125">
        <f t="shared" si="161"/>
      </c>
      <c r="U117" s="126">
        <f t="shared" si="179"/>
      </c>
      <c r="V117" s="127">
        <f t="shared" si="180"/>
      </c>
      <c r="W117" s="138">
        <f t="shared" si="202"/>
      </c>
      <c r="X117" s="126">
        <f t="shared" si="181"/>
      </c>
      <c r="Y117" s="139">
        <f t="shared" si="128"/>
      </c>
      <c r="Z117" s="120">
        <v>22444</v>
      </c>
      <c r="AA117" s="131">
        <v>525</v>
      </c>
      <c r="AB117" s="131">
        <v>104</v>
      </c>
      <c r="AC117" s="131">
        <v>159</v>
      </c>
      <c r="AD117" s="131">
        <v>19</v>
      </c>
      <c r="AE117" s="136">
        <f t="shared" si="98"/>
      </c>
    </row>
    <row hidden="true" r="118">
      <c r="A118" s="114"/>
      <c r="B118" s="115" t="s">
        <v>91</v>
      </c>
      <c r="C118" s="115" t="s">
        <v>99</v>
      </c>
      <c r="D118" s="116">
        <v>9025.12</v>
      </c>
      <c r="E118" s="117">
        <v>15</v>
      </c>
      <c r="F118" s="117">
        <v>8</v>
      </c>
      <c r="G118" s="119">
        <f t="shared" si="40"/>
      </c>
      <c r="H118" s="120">
        <v>17</v>
      </c>
      <c r="I118" s="120">
        <v>4</v>
      </c>
      <c r="J118" s="121">
        <v>3020.4000000000087</v>
      </c>
      <c r="K118" s="120">
        <v>5</v>
      </c>
      <c r="L118" s="121">
        <v>4516.4</v>
      </c>
      <c r="M118" s="120">
        <f t="shared" si="60"/>
      </c>
      <c r="N118" s="119">
        <f t="shared" si="78"/>
      </c>
      <c r="O118" s="119">
        <f t="shared" si="0"/>
      </c>
      <c r="P118" s="123">
        <f t="shared" si="20"/>
      </c>
      <c r="Q118" s="119">
        <f t="shared" si="38"/>
      </c>
      <c r="R118" s="134">
        <f t="shared" si="39"/>
      </c>
      <c r="S118" s="134">
        <f t="shared" si="141"/>
      </c>
      <c r="T118" s="125">
        <f t="shared" si="161"/>
      </c>
      <c r="U118" s="126">
        <f t="shared" si="179"/>
      </c>
      <c r="V118" s="127">
        <f t="shared" si="180"/>
      </c>
      <c r="W118" s="138">
        <f t="shared" si="202"/>
      </c>
      <c r="X118" s="126">
        <f t="shared" si="181"/>
      </c>
      <c r="Y118" s="140">
        <f t="shared" si="128"/>
      </c>
      <c r="Z118" s="120">
        <v>32488</v>
      </c>
      <c r="AA118" s="120">
        <v>607</v>
      </c>
      <c r="AB118" s="120">
        <v>100</v>
      </c>
      <c r="AC118" s="120">
        <v>179</v>
      </c>
      <c r="AD118" s="120">
        <v>17</v>
      </c>
      <c r="AE118" s="136">
        <f t="shared" si="98"/>
      </c>
    </row>
    <row hidden="true" r="119">
      <c r="A119" s="114"/>
      <c r="B119" s="141" t="s">
        <v>90</v>
      </c>
      <c r="C119" s="141"/>
      <c r="D119" s="142">
        <f>SUM(D114:D118)</f>
      </c>
      <c r="E119" s="143">
        <f>SUM(E114:E118)</f>
      </c>
      <c r="F119" s="143">
        <f>SUM(F114:F118)</f>
      </c>
      <c r="G119" s="143">
        <f t="shared" si="40"/>
      </c>
      <c r="H119" s="143">
        <f>SUM(H114:H118)</f>
      </c>
      <c r="I119" s="143">
        <f>SUM(I114:I118)</f>
      </c>
      <c r="J119" s="144">
        <f>SUM(J114:J118)</f>
      </c>
      <c r="K119" s="143">
        <f>SUM(K114:K118)</f>
      </c>
      <c r="L119" s="144">
        <f>SUM(L114:L118)</f>
      </c>
      <c r="M119" s="143">
        <f>SUM(M114:M118)</f>
      </c>
      <c r="N119" s="143">
        <f t="shared" si="78"/>
      </c>
      <c r="O119" s="143">
        <f t="shared" si="0"/>
      </c>
      <c r="P119" s="145">
        <f>SUM(P114:P118)</f>
      </c>
      <c r="Q119" s="143">
        <f t="shared" si="38"/>
      </c>
      <c r="R119" s="146">
        <f t="shared" si="39"/>
      </c>
      <c r="S119" s="146">
        <f t="shared" si="141"/>
      </c>
      <c r="T119" s="147">
        <f>(T118+T115+T117+T116+T114)/5</f>
      </c>
      <c r="U119" s="148">
        <f t="shared" si="179"/>
      </c>
      <c r="V119" s="148">
        <f t="shared" si="180"/>
      </c>
      <c r="W119" s="148">
        <f t="shared" si="202"/>
      </c>
      <c r="X119" s="148">
        <f t="shared" si="181"/>
      </c>
      <c r="Y119" s="148">
        <f t="shared" si="128"/>
      </c>
      <c r="Z119" s="143">
        <f>SUM(Z114:Z118)</f>
      </c>
      <c r="AA119" s="143">
        <f>SUM(AA114:AA118)</f>
      </c>
      <c r="AB119" s="143">
        <f>SUM(AB114:AB118)</f>
      </c>
      <c r="AC119" s="143">
        <f>SUM(AC114:AC118)</f>
      </c>
      <c r="AD119" s="143">
        <f>SUM(AD114:AD118)</f>
      </c>
      <c r="AE119" s="143">
        <f>SUM(AE114:AE118)</f>
      </c>
    </row>
    <row hidden="true" r="120">
      <c r="A120" s="114"/>
      <c r="B120" s="154" t="s">
        <v>96</v>
      </c>
      <c r="C120" s="154"/>
      <c r="D120" s="155">
        <f>D119</f>
      </c>
      <c r="E120" s="156">
        <f>E119</f>
      </c>
      <c r="F120" s="156">
        <f>F119</f>
      </c>
      <c r="G120" s="157">
        <f t="shared" si="40"/>
      </c>
      <c r="H120" s="156">
        <f>H119</f>
      </c>
      <c r="I120" s="156">
        <f>I119</f>
      </c>
      <c r="J120" s="159">
        <f>J119</f>
      </c>
      <c r="K120" s="156">
        <f>K119</f>
      </c>
      <c r="L120" s="159">
        <f>L119</f>
      </c>
      <c r="M120" s="156">
        <f>M119</f>
      </c>
      <c r="N120" s="157">
        <f t="shared" si="78"/>
      </c>
      <c r="O120" s="164">
        <f t="shared" si="0"/>
      </c>
      <c r="P120" s="155">
        <f>P119</f>
      </c>
      <c r="Q120" s="157">
        <f t="shared" si="38"/>
      </c>
      <c r="R120" s="160">
        <f t="shared" si="39"/>
      </c>
      <c r="S120" s="160">
        <f t="shared" si="141"/>
      </c>
      <c r="T120" s="161">
        <f>T119</f>
      </c>
      <c r="U120" s="162">
        <f t="shared" si="179"/>
      </c>
      <c r="V120" s="163">
        <f t="shared" si="180"/>
      </c>
      <c r="W120" s="162">
        <f t="shared" si="202"/>
      </c>
      <c r="X120" s="162">
        <f t="shared" si="181"/>
      </c>
      <c r="Y120" s="162">
        <f t="shared" si="128"/>
      </c>
      <c r="Z120" s="155">
        <f>Z119</f>
      </c>
      <c r="AA120" s="155">
        <f>AA119</f>
      </c>
      <c r="AB120" s="155">
        <f>AB119</f>
      </c>
      <c r="AC120" s="155">
        <f>AC119</f>
      </c>
      <c r="AD120" s="155">
        <f>AD119</f>
      </c>
      <c r="AE120" s="155">
        <f>AE119</f>
      </c>
    </row>
    <row hidden="true" r="121">
      <c r="A121" s="114">
        <v>46250</v>
      </c>
      <c r="B121" s="115" t="s">
        <v>85</v>
      </c>
      <c r="C121" s="115" t="s">
        <v>99</v>
      </c>
      <c r="D121" s="116">
        <v>4822.23</v>
      </c>
      <c r="E121" s="117">
        <v>12</v>
      </c>
      <c r="F121" s="117">
        <v>3</v>
      </c>
      <c r="G121" s="119">
        <f t="shared" si="40"/>
      </c>
      <c r="H121" s="131">
        <v>16</v>
      </c>
      <c r="I121" s="131">
        <v>4</v>
      </c>
      <c r="J121" s="132">
        <v>4094.4000000000005</v>
      </c>
      <c r="K121" s="131">
        <v>2</v>
      </c>
      <c r="L121" s="132">
        <v>3775.2000000000003</v>
      </c>
      <c r="M121" s="120">
        <f t="shared" ref="M121:M125" si="61">K121+I121</f>
      </c>
      <c r="N121" s="119">
        <f t="shared" si="78"/>
      </c>
      <c r="O121" s="119">
        <f t="shared" si="0"/>
      </c>
      <c r="P121" s="123">
        <f t="shared" ref="P121:P125" si="21">J121+L121</f>
      </c>
      <c r="Q121" s="119">
        <f t="shared" si="38"/>
      </c>
      <c r="R121" s="124">
        <f t="shared" si="39"/>
      </c>
      <c r="S121" s="124">
        <f t="shared" si="141"/>
      </c>
      <c r="T121" s="125">
        <f t="shared" ref="T121:T125" si="162">AA121/60</f>
      </c>
      <c r="U121" s="126">
        <f t="shared" si="179"/>
      </c>
      <c r="V121" s="127">
        <f t="shared" si="180"/>
      </c>
      <c r="W121" s="126">
        <f t="shared" si="202"/>
      </c>
      <c r="X121" s="126">
        <f t="shared" si="181"/>
      </c>
      <c r="Y121" s="126">
        <f t="shared" si="128"/>
      </c>
      <c r="Z121" s="120">
        <v>15154</v>
      </c>
      <c r="AA121" s="120">
        <v>756</v>
      </c>
      <c r="AB121" s="120">
        <v>85</v>
      </c>
      <c r="AC121" s="120">
        <v>109</v>
      </c>
      <c r="AD121" s="120">
        <v>16</v>
      </c>
      <c r="AE121" s="136">
        <f t="shared" ref="AE121:AE125" si="99">COUNT(AD121)</f>
      </c>
    </row>
    <row hidden="true" r="122">
      <c r="A122" s="114"/>
      <c r="B122" s="115" t="s">
        <v>87</v>
      </c>
      <c r="C122" s="115" t="s">
        <v>99</v>
      </c>
      <c r="D122" s="129">
        <v>5202.42</v>
      </c>
      <c r="E122" s="130">
        <v>14</v>
      </c>
      <c r="F122" s="130">
        <v>5</v>
      </c>
      <c r="G122" s="119">
        <f t="shared" si="40"/>
      </c>
      <c r="H122" s="131">
        <v>17</v>
      </c>
      <c r="I122" s="131">
        <v>5</v>
      </c>
      <c r="J122" s="132">
        <v>5722.8</v>
      </c>
      <c r="K122" s="131">
        <v>3</v>
      </c>
      <c r="L122" s="132">
        <v>3776.399999999999</v>
      </c>
      <c r="M122" s="120">
        <f t="shared" si="61"/>
      </c>
      <c r="N122" s="119">
        <f t="shared" si="78"/>
      </c>
      <c r="O122" s="119">
        <f t="shared" si="0"/>
      </c>
      <c r="P122" s="123">
        <f t="shared" si="21"/>
      </c>
      <c r="Q122" s="119">
        <f t="shared" si="38"/>
      </c>
      <c r="R122" s="124">
        <f t="shared" si="39"/>
      </c>
      <c r="S122" s="134">
        <f t="shared" si="141"/>
      </c>
      <c r="T122" s="125">
        <f t="shared" si="162"/>
      </c>
      <c r="U122" s="126">
        <f t="shared" si="179"/>
      </c>
      <c r="V122" s="127">
        <f t="shared" si="180"/>
      </c>
      <c r="W122" s="126">
        <f t="shared" si="202"/>
      </c>
      <c r="X122" s="126">
        <f t="shared" si="181"/>
      </c>
      <c r="Y122" s="126">
        <f t="shared" si="128"/>
      </c>
      <c r="Z122" s="120">
        <v>15597</v>
      </c>
      <c r="AA122" s="131">
        <v>606</v>
      </c>
      <c r="AB122" s="131">
        <v>95</v>
      </c>
      <c r="AC122" s="131">
        <v>107</v>
      </c>
      <c r="AD122" s="131">
        <v>17</v>
      </c>
      <c r="AE122" s="136">
        <f t="shared" si="99"/>
      </c>
    </row>
    <row hidden="true" r="123">
      <c r="A123" s="114"/>
      <c r="B123" s="115" t="s">
        <v>88</v>
      </c>
      <c r="C123" s="115" t="s">
        <v>99</v>
      </c>
      <c r="D123" s="129">
        <v>4728.1</v>
      </c>
      <c r="E123" s="130">
        <v>8</v>
      </c>
      <c r="F123" s="130">
        <v>4</v>
      </c>
      <c r="G123" s="119">
        <f t="shared" si="40"/>
      </c>
      <c r="H123" s="131">
        <v>8</v>
      </c>
      <c r="I123" s="131">
        <v>2</v>
      </c>
      <c r="J123" s="132">
        <v>2266.7999999999993</v>
      </c>
      <c r="K123" s="131">
        <v>2</v>
      </c>
      <c r="L123" s="132">
        <v>3290.9000000000005</v>
      </c>
      <c r="M123" s="120">
        <f t="shared" si="61"/>
      </c>
      <c r="N123" s="119">
        <f t="shared" si="78"/>
      </c>
      <c r="O123" s="119">
        <f t="shared" si="0"/>
      </c>
      <c r="P123" s="123">
        <f t="shared" si="21"/>
      </c>
      <c r="Q123" s="119">
        <f t="shared" si="38"/>
      </c>
      <c r="R123" s="124">
        <f t="shared" si="39"/>
      </c>
      <c r="S123" s="134">
        <f t="shared" si="141"/>
      </c>
      <c r="T123" s="125">
        <f t="shared" si="162"/>
      </c>
      <c r="U123" s="138">
        <f t="shared" si="179"/>
      </c>
      <c r="V123" s="138">
        <f t="shared" si="180"/>
      </c>
      <c r="W123" s="126">
        <f t="shared" si="202"/>
      </c>
      <c r="X123" s="126">
        <f t="shared" si="181"/>
      </c>
      <c r="Y123" s="126">
        <f t="shared" si="128"/>
      </c>
      <c r="Z123" s="120">
        <v>15694</v>
      </c>
      <c r="AA123" s="131">
        <v>595</v>
      </c>
      <c r="AB123" s="131">
        <v>84</v>
      </c>
      <c r="AC123" s="131">
        <v>85</v>
      </c>
      <c r="AD123" s="131">
        <v>8</v>
      </c>
      <c r="AE123" s="136">
        <f t="shared" si="99"/>
      </c>
    </row>
    <row hidden="true" r="124">
      <c r="A124" s="114"/>
      <c r="B124" s="115" t="s">
        <v>89</v>
      </c>
      <c r="C124" s="115" t="s">
        <v>99</v>
      </c>
      <c r="D124" s="129">
        <v>4609.04</v>
      </c>
      <c r="E124" s="130">
        <v>6</v>
      </c>
      <c r="F124" s="130">
        <v>4</v>
      </c>
      <c r="G124" s="119">
        <f t="shared" si="40"/>
      </c>
      <c r="H124" s="131">
        <v>7</v>
      </c>
      <c r="I124" s="131">
        <v>2</v>
      </c>
      <c r="J124" s="132">
        <v>2889.5999999999985</v>
      </c>
      <c r="K124" s="131">
        <v>2</v>
      </c>
      <c r="L124" s="132">
        <v>1741.199999999999</v>
      </c>
      <c r="M124" s="120">
        <f t="shared" si="61"/>
      </c>
      <c r="N124" s="119">
        <f t="shared" si="78"/>
      </c>
      <c r="O124" s="137">
        <f t="shared" si="0"/>
      </c>
      <c r="P124" s="123">
        <f t="shared" si="21"/>
      </c>
      <c r="Q124" s="119">
        <f t="shared" si="38"/>
      </c>
      <c r="R124" s="134">
        <f t="shared" si="39"/>
      </c>
      <c r="S124" s="134">
        <f t="shared" si="141"/>
      </c>
      <c r="T124" s="125">
        <f t="shared" si="162"/>
      </c>
      <c r="U124" s="126">
        <f t="shared" si="179"/>
      </c>
      <c r="V124" s="127">
        <f t="shared" si="180"/>
      </c>
      <c r="W124" s="138">
        <f t="shared" si="202"/>
      </c>
      <c r="X124" s="126">
        <f t="shared" si="181"/>
      </c>
      <c r="Y124" s="139">
        <f t="shared" si="128"/>
      </c>
      <c r="Z124" s="120">
        <v>15943</v>
      </c>
      <c r="AA124" s="131">
        <v>583</v>
      </c>
      <c r="AB124" s="131">
        <v>110</v>
      </c>
      <c r="AC124" s="131">
        <v>85</v>
      </c>
      <c r="AD124" s="131">
        <v>7</v>
      </c>
      <c r="AE124" s="136">
        <f t="shared" si="99"/>
      </c>
    </row>
    <row hidden="true" r="125">
      <c r="A125" s="114"/>
      <c r="B125" s="115" t="s">
        <v>91</v>
      </c>
      <c r="C125" s="115" t="s">
        <v>99</v>
      </c>
      <c r="D125" s="116">
        <v>4170.4</v>
      </c>
      <c r="E125" s="117">
        <v>10</v>
      </c>
      <c r="F125" s="117">
        <v>6</v>
      </c>
      <c r="G125" s="119">
        <f t="shared" si="40"/>
      </c>
      <c r="H125" s="120">
        <v>12</v>
      </c>
      <c r="I125" s="120">
        <v>3</v>
      </c>
      <c r="J125" s="121">
        <v>2552.4000000000015</v>
      </c>
      <c r="K125" s="120">
        <v>3</v>
      </c>
      <c r="L125" s="121">
        <v>3482.400000000005</v>
      </c>
      <c r="M125" s="120">
        <f t="shared" si="61"/>
      </c>
      <c r="N125" s="119">
        <f t="shared" si="78"/>
      </c>
      <c r="O125" s="119">
        <f t="shared" si="0"/>
      </c>
      <c r="P125" s="123">
        <f t="shared" si="21"/>
      </c>
      <c r="Q125" s="119">
        <f t="shared" si="38"/>
      </c>
      <c r="R125" s="134">
        <f t="shared" si="39"/>
      </c>
      <c r="S125" s="134">
        <f t="shared" si="141"/>
      </c>
      <c r="T125" s="125">
        <f t="shared" si="162"/>
      </c>
      <c r="U125" s="126">
        <f t="shared" si="179"/>
      </c>
      <c r="V125" s="127">
        <f t="shared" si="180"/>
      </c>
      <c r="W125" s="138">
        <f t="shared" si="202"/>
      </c>
      <c r="X125" s="126">
        <f t="shared" si="181"/>
      </c>
      <c r="Y125" s="140">
        <f t="shared" si="128"/>
      </c>
      <c r="Z125" s="120">
        <v>14005</v>
      </c>
      <c r="AA125" s="120">
        <v>474</v>
      </c>
      <c r="AB125" s="120">
        <v>97</v>
      </c>
      <c r="AC125" s="120">
        <v>69</v>
      </c>
      <c r="AD125" s="120">
        <v>12</v>
      </c>
      <c r="AE125" s="136">
        <f t="shared" si="99"/>
      </c>
    </row>
    <row hidden="true" r="126">
      <c r="A126" s="114"/>
      <c r="B126" s="141" t="s">
        <v>90</v>
      </c>
      <c r="C126" s="141"/>
      <c r="D126" s="142">
        <f>SUM(D121:D125)</f>
      </c>
      <c r="E126" s="143">
        <f>SUM(E121:E125)</f>
      </c>
      <c r="F126" s="143">
        <f>SUM(F121:F125)</f>
      </c>
      <c r="G126" s="143">
        <f t="shared" si="40"/>
      </c>
      <c r="H126" s="143">
        <f>SUM(H121:H125)</f>
      </c>
      <c r="I126" s="143">
        <f>SUM(I121:I125)</f>
      </c>
      <c r="J126" s="144">
        <f>SUM(J121:J125)</f>
      </c>
      <c r="K126" s="143">
        <f>SUM(K121:K125)</f>
      </c>
      <c r="L126" s="144">
        <f>SUM(L121:L125)</f>
      </c>
      <c r="M126" s="143">
        <f>SUM(M121:M125)</f>
      </c>
      <c r="N126" s="143">
        <f t="shared" si="78"/>
      </c>
      <c r="O126" s="143">
        <f t="shared" si="0"/>
      </c>
      <c r="P126" s="145">
        <f>SUM(P121:P125)</f>
      </c>
      <c r="Q126" s="143">
        <f t="shared" si="38"/>
      </c>
      <c r="R126" s="146">
        <f t="shared" si="39"/>
      </c>
      <c r="S126" s="146">
        <f t="shared" si="141"/>
      </c>
      <c r="T126" s="147">
        <f>(T125+T122+T124+T123+T121)/5</f>
      </c>
      <c r="U126" s="148">
        <f t="shared" si="179"/>
      </c>
      <c r="V126" s="148">
        <f t="shared" si="180"/>
      </c>
      <c r="W126" s="148">
        <f t="shared" si="202"/>
      </c>
      <c r="X126" s="148">
        <f t="shared" si="181"/>
      </c>
      <c r="Y126" s="148">
        <f t="shared" si="128"/>
      </c>
      <c r="Z126" s="143">
        <f>SUM(Z121:Z125)</f>
      </c>
      <c r="AA126" s="143">
        <f>SUM(AA121:AA125)</f>
      </c>
      <c r="AB126" s="143">
        <f>SUM(AB121:AB125)</f>
      </c>
      <c r="AC126" s="143">
        <f>SUM(AC121:AC125)</f>
      </c>
      <c r="AD126" s="143">
        <f>SUM(AD121:AD125)</f>
      </c>
      <c r="AE126" s="143">
        <f>SUM(AE121:AE125)</f>
      </c>
    </row>
    <row hidden="true" r="127">
      <c r="A127" s="114"/>
      <c r="B127" s="154" t="s">
        <v>96</v>
      </c>
      <c r="C127" s="154"/>
      <c r="D127" s="155">
        <f>D126</f>
      </c>
      <c r="E127" s="156">
        <f>E126</f>
      </c>
      <c r="F127" s="156">
        <f>F126</f>
      </c>
      <c r="G127" s="157">
        <f t="shared" si="40"/>
      </c>
      <c r="H127" s="156">
        <f>H126</f>
      </c>
      <c r="I127" s="156">
        <f>I126</f>
      </c>
      <c r="J127" s="159">
        <f>J126</f>
      </c>
      <c r="K127" s="156">
        <f>K126</f>
      </c>
      <c r="L127" s="159">
        <f>L126</f>
      </c>
      <c r="M127" s="156">
        <f>M126</f>
      </c>
      <c r="N127" s="157">
        <f t="shared" si="78"/>
      </c>
      <c r="O127" s="164">
        <f t="shared" si="0"/>
      </c>
      <c r="P127" s="155">
        <f>P126</f>
      </c>
      <c r="Q127" s="157">
        <f t="shared" si="38"/>
      </c>
      <c r="R127" s="160">
        <f t="shared" si="39"/>
      </c>
      <c r="S127" s="160">
        <f t="shared" si="141"/>
      </c>
      <c r="T127" s="161">
        <f>T126</f>
      </c>
      <c r="U127" s="162">
        <f t="shared" si="179"/>
      </c>
      <c r="V127" s="163">
        <f t="shared" si="180"/>
      </c>
      <c r="W127" s="162">
        <f t="shared" si="202"/>
      </c>
      <c r="X127" s="162">
        <f t="shared" si="181"/>
      </c>
      <c r="Y127" s="162">
        <f t="shared" si="128"/>
      </c>
      <c r="Z127" s="155">
        <f>Z126</f>
      </c>
      <c r="AA127" s="155">
        <f>AA126</f>
      </c>
      <c r="AB127" s="155">
        <f>AB126</f>
      </c>
      <c r="AC127" s="155">
        <f>AC126</f>
      </c>
      <c r="AD127" s="155">
        <f>AD126</f>
      </c>
      <c r="AE127" s="155">
        <f>AE126</f>
      </c>
    </row>
    <row hidden="true" r="128">
      <c r="A128" s="114">
        <v>46251</v>
      </c>
      <c r="B128" s="115" t="s">
        <v>85</v>
      </c>
      <c r="C128" s="115" t="s">
        <v>99</v>
      </c>
      <c r="D128" s="116">
        <v>8255.82</v>
      </c>
      <c r="E128" s="117">
        <v>17</v>
      </c>
      <c r="F128" s="117">
        <v>8</v>
      </c>
      <c r="G128" s="119">
        <f t="shared" si="40"/>
      </c>
      <c r="H128" s="131">
        <v>18</v>
      </c>
      <c r="I128" s="131">
        <v>5</v>
      </c>
      <c r="J128" s="132">
        <v>4276.799999999999</v>
      </c>
      <c r="K128" s="131">
        <v>4</v>
      </c>
      <c r="L128" s="132">
        <v>8384.400000000001</v>
      </c>
      <c r="M128" s="120">
        <f t="shared" ref="M128:M132" si="62">K128+I128</f>
      </c>
      <c r="N128" s="119">
        <f t="shared" si="78"/>
      </c>
      <c r="O128" s="119">
        <f t="shared" si="0"/>
      </c>
      <c r="P128" s="123">
        <f t="shared" ref="P128:P132" si="22">J128+L128</f>
      </c>
      <c r="Q128" s="119">
        <f t="shared" si="38"/>
      </c>
      <c r="R128" s="124">
        <f t="shared" si="39"/>
      </c>
      <c r="S128" s="124">
        <f t="shared" si="141"/>
      </c>
      <c r="T128" s="125">
        <f t="shared" ref="T128:T132" si="163">AA128/60</f>
      </c>
      <c r="U128" s="126">
        <f t="shared" si="179"/>
      </c>
      <c r="V128" s="127">
        <f t="shared" si="180"/>
      </c>
      <c r="W128" s="126">
        <f t="shared" si="202"/>
      </c>
      <c r="X128" s="126">
        <f t="shared" si="181"/>
      </c>
      <c r="Y128" s="126">
        <f t="shared" si="128"/>
      </c>
      <c r="Z128" s="120">
        <v>30457</v>
      </c>
      <c r="AA128" s="120">
        <v>1124</v>
      </c>
      <c r="AB128" s="120">
        <v>140</v>
      </c>
      <c r="AC128" s="120">
        <v>150</v>
      </c>
      <c r="AD128" s="120">
        <v>18</v>
      </c>
      <c r="AE128" s="136">
        <f t="shared" ref="AE128:AE132" si="100">COUNT(AD128)</f>
      </c>
    </row>
    <row hidden="true" r="129">
      <c r="A129" s="114"/>
      <c r="B129" s="115" t="s">
        <v>87</v>
      </c>
      <c r="C129" s="115" t="s">
        <v>99</v>
      </c>
      <c r="D129" s="129">
        <v>6639.02</v>
      </c>
      <c r="E129" s="130">
        <v>17</v>
      </c>
      <c r="F129" s="130">
        <v>4</v>
      </c>
      <c r="G129" s="119">
        <f t="shared" si="40"/>
      </c>
      <c r="H129" s="131">
        <v>18</v>
      </c>
      <c r="I129" s="131">
        <v>3</v>
      </c>
      <c r="J129" s="132">
        <v>2124</v>
      </c>
      <c r="K129" s="131">
        <v>2</v>
      </c>
      <c r="L129" s="132">
        <v>2176.7999999999993</v>
      </c>
      <c r="M129" s="120">
        <f t="shared" si="62"/>
      </c>
      <c r="N129" s="119">
        <f t="shared" si="78"/>
      </c>
      <c r="O129" s="119">
        <f t="shared" si="0"/>
      </c>
      <c r="P129" s="123">
        <f t="shared" si="22"/>
      </c>
      <c r="Q129" s="119">
        <f t="shared" si="38"/>
      </c>
      <c r="R129" s="124">
        <f t="shared" si="39"/>
      </c>
      <c r="S129" s="134">
        <f t="shared" si="141"/>
      </c>
      <c r="T129" s="125">
        <f t="shared" si="163"/>
      </c>
      <c r="U129" s="126">
        <f t="shared" si="179"/>
      </c>
      <c r="V129" s="127">
        <f t="shared" si="180"/>
      </c>
      <c r="W129" s="126">
        <f t="shared" si="202"/>
      </c>
      <c r="X129" s="126">
        <f t="shared" si="181"/>
      </c>
      <c r="Y129" s="126">
        <f t="shared" si="128"/>
      </c>
      <c r="Z129" s="120">
        <v>27994</v>
      </c>
      <c r="AA129" s="131">
        <v>911</v>
      </c>
      <c r="AB129" s="131">
        <v>124</v>
      </c>
      <c r="AC129" s="131">
        <v>138</v>
      </c>
      <c r="AD129" s="131">
        <v>18</v>
      </c>
      <c r="AE129" s="136">
        <f t="shared" si="100"/>
      </c>
    </row>
    <row hidden="true" r="130">
      <c r="A130" s="114"/>
      <c r="B130" s="115" t="s">
        <v>88</v>
      </c>
      <c r="C130" s="115" t="s">
        <v>99</v>
      </c>
      <c r="D130" s="129">
        <v>8575.47</v>
      </c>
      <c r="E130" s="130">
        <v>15</v>
      </c>
      <c r="F130" s="130">
        <v>7</v>
      </c>
      <c r="G130" s="119">
        <f t="shared" si="40"/>
      </c>
      <c r="H130" s="131">
        <v>18</v>
      </c>
      <c r="I130" s="131">
        <v>6</v>
      </c>
      <c r="J130" s="132">
        <v>6208</v>
      </c>
      <c r="K130" s="131">
        <v>3</v>
      </c>
      <c r="L130" s="132">
        <v>6739.600000000002</v>
      </c>
      <c r="M130" s="120">
        <f t="shared" si="62"/>
      </c>
      <c r="N130" s="119">
        <f t="shared" si="78"/>
      </c>
      <c r="O130" s="119">
        <f t="shared" si="0"/>
      </c>
      <c r="P130" s="123">
        <f t="shared" si="22"/>
      </c>
      <c r="Q130" s="119">
        <f t="shared" si="38"/>
      </c>
      <c r="R130" s="124">
        <f t="shared" si="39"/>
      </c>
      <c r="S130" s="134">
        <f t="shared" si="141"/>
      </c>
      <c r="T130" s="125">
        <f t="shared" si="163"/>
      </c>
      <c r="U130" s="138">
        <f t="shared" si="179"/>
      </c>
      <c r="V130" s="138">
        <f t="shared" si="180"/>
      </c>
      <c r="W130" s="126">
        <f t="shared" si="202"/>
      </c>
      <c r="X130" s="126">
        <f t="shared" si="181"/>
      </c>
      <c r="Y130" s="126">
        <f t="shared" si="128"/>
      </c>
      <c r="Z130" s="120">
        <v>32707</v>
      </c>
      <c r="AA130" s="131">
        <v>1015</v>
      </c>
      <c r="AB130" s="131">
        <v>155</v>
      </c>
      <c r="AC130" s="131">
        <v>165</v>
      </c>
      <c r="AD130" s="131">
        <v>18</v>
      </c>
      <c r="AE130" s="136">
        <f t="shared" si="100"/>
      </c>
    </row>
    <row hidden="true" r="131">
      <c r="A131" s="114"/>
      <c r="B131" s="115" t="s">
        <v>89</v>
      </c>
      <c r="C131" s="115" t="s">
        <v>99</v>
      </c>
      <c r="D131" s="129">
        <v>8275.98</v>
      </c>
      <c r="E131" s="130">
        <v>13</v>
      </c>
      <c r="F131" s="130">
        <v>9</v>
      </c>
      <c r="G131" s="119">
        <f t="shared" si="40"/>
      </c>
      <c r="H131" s="131">
        <v>16</v>
      </c>
      <c r="I131" s="131">
        <v>10</v>
      </c>
      <c r="J131" s="132">
        <v>10519.199999999997</v>
      </c>
      <c r="K131" s="131">
        <v>1</v>
      </c>
      <c r="L131" s="132">
        <v>652.7999999999993</v>
      </c>
      <c r="M131" s="120">
        <f t="shared" si="62"/>
      </c>
      <c r="N131" s="119">
        <f t="shared" si="78"/>
      </c>
      <c r="O131" s="137">
        <f t="shared" si="0"/>
      </c>
      <c r="P131" s="123">
        <f t="shared" si="22"/>
      </c>
      <c r="Q131" s="119">
        <f t="shared" si="38"/>
      </c>
      <c r="R131" s="134">
        <f t="shared" si="39"/>
      </c>
      <c r="S131" s="134">
        <f t="shared" si="141"/>
      </c>
      <c r="T131" s="125">
        <f t="shared" si="163"/>
      </c>
      <c r="U131" s="126">
        <f t="shared" si="179"/>
      </c>
      <c r="V131" s="127">
        <f t="shared" si="180"/>
      </c>
      <c r="W131" s="138">
        <f t="shared" si="202"/>
      </c>
      <c r="X131" s="126">
        <f t="shared" si="181"/>
      </c>
      <c r="Y131" s="139">
        <f t="shared" si="128"/>
      </c>
      <c r="Z131" s="120">
        <v>29559</v>
      </c>
      <c r="AA131" s="131">
        <v>1019</v>
      </c>
      <c r="AB131" s="131">
        <v>126</v>
      </c>
      <c r="AC131" s="131">
        <v>149</v>
      </c>
      <c r="AD131" s="131">
        <v>16</v>
      </c>
      <c r="AE131" s="136">
        <f t="shared" si="100"/>
      </c>
    </row>
    <row hidden="true" r="132">
      <c r="A132" s="114"/>
      <c r="B132" s="115" t="s">
        <v>91</v>
      </c>
      <c r="C132" s="115" t="s">
        <v>99</v>
      </c>
      <c r="D132" s="116">
        <v>7232.8</v>
      </c>
      <c r="E132" s="117">
        <v>10</v>
      </c>
      <c r="F132" s="117">
        <v>4</v>
      </c>
      <c r="G132" s="119">
        <f t="shared" si="40"/>
      </c>
      <c r="H132" s="120">
        <v>11</v>
      </c>
      <c r="I132" s="120">
        <v>2</v>
      </c>
      <c r="J132" s="121">
        <v>1785.6000000000022</v>
      </c>
      <c r="K132" s="120">
        <v>3</v>
      </c>
      <c r="L132" s="121">
        <v>3776.4000000000015</v>
      </c>
      <c r="M132" s="120">
        <f t="shared" si="62"/>
      </c>
      <c r="N132" s="119">
        <f t="shared" si="78"/>
      </c>
      <c r="O132" s="119">
        <f t="shared" si="0"/>
      </c>
      <c r="P132" s="123">
        <f t="shared" si="22"/>
      </c>
      <c r="Q132" s="119">
        <f t="shared" si="38"/>
      </c>
      <c r="R132" s="134">
        <f t="shared" si="39"/>
      </c>
      <c r="S132" s="134">
        <f t="shared" si="141"/>
      </c>
      <c r="T132" s="125">
        <f t="shared" si="163"/>
      </c>
      <c r="U132" s="126">
        <f t="shared" si="179"/>
      </c>
      <c r="V132" s="127">
        <f t="shared" si="180"/>
      </c>
      <c r="W132" s="138">
        <f t="shared" si="202"/>
      </c>
      <c r="X132" s="126">
        <f t="shared" si="181"/>
      </c>
      <c r="Y132" s="140">
        <f t="shared" si="128"/>
      </c>
      <c r="Z132" s="120">
        <v>34787</v>
      </c>
      <c r="AA132" s="120">
        <v>1203</v>
      </c>
      <c r="AB132" s="120">
        <v>147</v>
      </c>
      <c r="AC132" s="120">
        <v>78</v>
      </c>
      <c r="AD132" s="120">
        <v>11</v>
      </c>
      <c r="AE132" s="136">
        <f t="shared" si="100"/>
      </c>
    </row>
    <row hidden="true" r="133">
      <c r="A133" s="114"/>
      <c r="B133" s="141" t="s">
        <v>90</v>
      </c>
      <c r="C133" s="141"/>
      <c r="D133" s="142">
        <f>SUM(D128:D132)</f>
      </c>
      <c r="E133" s="143">
        <f>SUM(E128:E132)</f>
      </c>
      <c r="F133" s="143">
        <f>SUM(F128:F132)</f>
      </c>
      <c r="G133" s="143">
        <f t="shared" si="40"/>
      </c>
      <c r="H133" s="143">
        <f>SUM(H128:H132)</f>
      </c>
      <c r="I133" s="143">
        <f>SUM(I128:I132)</f>
      </c>
      <c r="J133" s="144">
        <f>SUM(J128:J132)</f>
      </c>
      <c r="K133" s="143">
        <f>SUM(K128:K132)</f>
      </c>
      <c r="L133" s="144">
        <f>SUM(L128:L132)</f>
      </c>
      <c r="M133" s="143">
        <f>SUM(M128:M132)</f>
      </c>
      <c r="N133" s="143">
        <f t="shared" si="78"/>
      </c>
      <c r="O133" s="143">
        <f t="shared" si="0"/>
      </c>
      <c r="P133" s="145">
        <f>SUM(P128:P132)</f>
      </c>
      <c r="Q133" s="143">
        <f t="shared" si="38"/>
      </c>
      <c r="R133" s="146">
        <f t="shared" si="39"/>
      </c>
      <c r="S133" s="146">
        <f t="shared" si="141"/>
      </c>
      <c r="T133" s="147">
        <f>(T132+T129+T131+T130+T128)/5</f>
      </c>
      <c r="U133" s="148">
        <f t="shared" si="179"/>
      </c>
      <c r="V133" s="148">
        <f t="shared" si="180"/>
      </c>
      <c r="W133" s="148">
        <f t="shared" si="202"/>
      </c>
      <c r="X133" s="148">
        <f t="shared" si="181"/>
      </c>
      <c r="Y133" s="148">
        <f t="shared" si="128"/>
      </c>
      <c r="Z133" s="143">
        <f>SUM(Z128:Z132)</f>
      </c>
      <c r="AA133" s="143">
        <f>SUM(AA128:AA132)</f>
      </c>
      <c r="AB133" s="143">
        <f>SUM(AB128:AB132)</f>
      </c>
      <c r="AC133" s="143">
        <f>SUM(AC128:AC132)</f>
      </c>
      <c r="AD133" s="143">
        <f>SUM(AD128:AD132)</f>
      </c>
      <c r="AE133" s="143">
        <f>SUM(AE128:AE132)</f>
      </c>
    </row>
    <row hidden="true" r="134">
      <c r="A134" s="114"/>
      <c r="B134" s="154" t="s">
        <v>96</v>
      </c>
      <c r="C134" s="154"/>
      <c r="D134" s="155">
        <f>D133</f>
      </c>
      <c r="E134" s="156">
        <f>E133</f>
      </c>
      <c r="F134" s="156">
        <f>F133</f>
      </c>
      <c r="G134" s="157">
        <f t="shared" si="40"/>
      </c>
      <c r="H134" s="156">
        <f>H133</f>
      </c>
      <c r="I134" s="156">
        <f>I133</f>
      </c>
      <c r="J134" s="159">
        <f>J133</f>
      </c>
      <c r="K134" s="156">
        <f>K133</f>
      </c>
      <c r="L134" s="159">
        <f>L133</f>
      </c>
      <c r="M134" s="156">
        <f>M133</f>
      </c>
      <c r="N134" s="157">
        <f t="shared" si="78"/>
      </c>
      <c r="O134" s="164">
        <f t="shared" si="0"/>
      </c>
      <c r="P134" s="155">
        <f>P133</f>
      </c>
      <c r="Q134" s="157">
        <f t="shared" si="38"/>
      </c>
      <c r="R134" s="160">
        <f t="shared" si="39"/>
      </c>
      <c r="S134" s="160">
        <f t="shared" si="141"/>
      </c>
      <c r="T134" s="161">
        <f>T133</f>
      </c>
      <c r="U134" s="162">
        <f t="shared" si="179"/>
      </c>
      <c r="V134" s="163">
        <f t="shared" si="180"/>
      </c>
      <c r="W134" s="162">
        <f t="shared" si="202"/>
      </c>
      <c r="X134" s="162">
        <f t="shared" si="181"/>
      </c>
      <c r="Y134" s="162">
        <f t="shared" si="128"/>
      </c>
      <c r="Z134" s="155">
        <f>Z133</f>
      </c>
      <c r="AA134" s="155">
        <f>AA133</f>
      </c>
      <c r="AB134" s="155">
        <f>AB133</f>
      </c>
      <c r="AC134" s="155">
        <f>AC133</f>
      </c>
      <c r="AD134" s="155">
        <f>AD133</f>
      </c>
      <c r="AE134" s="155">
        <f>AE133</f>
      </c>
    </row>
    <row hidden="true" r="135">
      <c r="A135" s="114">
        <v>46252</v>
      </c>
      <c r="B135" s="115" t="s">
        <v>85</v>
      </c>
      <c r="C135" s="115" t="s">
        <v>92</v>
      </c>
      <c r="D135" s="116">
        <v>4462.55</v>
      </c>
      <c r="E135" s="117">
        <v>8</v>
      </c>
      <c r="F135" s="117">
        <v>2</v>
      </c>
      <c r="G135" s="119">
        <f t="shared" si="40"/>
      </c>
      <c r="H135" s="131">
        <v>10</v>
      </c>
      <c r="I135" s="131">
        <v>2</v>
      </c>
      <c r="J135" s="132">
        <v>1723.6</v>
      </c>
      <c r="K135" s="131">
        <v>1</v>
      </c>
      <c r="L135" s="132">
        <v>2587.2</v>
      </c>
      <c r="M135" s="120">
        <f t="shared" ref="M135:M138" si="63">K135+I135</f>
      </c>
      <c r="N135" s="119">
        <f t="shared" si="78"/>
      </c>
      <c r="O135" s="119">
        <f t="shared" si="0"/>
      </c>
      <c r="P135" s="123">
        <f t="shared" ref="P135:P138" si="23">J135+L135</f>
      </c>
      <c r="Q135" s="119">
        <f t="shared" si="38"/>
      </c>
      <c r="R135" s="124">
        <f t="shared" si="39"/>
      </c>
      <c r="S135" s="124">
        <f t="shared" si="141"/>
      </c>
      <c r="T135" s="125">
        <f t="shared" ref="T135:T138" si="164">AA135/60</f>
      </c>
      <c r="U135" s="126">
        <f t="shared" si="179"/>
      </c>
      <c r="V135" s="127">
        <f t="shared" si="180"/>
      </c>
      <c r="W135" s="126">
        <f t="shared" si="202"/>
      </c>
      <c r="X135" s="126">
        <f t="shared" si="181"/>
      </c>
      <c r="Y135" s="126">
        <f t="shared" si="128"/>
      </c>
      <c r="Z135" s="120">
        <v>21342</v>
      </c>
      <c r="AA135" s="120">
        <v>759</v>
      </c>
      <c r="AB135" s="120">
        <v>86</v>
      </c>
      <c r="AC135" s="120">
        <v>89</v>
      </c>
      <c r="AD135" s="120">
        <v>10</v>
      </c>
      <c r="AE135" s="136">
        <f t="shared" ref="AE135:AE138" si="101">COUNT(AD135)</f>
      </c>
    </row>
    <row hidden="true" r="136">
      <c r="A136" s="114"/>
      <c r="B136" s="115" t="s">
        <v>87</v>
      </c>
      <c r="C136" s="115" t="s">
        <v>92</v>
      </c>
      <c r="D136" s="129">
        <v>4919.25</v>
      </c>
      <c r="E136" s="130">
        <v>7</v>
      </c>
      <c r="F136" s="130">
        <v>4</v>
      </c>
      <c r="G136" s="119">
        <f t="shared" si="40"/>
      </c>
      <c r="H136" s="131">
        <v>11</v>
      </c>
      <c r="I136" s="131">
        <v>5</v>
      </c>
      <c r="J136" s="132">
        <v>9274.4</v>
      </c>
      <c r="K136" s="131">
        <v>3</v>
      </c>
      <c r="L136" s="132">
        <v>4900.8</v>
      </c>
      <c r="M136" s="120">
        <f t="shared" si="63"/>
      </c>
      <c r="N136" s="119">
        <f t="shared" si="78"/>
      </c>
      <c r="O136" s="119">
        <f t="shared" si="0"/>
      </c>
      <c r="P136" s="123">
        <f t="shared" si="23"/>
      </c>
      <c r="Q136" s="119">
        <f t="shared" si="38"/>
      </c>
      <c r="R136" s="124">
        <f t="shared" si="39"/>
      </c>
      <c r="S136" s="134">
        <f t="shared" si="141"/>
      </c>
      <c r="T136" s="125">
        <f t="shared" si="164"/>
      </c>
      <c r="U136" s="126">
        <f t="shared" si="179"/>
      </c>
      <c r="V136" s="127">
        <f t="shared" si="180"/>
      </c>
      <c r="W136" s="126">
        <f t="shared" si="202"/>
      </c>
      <c r="X136" s="126">
        <f t="shared" si="181"/>
      </c>
      <c r="Y136" s="126">
        <f t="shared" si="128"/>
      </c>
      <c r="Z136" s="120">
        <v>16482</v>
      </c>
      <c r="AA136" s="131">
        <v>646</v>
      </c>
      <c r="AB136" s="131">
        <v>117</v>
      </c>
      <c r="AC136" s="131">
        <v>87</v>
      </c>
      <c r="AD136" s="131">
        <v>11</v>
      </c>
      <c r="AE136" s="136">
        <f t="shared" si="101"/>
      </c>
    </row>
    <row hidden="true" r="137">
      <c r="A137" s="114"/>
      <c r="B137" s="115" t="s">
        <v>88</v>
      </c>
      <c r="C137" s="115" t="s">
        <v>92</v>
      </c>
      <c r="D137" s="129">
        <v>5189.08</v>
      </c>
      <c r="E137" s="130">
        <v>5</v>
      </c>
      <c r="F137" s="130">
        <v>3</v>
      </c>
      <c r="G137" s="119">
        <f t="shared" si="40"/>
      </c>
      <c r="H137" s="131">
        <v>4</v>
      </c>
      <c r="I137" s="131">
        <v>0</v>
      </c>
      <c r="J137" s="132">
        <v>0</v>
      </c>
      <c r="K137" s="131">
        <v>2</v>
      </c>
      <c r="L137" s="132">
        <v>4068</v>
      </c>
      <c r="M137" s="120">
        <f t="shared" si="63"/>
      </c>
      <c r="N137" s="119">
        <f t="shared" si="78"/>
      </c>
      <c r="O137" s="119">
        <f t="shared" si="0"/>
      </c>
      <c r="P137" s="123">
        <f t="shared" si="23"/>
      </c>
      <c r="Q137" s="119">
        <f t="shared" si="38"/>
      </c>
      <c r="R137" s="124">
        <f t="shared" si="39"/>
      </c>
      <c r="S137" s="134">
        <f t="shared" si="141"/>
      </c>
      <c r="T137" s="125">
        <f t="shared" si="164"/>
      </c>
      <c r="U137" s="138">
        <f t="shared" si="179"/>
      </c>
      <c r="V137" s="138">
        <f t="shared" si="180"/>
      </c>
      <c r="W137" s="126">
        <f t="shared" si="202"/>
      </c>
      <c r="X137" s="126">
        <f t="shared" si="181"/>
      </c>
      <c r="Y137" s="126">
        <f t="shared" si="128"/>
      </c>
      <c r="Z137" s="120">
        <v>15570</v>
      </c>
      <c r="AA137" s="131">
        <v>501</v>
      </c>
      <c r="AB137" s="131">
        <v>81</v>
      </c>
      <c r="AC137" s="131">
        <v>92</v>
      </c>
      <c r="AD137" s="131">
        <v>4</v>
      </c>
      <c r="AE137" s="136">
        <f t="shared" si="101"/>
      </c>
    </row>
    <row hidden="true" r="138">
      <c r="A138" s="114"/>
      <c r="B138" s="115" t="s">
        <v>89</v>
      </c>
      <c r="C138" s="115" t="s">
        <v>92</v>
      </c>
      <c r="D138" s="129">
        <v>3258.23</v>
      </c>
      <c r="E138" s="130">
        <v>5</v>
      </c>
      <c r="F138" s="130">
        <v>3</v>
      </c>
      <c r="G138" s="119">
        <f t="shared" si="40"/>
      </c>
      <c r="H138" s="131">
        <v>7</v>
      </c>
      <c r="I138" s="131">
        <v>2</v>
      </c>
      <c r="J138" s="132">
        <v>2245.2000000000007</v>
      </c>
      <c r="K138" s="131">
        <v>1</v>
      </c>
      <c r="L138" s="132">
        <v>3158.4000000000015</v>
      </c>
      <c r="M138" s="120">
        <f t="shared" si="63"/>
      </c>
      <c r="N138" s="119">
        <f t="shared" si="78"/>
      </c>
      <c r="O138" s="137">
        <f t="shared" si="0"/>
      </c>
      <c r="P138" s="123">
        <f t="shared" si="23"/>
      </c>
      <c r="Q138" s="119">
        <f t="shared" si="38"/>
      </c>
      <c r="R138" s="134">
        <f t="shared" si="39"/>
      </c>
      <c r="S138" s="134">
        <f t="shared" si="141"/>
      </c>
      <c r="T138" s="125">
        <f t="shared" si="164"/>
      </c>
      <c r="U138" s="126">
        <f t="shared" si="179"/>
      </c>
      <c r="V138" s="127">
        <f t="shared" si="180"/>
      </c>
      <c r="W138" s="138">
        <f t="shared" si="202"/>
      </c>
      <c r="X138" s="126">
        <f t="shared" si="181"/>
      </c>
      <c r="Y138" s="139">
        <f t="shared" si="128"/>
      </c>
      <c r="Z138" s="120">
        <v>11565</v>
      </c>
      <c r="AA138" s="131">
        <v>364</v>
      </c>
      <c r="AB138" s="131">
        <v>83</v>
      </c>
      <c r="AC138" s="131">
        <v>49</v>
      </c>
      <c r="AD138" s="131">
        <v>7</v>
      </c>
      <c r="AE138" s="136">
        <f t="shared" si="101"/>
      </c>
    </row>
    <row hidden="true" r="139">
      <c r="A139" s="114"/>
      <c r="B139" s="141" t="s">
        <v>90</v>
      </c>
      <c r="C139" s="141"/>
      <c r="D139" s="142">
        <f>SUM(D135:D138)</f>
      </c>
      <c r="E139" s="143">
        <f>SUM(E135:E138)</f>
      </c>
      <c r="F139" s="143">
        <f>SUM(F135:F138)</f>
      </c>
      <c r="G139" s="143">
        <f t="shared" si="40"/>
      </c>
      <c r="H139" s="143">
        <f>SUM(H135:H138)</f>
      </c>
      <c r="I139" s="143">
        <f>SUM(I135:I138)</f>
      </c>
      <c r="J139" s="144">
        <f>SUM(J135:J138)</f>
      </c>
      <c r="K139" s="143">
        <f>SUM(K135:K138)</f>
      </c>
      <c r="L139" s="144">
        <f>SUM(L135:L138)</f>
      </c>
      <c r="M139" s="143">
        <f>SUM(M135:M138)</f>
      </c>
      <c r="N139" s="143">
        <f t="shared" si="78"/>
      </c>
      <c r="O139" s="143">
        <f t="shared" si="0"/>
      </c>
      <c r="P139" s="145">
        <f>SUM(P135:P138)</f>
      </c>
      <c r="Q139" s="143">
        <f t="shared" si="38"/>
      </c>
      <c r="R139" s="146">
        <f t="shared" si="39"/>
      </c>
      <c r="S139" s="146">
        <f t="shared" si="141"/>
      </c>
      <c r="T139" s="147">
        <f>(T136+T138+T137+T135)/4</f>
      </c>
      <c r="U139" s="148">
        <f t="shared" si="179"/>
      </c>
      <c r="V139" s="148">
        <f t="shared" si="180"/>
      </c>
      <c r="W139" s="148">
        <f t="shared" si="202"/>
      </c>
      <c r="X139" s="148">
        <f t="shared" si="181"/>
      </c>
      <c r="Y139" s="148">
        <f t="shared" si="128"/>
      </c>
      <c r="Z139" s="143">
        <f>SUM(Z135:Z138)</f>
      </c>
      <c r="AA139" s="143">
        <f>SUM(AA135:AA138)</f>
      </c>
      <c r="AB139" s="143">
        <f>SUM(AB135:AB138)</f>
      </c>
      <c r="AC139" s="143">
        <f>SUM(AC135:AC138)</f>
      </c>
      <c r="AD139" s="143">
        <f>SUM(AD135:AD138)</f>
      </c>
      <c r="AE139" s="143">
        <f>SUM(AE135:AE138)</f>
      </c>
    </row>
    <row hidden="true" r="140">
      <c r="A140" s="114"/>
      <c r="B140" s="154" t="s">
        <v>96</v>
      </c>
      <c r="C140" s="154"/>
      <c r="D140" s="155">
        <f>D139</f>
      </c>
      <c r="E140" s="156">
        <f>E139</f>
      </c>
      <c r="F140" s="156">
        <f>F139</f>
      </c>
      <c r="G140" s="157">
        <f t="shared" si="40"/>
      </c>
      <c r="H140" s="156">
        <f>H139</f>
      </c>
      <c r="I140" s="156">
        <f>I139</f>
      </c>
      <c r="J140" s="159">
        <f>J139</f>
      </c>
      <c r="K140" s="156">
        <f>K139</f>
      </c>
      <c r="L140" s="159">
        <f>L139</f>
      </c>
      <c r="M140" s="156">
        <f>M139</f>
      </c>
      <c r="N140" s="157">
        <f t="shared" si="78"/>
      </c>
      <c r="O140" s="164">
        <f t="shared" si="0"/>
      </c>
      <c r="P140" s="155">
        <f>P139</f>
      </c>
      <c r="Q140" s="157">
        <f t="shared" si="38"/>
      </c>
      <c r="R140" s="160">
        <f t="shared" si="39"/>
      </c>
      <c r="S140" s="160">
        <f t="shared" si="141"/>
      </c>
      <c r="T140" s="161">
        <f>T139</f>
      </c>
      <c r="U140" s="162">
        <f t="shared" si="179"/>
      </c>
      <c r="V140" s="163">
        <f t="shared" si="180"/>
      </c>
      <c r="W140" s="162">
        <f t="shared" si="202"/>
      </c>
      <c r="X140" s="162">
        <f t="shared" si="181"/>
      </c>
      <c r="Y140" s="162">
        <f t="shared" si="128"/>
      </c>
      <c r="Z140" s="155">
        <f>Z139</f>
      </c>
      <c r="AA140" s="155">
        <f>AA139</f>
      </c>
      <c r="AB140" s="155">
        <f>AB139</f>
      </c>
      <c r="AC140" s="155">
        <f>AC139</f>
      </c>
      <c r="AD140" s="155">
        <f>AD139</f>
      </c>
      <c r="AE140" s="155">
        <f>AE139</f>
      </c>
    </row>
    <row hidden="true" r="141">
      <c r="A141" s="114">
        <v>46253</v>
      </c>
      <c r="B141" s="115" t="s">
        <v>85</v>
      </c>
      <c r="C141" s="115" t="s">
        <v>97</v>
      </c>
      <c r="D141" s="116">
        <v>4578.45</v>
      </c>
      <c r="E141" s="117">
        <v>14</v>
      </c>
      <c r="F141" s="117">
        <v>3</v>
      </c>
      <c r="G141" s="119">
        <f t="shared" si="40"/>
      </c>
      <c r="H141" s="131">
        <v>15</v>
      </c>
      <c r="I141" s="131">
        <v>2</v>
      </c>
      <c r="J141" s="132">
        <v>1855.1999999999998</v>
      </c>
      <c r="K141" s="131">
        <v>1</v>
      </c>
      <c r="L141" s="132">
        <v>1088.4</v>
      </c>
      <c r="M141" s="120">
        <f t="shared" ref="M141:M144" si="64">K141+I141</f>
      </c>
      <c r="N141" s="119">
        <f t="shared" si="78"/>
      </c>
      <c r="O141" s="119">
        <f t="shared" si="0"/>
      </c>
      <c r="P141" s="123">
        <f t="shared" ref="P141:P144" si="24">J141+L141</f>
      </c>
      <c r="Q141" s="119">
        <f t="shared" si="38"/>
      </c>
      <c r="R141" s="124">
        <f t="shared" si="39"/>
      </c>
      <c r="S141" s="124">
        <f t="shared" si="141"/>
      </c>
      <c r="T141" s="125">
        <f t="shared" ref="T141:T144" si="165">AA141/60</f>
      </c>
      <c r="U141" s="126">
        <f t="shared" si="179"/>
      </c>
      <c r="V141" s="127">
        <f t="shared" si="180"/>
      </c>
      <c r="W141" s="126">
        <f t="shared" si="202"/>
      </c>
      <c r="X141" s="126">
        <f t="shared" si="181"/>
      </c>
      <c r="Y141" s="126">
        <f t="shared" si="128"/>
      </c>
      <c r="Z141" s="120">
        <v>18004</v>
      </c>
      <c r="AA141" s="120">
        <v>749</v>
      </c>
      <c r="AB141" s="120">
        <v>77</v>
      </c>
      <c r="AC141" s="120">
        <v>120</v>
      </c>
      <c r="AD141" s="120">
        <v>15</v>
      </c>
      <c r="AE141" s="136">
        <f t="shared" ref="AE141:AE144" si="102">COUNT(AD141)</f>
      </c>
    </row>
    <row hidden="true" r="142">
      <c r="A142" s="114"/>
      <c r="B142" s="115" t="s">
        <v>87</v>
      </c>
      <c r="C142" s="115" t="s">
        <v>97</v>
      </c>
      <c r="D142" s="129">
        <v>4611.36</v>
      </c>
      <c r="E142" s="130">
        <v>9</v>
      </c>
      <c r="F142" s="130">
        <v>3</v>
      </c>
      <c r="G142" s="119">
        <f t="shared" si="40"/>
      </c>
      <c r="H142" s="131">
        <v>10</v>
      </c>
      <c r="I142" s="131">
        <v>3</v>
      </c>
      <c r="J142" s="132">
        <v>5966.4</v>
      </c>
      <c r="K142" s="131">
        <v>1</v>
      </c>
      <c r="L142" s="132">
        <v>1414.8000000000002</v>
      </c>
      <c r="M142" s="120">
        <f t="shared" si="64"/>
      </c>
      <c r="N142" s="119">
        <f t="shared" si="78"/>
      </c>
      <c r="O142" s="119">
        <f t="shared" si="0"/>
      </c>
      <c r="P142" s="123">
        <f t="shared" si="24"/>
      </c>
      <c r="Q142" s="119">
        <f t="shared" si="38"/>
      </c>
      <c r="R142" s="124">
        <f t="shared" si="39"/>
      </c>
      <c r="S142" s="134">
        <f t="shared" si="141"/>
      </c>
      <c r="T142" s="125">
        <f t="shared" si="165"/>
      </c>
      <c r="U142" s="126">
        <f t="shared" si="179"/>
      </c>
      <c r="V142" s="127">
        <f t="shared" si="180"/>
      </c>
      <c r="W142" s="126">
        <f t="shared" si="202"/>
      </c>
      <c r="X142" s="126">
        <f t="shared" si="181"/>
      </c>
      <c r="Y142" s="126">
        <f t="shared" si="128"/>
      </c>
      <c r="Z142" s="120">
        <v>15942</v>
      </c>
      <c r="AA142" s="131">
        <v>505</v>
      </c>
      <c r="AB142" s="131">
        <v>72</v>
      </c>
      <c r="AC142" s="131">
        <v>87</v>
      </c>
      <c r="AD142" s="131">
        <v>10</v>
      </c>
      <c r="AE142" s="136">
        <f t="shared" si="102"/>
      </c>
    </row>
    <row hidden="true" r="143">
      <c r="A143" s="114"/>
      <c r="B143" s="115" t="s">
        <v>88</v>
      </c>
      <c r="C143" s="115" t="s">
        <v>97</v>
      </c>
      <c r="D143" s="129">
        <v>4161.72</v>
      </c>
      <c r="E143" s="130">
        <v>11</v>
      </c>
      <c r="F143" s="130">
        <v>3</v>
      </c>
      <c r="G143" s="119">
        <f t="shared" si="40"/>
      </c>
      <c r="H143" s="131">
        <v>12</v>
      </c>
      <c r="I143" s="131">
        <v>3</v>
      </c>
      <c r="J143" s="132">
        <v>3575.999999999999</v>
      </c>
      <c r="K143" s="131">
        <v>0</v>
      </c>
      <c r="L143" s="132">
        <v>0</v>
      </c>
      <c r="M143" s="120">
        <f t="shared" si="64"/>
      </c>
      <c r="N143" s="119">
        <f t="shared" si="78"/>
      </c>
      <c r="O143" s="119">
        <f t="shared" si="0"/>
      </c>
      <c r="P143" s="123">
        <f t="shared" si="24"/>
      </c>
      <c r="Q143" s="119">
        <f t="shared" si="38"/>
      </c>
      <c r="R143" s="124">
        <f t="shared" si="39"/>
      </c>
      <c r="S143" s="134">
        <f t="shared" si="141"/>
      </c>
      <c r="T143" s="125">
        <f t="shared" si="165"/>
      </c>
      <c r="U143" s="138">
        <f t="shared" si="179"/>
      </c>
      <c r="V143" s="138">
        <f t="shared" si="180"/>
      </c>
      <c r="W143" s="126">
        <f t="shared" si="202"/>
      </c>
      <c r="X143" s="126">
        <f t="shared" si="181"/>
      </c>
      <c r="Y143" s="126">
        <f t="shared" si="128"/>
      </c>
      <c r="Z143" s="120">
        <v>14528</v>
      </c>
      <c r="AA143" s="131">
        <v>484</v>
      </c>
      <c r="AB143" s="131">
        <v>62</v>
      </c>
      <c r="AC143" s="131">
        <v>93</v>
      </c>
      <c r="AD143" s="131">
        <v>12</v>
      </c>
      <c r="AE143" s="136">
        <f t="shared" si="102"/>
      </c>
    </row>
    <row hidden="true" r="144">
      <c r="A144" s="114"/>
      <c r="B144" s="115" t="s">
        <v>89</v>
      </c>
      <c r="C144" s="115" t="s">
        <v>97</v>
      </c>
      <c r="D144" s="129">
        <v>2398.6699999999996</v>
      </c>
      <c r="E144" s="130">
        <v>2</v>
      </c>
      <c r="F144" s="130">
        <v>2</v>
      </c>
      <c r="G144" s="119">
        <f t="shared" si="40"/>
      </c>
      <c r="H144" s="131">
        <v>6</v>
      </c>
      <c r="I144" s="131">
        <v>4</v>
      </c>
      <c r="J144" s="132">
        <v>7122</v>
      </c>
      <c r="K144" s="131">
        <v>1</v>
      </c>
      <c r="L144" s="132">
        <v>2722.7999999999997</v>
      </c>
      <c r="M144" s="120">
        <f t="shared" si="64"/>
      </c>
      <c r="N144" s="119">
        <f t="shared" si="78"/>
      </c>
      <c r="O144" s="137">
        <f t="shared" si="0"/>
      </c>
      <c r="P144" s="123">
        <f t="shared" si="24"/>
      </c>
      <c r="Q144" s="119">
        <f t="shared" si="38"/>
      </c>
      <c r="R144" s="134">
        <f t="shared" si="39"/>
      </c>
      <c r="S144" s="134">
        <f t="shared" si="141"/>
      </c>
      <c r="T144" s="125">
        <f t="shared" si="165"/>
      </c>
      <c r="U144" s="126">
        <f t="shared" si="179"/>
      </c>
      <c r="V144" s="127">
        <f t="shared" si="180"/>
      </c>
      <c r="W144" s="138">
        <f t="shared" si="202"/>
      </c>
      <c r="X144" s="126">
        <f t="shared" si="181"/>
      </c>
      <c r="Y144" s="139">
        <f t="shared" si="128"/>
      </c>
      <c r="Z144" s="120">
        <v>7851</v>
      </c>
      <c r="AA144" s="131">
        <v>251</v>
      </c>
      <c r="AB144" s="131">
        <v>72</v>
      </c>
      <c r="AC144" s="131">
        <v>35</v>
      </c>
      <c r="AD144" s="131">
        <v>6</v>
      </c>
      <c r="AE144" s="136">
        <f t="shared" si="102"/>
      </c>
    </row>
    <row hidden="true" r="145">
      <c r="A145" s="114"/>
      <c r="B145" s="141" t="s">
        <v>90</v>
      </c>
      <c r="C145" s="141"/>
      <c r="D145" s="142">
        <f>SUM(D141:D144)</f>
      </c>
      <c r="E145" s="143">
        <f>SUM(E141:E144)</f>
      </c>
      <c r="F145" s="143">
        <f>SUM(F141:F144)</f>
      </c>
      <c r="G145" s="143">
        <f t="shared" si="40"/>
      </c>
      <c r="H145" s="143">
        <f>SUM(H141:H144)</f>
      </c>
      <c r="I145" s="143">
        <f>SUM(I141:I144)</f>
      </c>
      <c r="J145" s="144">
        <f>SUM(J141:J144)</f>
      </c>
      <c r="K145" s="143">
        <f>SUM(K141:K144)</f>
      </c>
      <c r="L145" s="144">
        <f>SUM(L141:L144)</f>
      </c>
      <c r="M145" s="143">
        <f>SUM(M141:M144)</f>
      </c>
      <c r="N145" s="143">
        <f t="shared" si="78"/>
      </c>
      <c r="O145" s="143">
        <f t="shared" si="0"/>
      </c>
      <c r="P145" s="145">
        <f>SUM(P141:P144)</f>
      </c>
      <c r="Q145" s="143">
        <f t="shared" si="38"/>
      </c>
      <c r="R145" s="146">
        <f t="shared" si="39"/>
      </c>
      <c r="S145" s="146">
        <f t="shared" si="141"/>
      </c>
      <c r="T145" s="147">
        <f>(T142+T144+T143+T141)/4</f>
      </c>
      <c r="U145" s="148">
        <f t="shared" si="179"/>
      </c>
      <c r="V145" s="148">
        <f t="shared" si="180"/>
      </c>
      <c r="W145" s="148">
        <f t="shared" si="202"/>
      </c>
      <c r="X145" s="148">
        <f t="shared" si="181"/>
      </c>
      <c r="Y145" s="148">
        <f t="shared" si="128"/>
      </c>
      <c r="Z145" s="143">
        <f>SUM(Z141:Z144)</f>
      </c>
      <c r="AA145" s="143">
        <f>SUM(AA141:AA144)</f>
      </c>
      <c r="AB145" s="143">
        <f>SUM(AB141:AB144)</f>
      </c>
      <c r="AC145" s="143">
        <f>SUM(AC141:AC144)</f>
      </c>
      <c r="AD145" s="143">
        <f>SUM(AD141:AD144)</f>
      </c>
      <c r="AE145" s="143">
        <f>SUM(AE141:AE144)</f>
      </c>
    </row>
    <row hidden="true" r="146">
      <c r="A146" s="114"/>
      <c r="B146" s="154" t="s">
        <v>96</v>
      </c>
      <c r="C146" s="154"/>
      <c r="D146" s="155">
        <f>D145</f>
      </c>
      <c r="E146" s="156">
        <f>E145</f>
      </c>
      <c r="F146" s="156">
        <f>F145</f>
      </c>
      <c r="G146" s="157">
        <f t="shared" si="40"/>
      </c>
      <c r="H146" s="156">
        <f>H145</f>
      </c>
      <c r="I146" s="156">
        <f>I145</f>
      </c>
      <c r="J146" s="159">
        <f>J145</f>
      </c>
      <c r="K146" s="156">
        <f>K145</f>
      </c>
      <c r="L146" s="159">
        <f>L145</f>
      </c>
      <c r="M146" s="156">
        <f>M145</f>
      </c>
      <c r="N146" s="157">
        <f t="shared" si="78"/>
      </c>
      <c r="O146" s="164">
        <f t="shared" si="0"/>
      </c>
      <c r="P146" s="155">
        <f>P145</f>
      </c>
      <c r="Q146" s="157">
        <f t="shared" si="38"/>
      </c>
      <c r="R146" s="160">
        <f t="shared" si="39"/>
      </c>
      <c r="S146" s="160">
        <f t="shared" si="141"/>
      </c>
      <c r="T146" s="161">
        <f>T145</f>
      </c>
      <c r="U146" s="162">
        <f t="shared" si="179"/>
      </c>
      <c r="V146" s="163">
        <f t="shared" si="180"/>
      </c>
      <c r="W146" s="162">
        <f t="shared" si="202"/>
      </c>
      <c r="X146" s="162">
        <f t="shared" si="181"/>
      </c>
      <c r="Y146" s="162">
        <f t="shared" si="128"/>
      </c>
      <c r="Z146" s="155">
        <f>Z145</f>
      </c>
      <c r="AA146" s="155">
        <f>AA145</f>
      </c>
      <c r="AB146" s="155">
        <f>AB145</f>
      </c>
      <c r="AC146" s="155">
        <f>AC145</f>
      </c>
      <c r="AD146" s="155">
        <f>AD145</f>
      </c>
      <c r="AE146" s="155">
        <f>AE145</f>
      </c>
    </row>
    <row hidden="true" r="147">
      <c r="A147" s="114">
        <v>46254</v>
      </c>
      <c r="B147" s="115" t="s">
        <v>85</v>
      </c>
      <c r="C147" s="115" t="s">
        <v>86</v>
      </c>
      <c r="D147" s="116">
        <v>5042.16</v>
      </c>
      <c r="E147" s="117">
        <v>7</v>
      </c>
      <c r="F147" s="117">
        <v>3</v>
      </c>
      <c r="G147" s="119">
        <f t="shared" si="40"/>
      </c>
      <c r="H147" s="131">
        <v>7</v>
      </c>
      <c r="I147" s="131">
        <v>2</v>
      </c>
      <c r="J147" s="132">
        <v>1309.2</v>
      </c>
      <c r="K147" s="131">
        <v>1</v>
      </c>
      <c r="L147" s="132">
        <v>619.2</v>
      </c>
      <c r="M147" s="120">
        <f t="shared" ref="M147:M150" si="65">K147+I147</f>
      </c>
      <c r="N147" s="119">
        <f t="shared" si="78"/>
      </c>
      <c r="O147" s="119">
        <f t="shared" si="0"/>
      </c>
      <c r="P147" s="123">
        <f t="shared" ref="P147:P150" si="25">J147+L147</f>
      </c>
      <c r="Q147" s="119">
        <f t="shared" si="38"/>
      </c>
      <c r="R147" s="124">
        <f t="shared" si="39"/>
      </c>
      <c r="S147" s="124">
        <f t="shared" si="141"/>
      </c>
      <c r="T147" s="125">
        <f t="shared" ref="T147:T150" si="166">AA147/60</f>
      </c>
      <c r="U147" s="126">
        <f t="shared" si="179"/>
      </c>
      <c r="V147" s="127">
        <f t="shared" si="180"/>
      </c>
      <c r="W147" s="126">
        <f t="shared" si="202"/>
      </c>
      <c r="X147" s="126">
        <f t="shared" si="181"/>
      </c>
      <c r="Y147" s="126">
        <f t="shared" si="128"/>
      </c>
      <c r="Z147" s="120">
        <v>18546</v>
      </c>
      <c r="AA147" s="120">
        <v>790</v>
      </c>
      <c r="AB147" s="120">
        <v>93</v>
      </c>
      <c r="AC147" s="120">
        <v>119</v>
      </c>
      <c r="AD147" s="120">
        <v>7</v>
      </c>
      <c r="AE147" s="136">
        <f t="shared" ref="AE147:AE150" si="103">COUNT(AD147)</f>
      </c>
    </row>
    <row hidden="true" r="148">
      <c r="A148" s="114"/>
      <c r="B148" s="115" t="s">
        <v>87</v>
      </c>
      <c r="C148" s="115" t="s">
        <v>86</v>
      </c>
      <c r="D148" s="129">
        <v>4415.33</v>
      </c>
      <c r="E148" s="130">
        <v>13</v>
      </c>
      <c r="F148" s="130">
        <v>5</v>
      </c>
      <c r="G148" s="119">
        <f t="shared" si="40"/>
      </c>
      <c r="H148" s="131">
        <v>15</v>
      </c>
      <c r="I148" s="131">
        <v>4</v>
      </c>
      <c r="J148" s="132">
        <v>3259.2</v>
      </c>
      <c r="K148" s="131">
        <v>2</v>
      </c>
      <c r="L148" s="132">
        <v>2067.6000000000004</v>
      </c>
      <c r="M148" s="120">
        <f t="shared" si="65"/>
      </c>
      <c r="N148" s="119">
        <f t="shared" si="78"/>
      </c>
      <c r="O148" s="119">
        <f t="shared" si="0"/>
      </c>
      <c r="P148" s="123">
        <f t="shared" si="25"/>
      </c>
      <c r="Q148" s="119">
        <f t="shared" si="38"/>
      </c>
      <c r="R148" s="124">
        <f t="shared" si="39"/>
      </c>
      <c r="S148" s="134">
        <f t="shared" si="141"/>
      </c>
      <c r="T148" s="125">
        <f t="shared" si="166"/>
      </c>
      <c r="U148" s="126">
        <f t="shared" si="179"/>
      </c>
      <c r="V148" s="127">
        <f t="shared" si="180"/>
      </c>
      <c r="W148" s="126">
        <f t="shared" si="202"/>
      </c>
      <c r="X148" s="126">
        <f t="shared" si="181"/>
      </c>
      <c r="Y148" s="126">
        <f t="shared" si="128"/>
      </c>
      <c r="Z148" s="120">
        <v>15672</v>
      </c>
      <c r="AA148" s="131">
        <v>597</v>
      </c>
      <c r="AB148" s="131">
        <v>83</v>
      </c>
      <c r="AC148" s="131">
        <v>84</v>
      </c>
      <c r="AD148" s="131">
        <v>15</v>
      </c>
      <c r="AE148" s="136">
        <f t="shared" si="103"/>
      </c>
    </row>
    <row hidden="true" r="149">
      <c r="A149" s="114"/>
      <c r="B149" s="115" t="s">
        <v>88</v>
      </c>
      <c r="C149" s="115" t="s">
        <v>86</v>
      </c>
      <c r="D149" s="129">
        <v>3538.32</v>
      </c>
      <c r="E149" s="130">
        <v>2</v>
      </c>
      <c r="F149" s="130">
        <v>3</v>
      </c>
      <c r="G149" s="119">
        <f t="shared" si="40"/>
      </c>
      <c r="H149" s="131">
        <v>2</v>
      </c>
      <c r="I149" s="131">
        <v>2</v>
      </c>
      <c r="J149" s="132">
        <v>2266.800000000001</v>
      </c>
      <c r="K149" s="131">
        <v>0</v>
      </c>
      <c r="L149" s="132">
        <v>0</v>
      </c>
      <c r="M149" s="120">
        <f t="shared" si="65"/>
      </c>
      <c r="N149" s="119">
        <f t="shared" si="78"/>
      </c>
      <c r="O149" s="119">
        <f t="shared" si="0"/>
      </c>
      <c r="P149" s="123">
        <f t="shared" si="25"/>
      </c>
      <c r="Q149" s="119">
        <f t="shared" si="38"/>
      </c>
      <c r="R149" s="124">
        <f t="shared" si="39"/>
      </c>
      <c r="S149" s="134">
        <f t="shared" si="141"/>
      </c>
      <c r="T149" s="125">
        <f t="shared" si="166"/>
      </c>
      <c r="U149" s="138">
        <f t="shared" si="179"/>
      </c>
      <c r="V149" s="138">
        <f t="shared" si="180"/>
      </c>
      <c r="W149" s="126">
        <f t="shared" si="202"/>
      </c>
      <c r="X149" s="126">
        <f t="shared" si="181"/>
      </c>
      <c r="Y149" s="126">
        <f t="shared" si="128"/>
      </c>
      <c r="Z149" s="120">
        <v>11853</v>
      </c>
      <c r="AA149" s="131">
        <v>377</v>
      </c>
      <c r="AB149" s="131">
        <v>77</v>
      </c>
      <c r="AC149" s="131">
        <v>50</v>
      </c>
      <c r="AD149" s="131">
        <v>2</v>
      </c>
      <c r="AE149" s="136">
        <f t="shared" si="103"/>
      </c>
    </row>
    <row hidden="true" r="150">
      <c r="A150" s="114"/>
      <c r="B150" s="115" t="s">
        <v>89</v>
      </c>
      <c r="C150" s="115" t="s">
        <v>86</v>
      </c>
      <c r="D150" s="129">
        <v>2671.65</v>
      </c>
      <c r="E150" s="130">
        <v>5</v>
      </c>
      <c r="F150" s="130">
        <v>2</v>
      </c>
      <c r="G150" s="119">
        <f t="shared" si="40"/>
      </c>
      <c r="H150" s="131">
        <v>5</v>
      </c>
      <c r="I150" s="131">
        <v>0</v>
      </c>
      <c r="J150" s="132">
        <v>0</v>
      </c>
      <c r="K150" s="131">
        <v>2</v>
      </c>
      <c r="L150" s="132">
        <v>3811.2</v>
      </c>
      <c r="M150" s="120">
        <f t="shared" si="65"/>
      </c>
      <c r="N150" s="119">
        <f t="shared" si="78"/>
      </c>
      <c r="O150" s="137">
        <f t="shared" si="0"/>
      </c>
      <c r="P150" s="123">
        <f t="shared" si="25"/>
      </c>
      <c r="Q150" s="119">
        <f t="shared" si="38"/>
      </c>
      <c r="R150" s="134">
        <f t="shared" si="39"/>
      </c>
      <c r="S150" s="134">
        <f t="shared" si="141"/>
      </c>
      <c r="T150" s="125">
        <f t="shared" si="166"/>
      </c>
      <c r="U150" s="126">
        <f t="shared" si="179"/>
      </c>
      <c r="V150" s="127">
        <f t="shared" si="180"/>
      </c>
      <c r="W150" s="138">
        <f t="shared" si="202"/>
      </c>
      <c r="X150" s="126">
        <f t="shared" si="181"/>
      </c>
      <c r="Y150" s="139">
        <f t="shared" si="128"/>
      </c>
      <c r="Z150" s="120">
        <v>9387</v>
      </c>
      <c r="AA150" s="131">
        <v>357</v>
      </c>
      <c r="AB150" s="131">
        <v>91</v>
      </c>
      <c r="AC150" s="131">
        <v>55</v>
      </c>
      <c r="AD150" s="131">
        <v>5</v>
      </c>
      <c r="AE150" s="136">
        <f t="shared" si="103"/>
      </c>
    </row>
    <row hidden="true" r="151">
      <c r="A151" s="114"/>
      <c r="B151" s="141" t="s">
        <v>90</v>
      </c>
      <c r="C151" s="141"/>
      <c r="D151" s="142">
        <f>SUM(D147:D150)</f>
      </c>
      <c r="E151" s="143">
        <f>SUM(E147:E150)</f>
      </c>
      <c r="F151" s="143">
        <f>SUM(F147:F150)</f>
      </c>
      <c r="G151" s="143">
        <f t="shared" si="40"/>
      </c>
      <c r="H151" s="143">
        <f>SUM(H147:H150)</f>
      </c>
      <c r="I151" s="143">
        <f>SUM(I147:I150)</f>
      </c>
      <c r="J151" s="144">
        <f>SUM(J147:J150)</f>
      </c>
      <c r="K151" s="143">
        <f>SUM(K147:K150)</f>
      </c>
      <c r="L151" s="144">
        <f>SUM(L147:L150)</f>
      </c>
      <c r="M151" s="143">
        <f>SUM(M147:M150)</f>
      </c>
      <c r="N151" s="143">
        <f t="shared" si="78"/>
      </c>
      <c r="O151" s="143">
        <f t="shared" si="0"/>
      </c>
      <c r="P151" s="145">
        <f>SUM(P147:P150)</f>
      </c>
      <c r="Q151" s="143">
        <f t="shared" si="38"/>
      </c>
      <c r="R151" s="146">
        <f t="shared" si="39"/>
      </c>
      <c r="S151" s="146">
        <f t="shared" si="141"/>
      </c>
      <c r="T151" s="147">
        <f>(T148+T150+T149+T147)/4</f>
      </c>
      <c r="U151" s="148">
        <f t="shared" si="179"/>
      </c>
      <c r="V151" s="148">
        <f t="shared" si="180"/>
      </c>
      <c r="W151" s="148">
        <f t="shared" si="202"/>
      </c>
      <c r="X151" s="148">
        <f t="shared" si="181"/>
      </c>
      <c r="Y151" s="148">
        <f t="shared" si="128"/>
      </c>
      <c r="Z151" s="143">
        <f>SUM(Z147:Z150)</f>
      </c>
      <c r="AA151" s="143">
        <f>SUM(AA147:AA150)</f>
      </c>
      <c r="AB151" s="143">
        <f>SUM(AB147:AB150)</f>
      </c>
      <c r="AC151" s="143">
        <f>SUM(AC147:AC150)</f>
      </c>
      <c r="AD151" s="143">
        <f>SUM(AD147:AD150)</f>
      </c>
      <c r="AE151" s="143">
        <f>SUM(AE147:AE150)</f>
      </c>
    </row>
    <row hidden="true" r="152">
      <c r="A152" s="114"/>
      <c r="B152" s="154" t="s">
        <v>96</v>
      </c>
      <c r="C152" s="154"/>
      <c r="D152" s="155">
        <f>D151</f>
      </c>
      <c r="E152" s="156">
        <f>E151</f>
      </c>
      <c r="F152" s="156">
        <f>F151</f>
      </c>
      <c r="G152" s="157">
        <f t="shared" si="40"/>
      </c>
      <c r="H152" s="156">
        <f>H151</f>
      </c>
      <c r="I152" s="156">
        <f>I151</f>
      </c>
      <c r="J152" s="159">
        <f>J151</f>
      </c>
      <c r="K152" s="156">
        <f>K151</f>
      </c>
      <c r="L152" s="159">
        <f>L151</f>
      </c>
      <c r="M152" s="156">
        <f>M151</f>
      </c>
      <c r="N152" s="157">
        <f t="shared" si="78"/>
      </c>
      <c r="O152" s="164">
        <f t="shared" si="0"/>
      </c>
      <c r="P152" s="155">
        <f>P151</f>
      </c>
      <c r="Q152" s="157">
        <f t="shared" si="38"/>
      </c>
      <c r="R152" s="160">
        <f t="shared" si="39"/>
      </c>
      <c r="S152" s="160">
        <f t="shared" si="141"/>
      </c>
      <c r="T152" s="161">
        <f>T151</f>
      </c>
      <c r="U152" s="162">
        <f t="shared" si="179"/>
      </c>
      <c r="V152" s="163">
        <f t="shared" si="180"/>
      </c>
      <c r="W152" s="162">
        <f t="shared" si="202"/>
      </c>
      <c r="X152" s="162">
        <f t="shared" si="181"/>
      </c>
      <c r="Y152" s="162">
        <f t="shared" si="128"/>
      </c>
      <c r="Z152" s="155">
        <f>Z151</f>
      </c>
      <c r="AA152" s="155">
        <f>AA151</f>
      </c>
      <c r="AB152" s="155">
        <f>AB151</f>
      </c>
      <c r="AC152" s="155">
        <f>AC151</f>
      </c>
      <c r="AD152" s="155">
        <f>AD151</f>
      </c>
      <c r="AE152" s="155">
        <f>AE151</f>
      </c>
    </row>
    <row hidden="true" r="153">
      <c r="A153" s="114">
        <v>46255</v>
      </c>
      <c r="B153" s="115" t="s">
        <v>85</v>
      </c>
      <c r="C153" s="115" t="s">
        <v>92</v>
      </c>
      <c r="D153" s="116">
        <v>3714.95</v>
      </c>
      <c r="E153" s="117">
        <v>4</v>
      </c>
      <c r="F153" s="117">
        <v>0</v>
      </c>
      <c r="G153" s="119">
        <f t="shared" si="40"/>
      </c>
      <c r="H153" s="131">
        <v>4</v>
      </c>
      <c r="I153" s="131">
        <v>0</v>
      </c>
      <c r="J153" s="132">
        <v>0</v>
      </c>
      <c r="K153" s="131">
        <v>0</v>
      </c>
      <c r="L153" s="133">
        <v>0</v>
      </c>
      <c r="M153" s="120">
        <f t="shared" ref="M153:M155" si="66">K153+I153</f>
      </c>
      <c r="N153" s="119">
        <f t="shared" si="78"/>
      </c>
      <c r="O153" s="119">
        <f t="shared" si="0"/>
      </c>
      <c r="P153" s="123">
        <f t="shared" ref="P153:P155" si="26">J153+L153</f>
      </c>
      <c r="Q153" s="119">
        <f t="shared" si="38"/>
      </c>
      <c r="R153" s="124">
        <f t="shared" si="39"/>
      </c>
      <c r="S153" s="124">
        <f t="shared" si="141"/>
      </c>
      <c r="T153" s="125">
        <f t="shared" ref="T153:T155" si="167">AA153/60</f>
      </c>
      <c r="U153" s="126">
        <f t="shared" si="179"/>
      </c>
      <c r="V153" s="127">
        <f t="shared" si="180"/>
      </c>
      <c r="W153" s="126">
        <f t="shared" si="202"/>
      </c>
      <c r="X153" s="126">
        <f t="shared" si="181"/>
      </c>
      <c r="Y153" s="126">
        <f t="shared" ref="Y153:Y154" si="191">AE153/AD153</f>
      </c>
      <c r="Z153" s="120">
        <v>12725</v>
      </c>
      <c r="AA153" s="120">
        <v>669</v>
      </c>
      <c r="AB153" s="120">
        <v>71</v>
      </c>
      <c r="AC153" s="120">
        <v>65</v>
      </c>
      <c r="AD153" s="120">
        <v>4</v>
      </c>
      <c r="AE153" s="128">
        <f>COUNT(AD153)</f>
      </c>
    </row>
    <row hidden="true" r="154">
      <c r="A154" s="114"/>
      <c r="B154" s="115" t="s">
        <v>87</v>
      </c>
      <c r="C154" s="115" t="s">
        <v>92</v>
      </c>
      <c r="D154" s="129">
        <v>4010.9</v>
      </c>
      <c r="E154" s="130">
        <v>6</v>
      </c>
      <c r="F154" s="130">
        <v>3</v>
      </c>
      <c r="G154" s="119">
        <f t="shared" si="40"/>
      </c>
      <c r="H154" s="131">
        <v>7</v>
      </c>
      <c r="I154" s="131">
        <v>1</v>
      </c>
      <c r="J154" s="132">
        <v>927.5999999999999</v>
      </c>
      <c r="K154" s="131">
        <v>2</v>
      </c>
      <c r="L154" s="133">
        <v>1054.8000000000002</v>
      </c>
      <c r="M154" s="120">
        <f t="shared" si="66"/>
      </c>
      <c r="N154" s="119">
        <f t="shared" si="78"/>
      </c>
      <c r="O154" s="119">
        <f t="shared" si="0"/>
      </c>
      <c r="P154" s="123">
        <f t="shared" si="26"/>
      </c>
      <c r="Q154" s="119">
        <f t="shared" si="38"/>
      </c>
      <c r="R154" s="124">
        <f t="shared" si="39"/>
      </c>
      <c r="S154" s="134">
        <f t="shared" si="141"/>
      </c>
      <c r="T154" s="125">
        <f t="shared" si="167"/>
      </c>
      <c r="U154" s="126">
        <f t="shared" si="179"/>
      </c>
      <c r="V154" s="127">
        <f t="shared" si="180"/>
      </c>
      <c r="W154" s="126">
        <f t="shared" si="202"/>
      </c>
      <c r="X154" s="126">
        <f t="shared" si="181"/>
      </c>
      <c r="Y154" s="126">
        <f t="shared" si="191"/>
      </c>
      <c r="Z154" s="120">
        <v>12811</v>
      </c>
      <c r="AA154" s="131">
        <v>588</v>
      </c>
      <c r="AB154" s="131">
        <v>111</v>
      </c>
      <c r="AC154" s="131">
        <v>66</v>
      </c>
      <c r="AD154" s="131">
        <v>7</v>
      </c>
      <c r="AE154" s="135">
        <v>1</v>
      </c>
    </row>
    <row hidden="true" r="155">
      <c r="A155" s="114"/>
      <c r="B155" s="115" t="s">
        <v>88</v>
      </c>
      <c r="C155" s="115" t="s">
        <v>92</v>
      </c>
      <c r="D155" s="129">
        <v>3551.63</v>
      </c>
      <c r="E155" s="130">
        <v>6</v>
      </c>
      <c r="F155" s="130">
        <v>1</v>
      </c>
      <c r="G155" s="119">
        <f t="shared" si="40"/>
      </c>
      <c r="H155" s="131">
        <v>6</v>
      </c>
      <c r="I155" s="131">
        <v>1</v>
      </c>
      <c r="J155" s="132">
        <v>720.0000000000002</v>
      </c>
      <c r="K155" s="131">
        <v>0</v>
      </c>
      <c r="L155" s="132">
        <v>0</v>
      </c>
      <c r="M155" s="120">
        <f t="shared" si="66"/>
      </c>
      <c r="N155" s="119">
        <f t="shared" si="78"/>
      </c>
      <c r="O155" s="119">
        <f t="shared" si="0"/>
      </c>
      <c r="P155" s="123">
        <f t="shared" si="26"/>
      </c>
      <c r="Q155" s="119">
        <f t="shared" si="38"/>
      </c>
      <c r="R155" s="124">
        <f t="shared" si="39"/>
      </c>
      <c r="S155" s="134">
        <f t="shared" si="141"/>
      </c>
      <c r="T155" s="125">
        <f t="shared" si="167"/>
      </c>
      <c r="U155" s="138">
        <f t="shared" si="179"/>
      </c>
      <c r="V155" s="138">
        <f t="shared" si="180"/>
      </c>
      <c r="W155" s="126">
        <f t="shared" si="202"/>
      </c>
      <c r="X155" s="126">
        <f t="shared" si="181"/>
      </c>
      <c r="Y155" s="126">
        <f t="shared" ref="Y155:Y157" si="129">M155/AD155</f>
      </c>
      <c r="Z155" s="120">
        <v>12510</v>
      </c>
      <c r="AA155" s="131">
        <v>417</v>
      </c>
      <c r="AB155" s="131">
        <v>84</v>
      </c>
      <c r="AC155" s="131">
        <v>50</v>
      </c>
      <c r="AD155" s="131">
        <v>6</v>
      </c>
      <c r="AE155" s="136">
        <f>COUNT(AD155)</f>
      </c>
    </row>
    <row hidden="true" r="156">
      <c r="A156" s="114"/>
      <c r="B156" s="141" t="s">
        <v>90</v>
      </c>
      <c r="C156" s="141"/>
      <c r="D156" s="142">
        <f>SUM(D153:D155)</f>
      </c>
      <c r="E156" s="143">
        <f>SUM(E153:E155)</f>
      </c>
      <c r="F156" s="143">
        <f>SUM(F153:F155)</f>
      </c>
      <c r="G156" s="143">
        <f t="shared" si="40"/>
      </c>
      <c r="H156" s="143">
        <f>SUM(H153:H155)</f>
      </c>
      <c r="I156" s="143">
        <f>SUM(I153:I155)</f>
      </c>
      <c r="J156" s="144">
        <f>SUM(J153:J155)</f>
      </c>
      <c r="K156" s="143">
        <f>SUM(K153:K155)</f>
      </c>
      <c r="L156" s="144">
        <f>SUM(L153:L155)</f>
      </c>
      <c r="M156" s="143">
        <f>SUM(M153:M155)</f>
      </c>
      <c r="N156" s="143">
        <f t="shared" si="78"/>
      </c>
      <c r="O156" s="143">
        <f t="shared" si="0"/>
      </c>
      <c r="P156" s="145">
        <f>SUM(P153:P155)</f>
      </c>
      <c r="Q156" s="143">
        <f t="shared" si="38"/>
      </c>
      <c r="R156" s="146">
        <f t="shared" si="39"/>
      </c>
      <c r="S156" s="146">
        <f t="shared" si="141"/>
      </c>
      <c r="T156" s="147">
        <f>(T154+T155+T153)/3</f>
      </c>
      <c r="U156" s="148">
        <f t="shared" si="179"/>
      </c>
      <c r="V156" s="148">
        <f t="shared" si="180"/>
      </c>
      <c r="W156" s="148">
        <f t="shared" si="202"/>
      </c>
      <c r="X156" s="148">
        <f t="shared" si="181"/>
      </c>
      <c r="Y156" s="148">
        <f t="shared" si="129"/>
      </c>
      <c r="Z156" s="143">
        <f>SUM(Z153:Z155)</f>
      </c>
      <c r="AA156" s="143">
        <f>SUM(AA153:AA155)</f>
      </c>
      <c r="AB156" s="143">
        <f>SUM(AB153:AB155)</f>
      </c>
      <c r="AC156" s="143">
        <f>SUM(AC153:AC155)</f>
      </c>
      <c r="AD156" s="143">
        <f>SUM(AD153:AD155)</f>
      </c>
      <c r="AE156" s="143">
        <f>SUM(AE153:AE155)</f>
      </c>
    </row>
    <row hidden="true" r="157">
      <c r="A157" s="114"/>
      <c r="B157" s="154" t="s">
        <v>96</v>
      </c>
      <c r="C157" s="154"/>
      <c r="D157" s="155">
        <f>D156</f>
      </c>
      <c r="E157" s="156">
        <f>E156</f>
      </c>
      <c r="F157" s="156">
        <f>F156</f>
      </c>
      <c r="G157" s="157">
        <f t="shared" si="40"/>
      </c>
      <c r="H157" s="156">
        <f>H156</f>
      </c>
      <c r="I157" s="156">
        <f>I156</f>
      </c>
      <c r="J157" s="159">
        <f>J156</f>
      </c>
      <c r="K157" s="156">
        <f>K156</f>
      </c>
      <c r="L157" s="159">
        <f>L156</f>
      </c>
      <c r="M157" s="156">
        <f>M156</f>
      </c>
      <c r="N157" s="157">
        <f t="shared" si="78"/>
      </c>
      <c r="O157" s="164">
        <f t="shared" si="0"/>
      </c>
      <c r="P157" s="155">
        <f>P156</f>
      </c>
      <c r="Q157" s="157">
        <f t="shared" si="38"/>
      </c>
      <c r="R157" s="160">
        <f t="shared" si="39"/>
      </c>
      <c r="S157" s="160">
        <f t="shared" si="141"/>
      </c>
      <c r="T157" s="161">
        <f>T156</f>
      </c>
      <c r="U157" s="162">
        <f t="shared" si="179"/>
      </c>
      <c r="V157" s="163">
        <f t="shared" si="180"/>
      </c>
      <c r="W157" s="162">
        <f t="shared" si="202"/>
      </c>
      <c r="X157" s="162">
        <f t="shared" si="181"/>
      </c>
      <c r="Y157" s="162">
        <f t="shared" si="129"/>
      </c>
      <c r="Z157" s="155">
        <f>Z156</f>
      </c>
      <c r="AA157" s="155">
        <f>AA156</f>
      </c>
      <c r="AB157" s="155">
        <f>AB156</f>
      </c>
      <c r="AC157" s="155">
        <f>AC156</f>
      </c>
      <c r="AD157" s="155">
        <f>AD156</f>
      </c>
      <c r="AE157" s="155">
        <f>AE156</f>
      </c>
    </row>
    <row hidden="true" r="158">
      <c r="A158" s="114">
        <v>46256</v>
      </c>
      <c r="B158" s="115" t="s">
        <v>87</v>
      </c>
      <c r="C158" s="115" t="s">
        <v>97</v>
      </c>
      <c r="D158" s="116">
        <v>2882.48</v>
      </c>
      <c r="E158" s="117">
        <v>6</v>
      </c>
      <c r="F158" s="117">
        <v>0</v>
      </c>
      <c r="G158" s="119">
        <f t="shared" si="40"/>
      </c>
      <c r="H158" s="131">
        <v>7</v>
      </c>
      <c r="I158" s="131">
        <v>2</v>
      </c>
      <c r="J158" s="132">
        <v>1440</v>
      </c>
      <c r="K158" s="131">
        <v>0</v>
      </c>
      <c r="L158" s="132">
        <v>0</v>
      </c>
      <c r="M158" s="120">
        <f t="shared" ref="M158:M161" si="67">K158+I158</f>
      </c>
      <c r="N158" s="119">
        <f t="shared" si="78"/>
      </c>
      <c r="O158" s="119">
        <f t="shared" si="0"/>
      </c>
      <c r="P158" s="123">
        <f t="shared" ref="P158:P161" si="27">J158+L158</f>
      </c>
      <c r="Q158" s="119">
        <f t="shared" si="38"/>
      </c>
      <c r="R158" s="124">
        <f t="shared" si="39"/>
      </c>
      <c r="S158" s="124">
        <f t="shared" si="141"/>
      </c>
      <c r="T158" s="125">
        <f t="shared" ref="T158:T161" si="168">AA158/60</f>
      </c>
      <c r="U158" s="126">
        <f t="shared" si="179"/>
      </c>
      <c r="V158" s="127">
        <f t="shared" si="180"/>
      </c>
      <c r="W158" s="126">
        <f t="shared" si="202"/>
      </c>
      <c r="X158" s="126">
        <f t="shared" si="181"/>
      </c>
      <c r="Y158" s="126">
        <f t="shared" ref="Y158:Y159" si="192">AE158/AD158</f>
      </c>
      <c r="Z158" s="120">
        <v>8670</v>
      </c>
      <c r="AA158" s="120">
        <v>467</v>
      </c>
      <c r="AB158" s="120">
        <v>45</v>
      </c>
      <c r="AC158" s="120">
        <v>38</v>
      </c>
      <c r="AD158" s="120">
        <v>7</v>
      </c>
      <c r="AE158" s="136">
        <f t="shared" ref="AE158:AE161" si="104">COUNT(AD158)</f>
      </c>
    </row>
    <row hidden="true" r="159">
      <c r="A159" s="114"/>
      <c r="B159" s="115" t="s">
        <v>88</v>
      </c>
      <c r="C159" s="115" t="s">
        <v>97</v>
      </c>
      <c r="D159" s="129">
        <v>3556.02</v>
      </c>
      <c r="E159" s="130">
        <v>6</v>
      </c>
      <c r="F159" s="130">
        <v>4</v>
      </c>
      <c r="G159" s="119">
        <f t="shared" si="40"/>
      </c>
      <c r="H159" s="131">
        <v>6</v>
      </c>
      <c r="I159" s="131">
        <v>3</v>
      </c>
      <c r="J159" s="132">
        <v>3576.000000000001</v>
      </c>
      <c r="K159" s="131">
        <v>0</v>
      </c>
      <c r="L159" s="132">
        <v>0</v>
      </c>
      <c r="M159" s="120">
        <f t="shared" si="67"/>
      </c>
      <c r="N159" s="119">
        <f t="shared" si="78"/>
      </c>
      <c r="O159" s="119">
        <f t="shared" si="0"/>
      </c>
      <c r="P159" s="123">
        <f t="shared" si="27"/>
      </c>
      <c r="Q159" s="119">
        <f t="shared" si="38"/>
      </c>
      <c r="R159" s="124">
        <f t="shared" si="39"/>
      </c>
      <c r="S159" s="134">
        <f t="shared" si="141"/>
      </c>
      <c r="T159" s="125">
        <f t="shared" si="168"/>
      </c>
      <c r="U159" s="126">
        <f t="shared" si="179"/>
      </c>
      <c r="V159" s="127">
        <f t="shared" si="180"/>
      </c>
      <c r="W159" s="126">
        <f t="shared" si="202"/>
      </c>
      <c r="X159" s="126">
        <f t="shared" si="181"/>
      </c>
      <c r="Y159" s="126">
        <f t="shared" si="192"/>
      </c>
      <c r="Z159" s="120">
        <v>9471</v>
      </c>
      <c r="AA159" s="131">
        <v>455</v>
      </c>
      <c r="AB159" s="131">
        <v>64</v>
      </c>
      <c r="AC159" s="131">
        <v>44</v>
      </c>
      <c r="AD159" s="131">
        <v>6</v>
      </c>
      <c r="AE159" s="136">
        <f t="shared" si="104"/>
      </c>
    </row>
    <row hidden="true" r="160">
      <c r="A160" s="114"/>
      <c r="B160" s="115" t="s">
        <v>89</v>
      </c>
      <c r="C160" s="115" t="s">
        <v>97</v>
      </c>
      <c r="D160" s="129">
        <v>2946.97</v>
      </c>
      <c r="E160" s="130">
        <v>2</v>
      </c>
      <c r="F160" s="130">
        <v>0</v>
      </c>
      <c r="G160" s="119">
        <f t="shared" si="40"/>
      </c>
      <c r="H160" s="131">
        <v>2</v>
      </c>
      <c r="I160" s="131">
        <v>0</v>
      </c>
      <c r="J160" s="132">
        <v>0</v>
      </c>
      <c r="K160" s="131">
        <v>0</v>
      </c>
      <c r="L160" s="132">
        <v>0</v>
      </c>
      <c r="M160" s="120">
        <f t="shared" si="67"/>
      </c>
      <c r="N160" s="119">
        <f t="shared" si="78"/>
      </c>
      <c r="O160" s="137">
        <f t="shared" si="0"/>
      </c>
      <c r="P160" s="123">
        <f t="shared" si="27"/>
      </c>
      <c r="Q160" s="137">
        <f t="shared" si="38"/>
      </c>
      <c r="R160" s="134">
        <f t="shared" si="39"/>
      </c>
      <c r="S160" s="134">
        <f t="shared" si="141"/>
      </c>
      <c r="T160" s="125">
        <f t="shared" si="168"/>
      </c>
      <c r="U160" s="138">
        <f t="shared" si="179"/>
      </c>
      <c r="V160" s="138">
        <f t="shared" si="180"/>
      </c>
      <c r="W160" s="138">
        <f t="shared" si="202"/>
      </c>
      <c r="X160" s="138">
        <f t="shared" si="181"/>
      </c>
      <c r="Y160" s="139">
        <f t="shared" ref="Y160:Y163" si="130">M160/AD160</f>
      </c>
      <c r="Z160" s="120">
        <v>8722</v>
      </c>
      <c r="AA160" s="131">
        <v>424</v>
      </c>
      <c r="AB160" s="131">
        <v>70</v>
      </c>
      <c r="AC160" s="131">
        <v>44</v>
      </c>
      <c r="AD160" s="131">
        <v>2</v>
      </c>
      <c r="AE160" s="136">
        <f t="shared" si="104"/>
      </c>
    </row>
    <row hidden="true" r="161">
      <c r="A161" s="114"/>
      <c r="B161" s="115" t="s">
        <v>91</v>
      </c>
      <c r="C161" s="115" t="s">
        <v>97</v>
      </c>
      <c r="D161" s="116">
        <v>2360.69</v>
      </c>
      <c r="E161" s="117">
        <v>8</v>
      </c>
      <c r="F161" s="117">
        <v>5</v>
      </c>
      <c r="G161" s="119">
        <f t="shared" si="40"/>
      </c>
      <c r="H161" s="120">
        <v>9</v>
      </c>
      <c r="I161" s="120">
        <v>3</v>
      </c>
      <c r="J161" s="121">
        <v>5876.400000000001</v>
      </c>
      <c r="K161" s="120">
        <v>3</v>
      </c>
      <c r="L161" s="121">
        <v>4464</v>
      </c>
      <c r="M161" s="120">
        <f t="shared" si="67"/>
      </c>
      <c r="N161" s="119">
        <f t="shared" si="78"/>
      </c>
      <c r="O161" s="119">
        <f t="shared" si="0"/>
      </c>
      <c r="P161" s="123">
        <f t="shared" si="27"/>
      </c>
      <c r="Q161" s="119">
        <f t="shared" si="38"/>
      </c>
      <c r="R161" s="134">
        <f t="shared" si="39"/>
      </c>
      <c r="S161" s="134">
        <f t="shared" si="141"/>
      </c>
      <c r="T161" s="125">
        <f t="shared" si="168"/>
      </c>
      <c r="U161" s="126">
        <f t="shared" si="179"/>
      </c>
      <c r="V161" s="127">
        <f t="shared" si="180"/>
      </c>
      <c r="W161" s="138">
        <f t="shared" si="202"/>
      </c>
      <c r="X161" s="126">
        <f t="shared" si="181"/>
      </c>
      <c r="Y161" s="140">
        <f t="shared" si="130"/>
      </c>
      <c r="Z161" s="120">
        <v>7233</v>
      </c>
      <c r="AA161" s="120">
        <v>473</v>
      </c>
      <c r="AB161" s="120">
        <v>47</v>
      </c>
      <c r="AC161" s="120">
        <v>40</v>
      </c>
      <c r="AD161" s="120">
        <v>9</v>
      </c>
      <c r="AE161" s="136">
        <f t="shared" si="104"/>
      </c>
    </row>
    <row hidden="true" r="162">
      <c r="A162" s="114"/>
      <c r="B162" s="141" t="s">
        <v>90</v>
      </c>
      <c r="C162" s="141"/>
      <c r="D162" s="142">
        <f>SUM(D158:D161)</f>
      </c>
      <c r="E162" s="143">
        <f>SUM(E158:E161)</f>
      </c>
      <c r="F162" s="143">
        <f>SUM(F158:F161)</f>
      </c>
      <c r="G162" s="143">
        <f t="shared" si="40"/>
      </c>
      <c r="H162" s="143">
        <f>SUM(H158:H161)</f>
      </c>
      <c r="I162" s="143">
        <f>SUM(I158:I161)</f>
      </c>
      <c r="J162" s="144">
        <f>SUM(J158:J161)</f>
      </c>
      <c r="K162" s="143">
        <f>SUM(K158:K161)</f>
      </c>
      <c r="L162" s="144">
        <f>SUM(L158:L161)</f>
      </c>
      <c r="M162" s="143">
        <f>SUM(M158:M161)</f>
      </c>
      <c r="N162" s="143">
        <f t="shared" si="78"/>
      </c>
      <c r="O162" s="143">
        <f t="shared" si="0"/>
      </c>
      <c r="P162" s="145">
        <f>SUM(P158:P161)</f>
      </c>
      <c r="Q162" s="143">
        <f t="shared" si="38"/>
      </c>
      <c r="R162" s="146">
        <f t="shared" si="39"/>
      </c>
      <c r="S162" s="146">
        <f t="shared" si="141"/>
      </c>
      <c r="T162" s="147">
        <f>(T161+T159+T160+T158)/4</f>
      </c>
      <c r="U162" s="148">
        <f t="shared" si="179"/>
      </c>
      <c r="V162" s="148">
        <f t="shared" si="180"/>
      </c>
      <c r="W162" s="148">
        <f t="shared" si="202"/>
      </c>
      <c r="X162" s="148">
        <f t="shared" si="181"/>
      </c>
      <c r="Y162" s="148">
        <f t="shared" si="130"/>
      </c>
      <c r="Z162" s="143">
        <f>SUM(Z158:Z161)</f>
      </c>
      <c r="AA162" s="143">
        <f>SUM(AA158:AA161)</f>
      </c>
      <c r="AB162" s="143">
        <f>SUM(AB158:AB161)</f>
      </c>
      <c r="AC162" s="143">
        <f>SUM(AC158:AC161)</f>
      </c>
      <c r="AD162" s="143">
        <f>SUM(AD158:AD161)</f>
      </c>
      <c r="AE162" s="143">
        <f>SUM(AE158:AE161)</f>
      </c>
    </row>
    <row hidden="true" r="163">
      <c r="A163" s="114"/>
      <c r="B163" s="154" t="s">
        <v>96</v>
      </c>
      <c r="C163" s="154"/>
      <c r="D163" s="155">
        <f>D162</f>
      </c>
      <c r="E163" s="156">
        <f>E162</f>
      </c>
      <c r="F163" s="156">
        <f>F162</f>
      </c>
      <c r="G163" s="157">
        <f t="shared" si="40"/>
      </c>
      <c r="H163" s="156">
        <f>H162</f>
      </c>
      <c r="I163" s="156">
        <f>I162</f>
      </c>
      <c r="J163" s="159">
        <f>J162</f>
      </c>
      <c r="K163" s="156">
        <f>K162</f>
      </c>
      <c r="L163" s="159">
        <f>L162</f>
      </c>
      <c r="M163" s="156">
        <f>M162</f>
      </c>
      <c r="N163" s="157">
        <f t="shared" si="78"/>
      </c>
      <c r="O163" s="164">
        <f t="shared" si="0"/>
      </c>
      <c r="P163" s="155">
        <f>P162</f>
      </c>
      <c r="Q163" s="157">
        <f t="shared" si="38"/>
      </c>
      <c r="R163" s="160">
        <f t="shared" si="39"/>
      </c>
      <c r="S163" s="160">
        <f t="shared" si="141"/>
      </c>
      <c r="T163" s="161">
        <f>T162</f>
      </c>
      <c r="U163" s="162">
        <f t="shared" si="179"/>
      </c>
      <c r="V163" s="163">
        <f t="shared" si="180"/>
      </c>
      <c r="W163" s="162">
        <f t="shared" si="202"/>
      </c>
      <c r="X163" s="162">
        <f t="shared" si="181"/>
      </c>
      <c r="Y163" s="162">
        <f t="shared" si="130"/>
      </c>
      <c r="Z163" s="155">
        <f>Z162</f>
      </c>
      <c r="AA163" s="155">
        <f>AA162</f>
      </c>
      <c r="AB163" s="155">
        <f>AB162</f>
      </c>
      <c r="AC163" s="155">
        <f>AC162</f>
      </c>
      <c r="AD163" s="155">
        <f>AD162</f>
      </c>
      <c r="AE163" s="155">
        <f>AE162</f>
      </c>
    </row>
    <row hidden="true" r="164">
      <c r="A164" s="114">
        <v>46257</v>
      </c>
      <c r="B164" s="115" t="s">
        <v>87</v>
      </c>
      <c r="C164" s="115" t="s">
        <v>97</v>
      </c>
      <c r="D164" s="116">
        <v>3418.71</v>
      </c>
      <c r="E164" s="117">
        <v>7</v>
      </c>
      <c r="F164" s="117">
        <v>3</v>
      </c>
      <c r="G164" s="119">
        <f t="shared" si="40"/>
      </c>
      <c r="H164" s="131">
        <v>8</v>
      </c>
      <c r="I164" s="131">
        <v>2</v>
      </c>
      <c r="J164" s="132">
        <v>1440</v>
      </c>
      <c r="K164" s="131">
        <v>1</v>
      </c>
      <c r="L164" s="132">
        <v>1088.4</v>
      </c>
      <c r="M164" s="120">
        <f t="shared" ref="M164:M167" si="68">K164+I164</f>
      </c>
      <c r="N164" s="119">
        <f t="shared" si="78"/>
      </c>
      <c r="O164" s="119">
        <f t="shared" si="0"/>
      </c>
      <c r="P164" s="123">
        <f t="shared" ref="P164:P167" si="28">J164+L164</f>
      </c>
      <c r="Q164" s="119">
        <f t="shared" si="38"/>
      </c>
      <c r="R164" s="124">
        <f t="shared" si="39"/>
      </c>
      <c r="S164" s="124">
        <f t="shared" si="141"/>
      </c>
      <c r="T164" s="125">
        <f t="shared" ref="T164:T167" si="169">AA164/60</f>
      </c>
      <c r="U164" s="126">
        <f t="shared" si="179"/>
      </c>
      <c r="V164" s="127">
        <f t="shared" si="180"/>
      </c>
      <c r="W164" s="126">
        <f t="shared" si="202"/>
      </c>
      <c r="X164" s="126">
        <f t="shared" si="181"/>
      </c>
      <c r="Y164" s="126">
        <f t="shared" ref="Y164:Y165" si="193">AE164/AD164</f>
      </c>
      <c r="Z164" s="120">
        <v>10479</v>
      </c>
      <c r="AA164" s="120">
        <v>517</v>
      </c>
      <c r="AB164" s="120">
        <v>58</v>
      </c>
      <c r="AC164" s="120">
        <v>51</v>
      </c>
      <c r="AD164" s="120">
        <v>8</v>
      </c>
      <c r="AE164" s="136">
        <f t="shared" ref="AE164:AE167" si="105">COUNT(AD164)</f>
      </c>
    </row>
    <row hidden="true" r="165">
      <c r="A165" s="114"/>
      <c r="B165" s="115" t="s">
        <v>88</v>
      </c>
      <c r="C165" s="115" t="s">
        <v>97</v>
      </c>
      <c r="D165" s="129">
        <v>3128.59</v>
      </c>
      <c r="E165" s="130">
        <v>6</v>
      </c>
      <c r="F165" s="130">
        <v>4</v>
      </c>
      <c r="G165" s="119">
        <f t="shared" si="40"/>
      </c>
      <c r="H165" s="131">
        <v>6</v>
      </c>
      <c r="I165" s="131">
        <v>3</v>
      </c>
      <c r="J165" s="132">
        <v>3678</v>
      </c>
      <c r="K165" s="131">
        <v>1</v>
      </c>
      <c r="L165" s="132">
        <v>1414.8000000000002</v>
      </c>
      <c r="M165" s="120">
        <f t="shared" si="68"/>
      </c>
      <c r="N165" s="119">
        <f t="shared" si="78"/>
      </c>
      <c r="O165" s="119">
        <f t="shared" si="0"/>
      </c>
      <c r="P165" s="123">
        <f t="shared" si="28"/>
      </c>
      <c r="Q165" s="119">
        <f t="shared" si="38"/>
      </c>
      <c r="R165" s="124">
        <f t="shared" si="39"/>
      </c>
      <c r="S165" s="134">
        <f t="shared" si="141"/>
      </c>
      <c r="T165" s="125">
        <f t="shared" si="169"/>
      </c>
      <c r="U165" s="126">
        <f t="shared" si="179"/>
      </c>
      <c r="V165" s="127">
        <f t="shared" si="180"/>
      </c>
      <c r="W165" s="126">
        <f t="shared" si="202"/>
      </c>
      <c r="X165" s="126">
        <f t="shared" si="181"/>
      </c>
      <c r="Y165" s="126">
        <f t="shared" si="193"/>
      </c>
      <c r="Z165" s="120">
        <v>10116</v>
      </c>
      <c r="AA165" s="131">
        <v>411</v>
      </c>
      <c r="AB165" s="131">
        <v>50</v>
      </c>
      <c r="AC165" s="131">
        <v>54</v>
      </c>
      <c r="AD165" s="131">
        <v>6</v>
      </c>
      <c r="AE165" s="136">
        <f t="shared" si="105"/>
      </c>
    </row>
    <row hidden="true" r="166">
      <c r="A166" s="114"/>
      <c r="B166" s="115" t="s">
        <v>89</v>
      </c>
      <c r="C166" s="115" t="s">
        <v>97</v>
      </c>
      <c r="D166" s="129">
        <v>3193.13</v>
      </c>
      <c r="E166" s="130">
        <v>2</v>
      </c>
      <c r="F166" s="130">
        <v>1</v>
      </c>
      <c r="G166" s="119">
        <f t="shared" si="40"/>
      </c>
      <c r="H166" s="131">
        <v>3</v>
      </c>
      <c r="I166" s="131">
        <v>0</v>
      </c>
      <c r="J166" s="132">
        <v>0</v>
      </c>
      <c r="K166" s="131">
        <v>1</v>
      </c>
      <c r="L166" s="132">
        <v>619.2000000000003</v>
      </c>
      <c r="M166" s="120">
        <f t="shared" si="68"/>
      </c>
      <c r="N166" s="119">
        <f t="shared" si="78"/>
      </c>
      <c r="O166" s="137">
        <f t="shared" si="0"/>
      </c>
      <c r="P166" s="123">
        <f t="shared" si="28"/>
      </c>
      <c r="Q166" s="137">
        <f t="shared" si="38"/>
      </c>
      <c r="R166" s="134">
        <f t="shared" si="39"/>
      </c>
      <c r="S166" s="134">
        <f t="shared" si="141"/>
      </c>
      <c r="T166" s="125">
        <f t="shared" si="169"/>
      </c>
      <c r="U166" s="138">
        <f t="shared" si="179"/>
      </c>
      <c r="V166" s="138">
        <f t="shared" si="180"/>
      </c>
      <c r="W166" s="138">
        <f t="shared" si="202"/>
      </c>
      <c r="X166" s="138">
        <f t="shared" si="181"/>
      </c>
      <c r="Y166" s="139">
        <f t="shared" ref="Y166:Y169" si="131">M166/AD166</f>
      </c>
      <c r="Z166" s="120">
        <v>10581</v>
      </c>
      <c r="AA166" s="131">
        <v>366</v>
      </c>
      <c r="AB166" s="131">
        <v>49</v>
      </c>
      <c r="AC166" s="131">
        <v>48</v>
      </c>
      <c r="AD166" s="131">
        <v>3</v>
      </c>
      <c r="AE166" s="136">
        <f t="shared" si="105"/>
      </c>
    </row>
    <row hidden="true" r="167">
      <c r="A167" s="114"/>
      <c r="B167" s="115" t="s">
        <v>91</v>
      </c>
      <c r="C167" s="115" t="s">
        <v>97</v>
      </c>
      <c r="D167" s="116">
        <v>1562.33</v>
      </c>
      <c r="E167" s="117">
        <v>2</v>
      </c>
      <c r="F167" s="117">
        <v>1</v>
      </c>
      <c r="G167" s="119">
        <f t="shared" si="40"/>
      </c>
      <c r="H167" s="120">
        <v>3</v>
      </c>
      <c r="I167" s="120">
        <v>1</v>
      </c>
      <c r="J167" s="121">
        <v>720</v>
      </c>
      <c r="K167" s="120">
        <v>0</v>
      </c>
      <c r="L167" s="121">
        <v>0</v>
      </c>
      <c r="M167" s="120">
        <f t="shared" si="68"/>
      </c>
      <c r="N167" s="119">
        <f t="shared" si="78"/>
      </c>
      <c r="O167" s="119">
        <f t="shared" si="0"/>
      </c>
      <c r="P167" s="123">
        <f t="shared" si="28"/>
      </c>
      <c r="Q167" s="119">
        <f t="shared" si="38"/>
      </c>
      <c r="R167" s="134">
        <f t="shared" si="39"/>
      </c>
      <c r="S167" s="134">
        <f t="shared" si="141"/>
      </c>
      <c r="T167" s="125">
        <f t="shared" si="169"/>
      </c>
      <c r="U167" s="126">
        <f t="shared" si="179"/>
      </c>
      <c r="V167" s="127">
        <f t="shared" si="180"/>
      </c>
      <c r="W167" s="138">
        <f t="shared" si="202"/>
      </c>
      <c r="X167" s="126">
        <f t="shared" si="181"/>
      </c>
      <c r="Y167" s="140">
        <f t="shared" si="131"/>
      </c>
      <c r="Z167" s="120">
        <v>6353</v>
      </c>
      <c r="AA167" s="120">
        <v>209</v>
      </c>
      <c r="AB167" s="120">
        <v>30</v>
      </c>
      <c r="AC167" s="120">
        <v>32</v>
      </c>
      <c r="AD167" s="120">
        <v>3</v>
      </c>
      <c r="AE167" s="136">
        <f t="shared" si="105"/>
      </c>
    </row>
    <row hidden="true" r="168">
      <c r="A168" s="114"/>
      <c r="B168" s="141" t="s">
        <v>90</v>
      </c>
      <c r="C168" s="141"/>
      <c r="D168" s="142">
        <f>SUM(D164:D167)</f>
      </c>
      <c r="E168" s="143">
        <f>SUM(E164:E167)</f>
      </c>
      <c r="F168" s="143">
        <f>SUM(F164:F167)</f>
      </c>
      <c r="G168" s="143">
        <f t="shared" si="40"/>
      </c>
      <c r="H168" s="143">
        <f>SUM(H164:H167)</f>
      </c>
      <c r="I168" s="143">
        <f>SUM(I164:I167)</f>
      </c>
      <c r="J168" s="144">
        <f>SUM(J164:J167)</f>
      </c>
      <c r="K168" s="143">
        <f>SUM(K164:K167)</f>
      </c>
      <c r="L168" s="144">
        <f>SUM(L164:L167)</f>
      </c>
      <c r="M168" s="143">
        <f>SUM(M164:M167)</f>
      </c>
      <c r="N168" s="143">
        <f t="shared" si="78"/>
      </c>
      <c r="O168" s="143">
        <f t="shared" si="0"/>
      </c>
      <c r="P168" s="145">
        <f>SUM(P164:P167)</f>
      </c>
      <c r="Q168" s="143">
        <f t="shared" si="38"/>
      </c>
      <c r="R168" s="146">
        <f t="shared" si="39"/>
      </c>
      <c r="S168" s="146">
        <f t="shared" si="141"/>
      </c>
      <c r="T168" s="147">
        <f>(T167+T165+T166+T164)/4</f>
      </c>
      <c r="U168" s="148">
        <f t="shared" si="179"/>
      </c>
      <c r="V168" s="148">
        <f t="shared" si="180"/>
      </c>
      <c r="W168" s="148">
        <f t="shared" si="202"/>
      </c>
      <c r="X168" s="148">
        <f t="shared" si="181"/>
      </c>
      <c r="Y168" s="148">
        <f t="shared" si="131"/>
      </c>
      <c r="Z168" s="143">
        <f>SUM(Z164:Z167)</f>
      </c>
      <c r="AA168" s="143">
        <f>SUM(AA164:AA167)</f>
      </c>
      <c r="AB168" s="143">
        <f>SUM(AB164:AB167)</f>
      </c>
      <c r="AC168" s="143">
        <f>SUM(AC164:AC167)</f>
      </c>
      <c r="AD168" s="143">
        <f>SUM(AD164:AD167)</f>
      </c>
      <c r="AE168" s="143">
        <f>SUM(AE164:AE167)</f>
      </c>
    </row>
    <row hidden="true" r="169">
      <c r="A169" s="114"/>
      <c r="B169" s="154" t="s">
        <v>96</v>
      </c>
      <c r="C169" s="154"/>
      <c r="D169" s="155">
        <f>D168</f>
      </c>
      <c r="E169" s="156">
        <f>E168</f>
      </c>
      <c r="F169" s="156">
        <f>F168</f>
      </c>
      <c r="G169" s="157">
        <f t="shared" si="40"/>
      </c>
      <c r="H169" s="156">
        <f>H168</f>
      </c>
      <c r="I169" s="156">
        <f>I168</f>
      </c>
      <c r="J169" s="159">
        <f>J168</f>
      </c>
      <c r="K169" s="156">
        <f>K168</f>
      </c>
      <c r="L169" s="159">
        <f>L168</f>
      </c>
      <c r="M169" s="156">
        <f>M168</f>
      </c>
      <c r="N169" s="157">
        <f t="shared" si="78"/>
      </c>
      <c r="O169" s="164">
        <f t="shared" si="0"/>
      </c>
      <c r="P169" s="155">
        <f>P168</f>
      </c>
      <c r="Q169" s="157">
        <f t="shared" si="38"/>
      </c>
      <c r="R169" s="160">
        <f t="shared" si="39"/>
      </c>
      <c r="S169" s="160">
        <f t="shared" si="141"/>
      </c>
      <c r="T169" s="161">
        <f>T168</f>
      </c>
      <c r="U169" s="162">
        <f t="shared" si="179"/>
      </c>
      <c r="V169" s="163">
        <f t="shared" si="180"/>
      </c>
      <c r="W169" s="162">
        <f t="shared" si="202"/>
      </c>
      <c r="X169" s="162">
        <f t="shared" si="181"/>
      </c>
      <c r="Y169" s="162">
        <f t="shared" si="131"/>
      </c>
      <c r="Z169" s="155">
        <f>Z168</f>
      </c>
      <c r="AA169" s="155">
        <f>AA168</f>
      </c>
      <c r="AB169" s="155">
        <f>AB168</f>
      </c>
      <c r="AC169" s="155">
        <f>AC168</f>
      </c>
      <c r="AD169" s="155">
        <f>AD168</f>
      </c>
      <c r="AE169" s="155">
        <f>AE168</f>
      </c>
    </row>
    <row hidden="true" r="170">
      <c r="A170" s="114">
        <v>46258</v>
      </c>
      <c r="B170" s="115" t="s">
        <v>87</v>
      </c>
      <c r="C170" s="115" t="s">
        <v>97</v>
      </c>
      <c r="D170" s="116">
        <v>3430.91</v>
      </c>
      <c r="E170" s="117">
        <v>4</v>
      </c>
      <c r="F170" s="117">
        <v>2</v>
      </c>
      <c r="G170" s="119">
        <f t="shared" si="40"/>
      </c>
      <c r="H170" s="131">
        <v>4</v>
      </c>
      <c r="I170" s="131">
        <v>0</v>
      </c>
      <c r="J170" s="132">
        <v>0</v>
      </c>
      <c r="K170" s="131">
        <v>2</v>
      </c>
      <c r="L170" s="132">
        <v>2176.8</v>
      </c>
      <c r="M170" s="120">
        <f t="shared" ref="M170:M173" si="69">K170+I170</f>
      </c>
      <c r="N170" s="119">
        <f t="shared" si="78"/>
      </c>
      <c r="O170" s="119">
        <f t="shared" si="0"/>
      </c>
      <c r="P170" s="123">
        <f t="shared" ref="P170:P173" si="29">J170+L170</f>
      </c>
      <c r="Q170" s="119">
        <f t="shared" si="38"/>
      </c>
      <c r="R170" s="124">
        <f t="shared" si="39"/>
      </c>
      <c r="S170" s="124">
        <f t="shared" si="141"/>
      </c>
      <c r="T170" s="125">
        <f t="shared" ref="T170:T173" si="170">AA170/60</f>
      </c>
      <c r="U170" s="126">
        <f t="shared" si="179"/>
      </c>
      <c r="V170" s="127">
        <f t="shared" si="180"/>
      </c>
      <c r="W170" s="126">
        <f t="shared" si="202"/>
      </c>
      <c r="X170" s="126">
        <f t="shared" si="181"/>
      </c>
      <c r="Y170" s="126">
        <f t="shared" ref="Y170:Y171" si="194">AE170/AD170</f>
      </c>
      <c r="Z170" s="120">
        <v>10835</v>
      </c>
      <c r="AA170" s="120">
        <v>499</v>
      </c>
      <c r="AB170" s="120">
        <v>54</v>
      </c>
      <c r="AC170" s="120">
        <v>42</v>
      </c>
      <c r="AD170" s="120">
        <v>4</v>
      </c>
      <c r="AE170" s="136">
        <f t="shared" ref="AE170:AE173" si="106">COUNT(AD170)</f>
      </c>
    </row>
    <row hidden="true" r="171">
      <c r="A171" s="114"/>
      <c r="B171" s="115" t="s">
        <v>88</v>
      </c>
      <c r="C171" s="115" t="s">
        <v>97</v>
      </c>
      <c r="D171" s="129">
        <v>3129.11</v>
      </c>
      <c r="E171" s="130">
        <v>5</v>
      </c>
      <c r="F171" s="130">
        <v>3</v>
      </c>
      <c r="G171" s="119">
        <f t="shared" si="40"/>
      </c>
      <c r="H171" s="131">
        <v>7</v>
      </c>
      <c r="I171" s="131">
        <v>2</v>
      </c>
      <c r="J171" s="132">
        <v>1440</v>
      </c>
      <c r="K171" s="131">
        <v>1</v>
      </c>
      <c r="L171" s="132">
        <v>1088.4</v>
      </c>
      <c r="M171" s="120">
        <f t="shared" si="69"/>
      </c>
      <c r="N171" s="119">
        <f t="shared" si="78"/>
      </c>
      <c r="O171" s="119">
        <f t="shared" si="0"/>
      </c>
      <c r="P171" s="123">
        <f t="shared" si="29"/>
      </c>
      <c r="Q171" s="119">
        <f t="shared" si="38"/>
      </c>
      <c r="R171" s="124">
        <f t="shared" si="39"/>
      </c>
      <c r="S171" s="134">
        <f t="shared" si="141"/>
      </c>
      <c r="T171" s="125">
        <f t="shared" si="170"/>
      </c>
      <c r="U171" s="126">
        <f t="shared" si="179"/>
      </c>
      <c r="V171" s="127">
        <f t="shared" si="180"/>
      </c>
      <c r="W171" s="126">
        <f t="shared" si="202"/>
      </c>
      <c r="X171" s="126">
        <f t="shared" si="181"/>
      </c>
      <c r="Y171" s="126">
        <f t="shared" si="194"/>
      </c>
      <c r="Z171" s="120">
        <v>11878</v>
      </c>
      <c r="AA171" s="131">
        <v>458</v>
      </c>
      <c r="AB171" s="131">
        <v>47</v>
      </c>
      <c r="AC171" s="131">
        <v>68</v>
      </c>
      <c r="AD171" s="131">
        <v>7</v>
      </c>
      <c r="AE171" s="136">
        <f t="shared" si="106"/>
      </c>
    </row>
    <row hidden="true" r="172">
      <c r="A172" s="114"/>
      <c r="B172" s="115" t="s">
        <v>89</v>
      </c>
      <c r="C172" s="115" t="s">
        <v>97</v>
      </c>
      <c r="D172" s="129">
        <v>2602.88</v>
      </c>
      <c r="E172" s="130">
        <v>4</v>
      </c>
      <c r="F172" s="130">
        <v>1</v>
      </c>
      <c r="G172" s="119">
        <f t="shared" si="40"/>
      </c>
      <c r="H172" s="131">
        <v>4</v>
      </c>
      <c r="I172" s="131">
        <v>1</v>
      </c>
      <c r="J172" s="132">
        <v>720</v>
      </c>
      <c r="K172" s="131">
        <v>0</v>
      </c>
      <c r="L172" s="132">
        <v>0</v>
      </c>
      <c r="M172" s="120">
        <f t="shared" si="69"/>
      </c>
      <c r="N172" s="119">
        <f t="shared" si="78"/>
      </c>
      <c r="O172" s="137">
        <f t="shared" si="0"/>
      </c>
      <c r="P172" s="123">
        <f t="shared" si="29"/>
      </c>
      <c r="Q172" s="137">
        <f t="shared" si="38"/>
      </c>
      <c r="R172" s="134">
        <f t="shared" si="39"/>
      </c>
      <c r="S172" s="134">
        <f t="shared" si="141"/>
      </c>
      <c r="T172" s="125">
        <f t="shared" si="170"/>
      </c>
      <c r="U172" s="138">
        <f t="shared" si="179"/>
      </c>
      <c r="V172" s="138">
        <f t="shared" si="180"/>
      </c>
      <c r="W172" s="138">
        <f t="shared" si="202"/>
      </c>
      <c r="X172" s="138">
        <f t="shared" si="181"/>
      </c>
      <c r="Y172" s="139">
        <f t="shared" ref="Y172:Y175" si="132">M172/AD172</f>
      </c>
      <c r="Z172" s="120">
        <v>9058</v>
      </c>
      <c r="AA172" s="131">
        <v>340</v>
      </c>
      <c r="AB172" s="131">
        <v>74</v>
      </c>
      <c r="AC172" s="131">
        <v>51</v>
      </c>
      <c r="AD172" s="131">
        <v>4</v>
      </c>
      <c r="AE172" s="136">
        <f t="shared" si="106"/>
      </c>
    </row>
    <row hidden="true" r="173">
      <c r="A173" s="114"/>
      <c r="B173" s="115" t="s">
        <v>91</v>
      </c>
      <c r="C173" s="115" t="s">
        <v>97</v>
      </c>
      <c r="D173" s="116">
        <v>2176.56</v>
      </c>
      <c r="E173" s="117">
        <v>2</v>
      </c>
      <c r="F173" s="117">
        <v>1</v>
      </c>
      <c r="G173" s="119">
        <f t="shared" si="40"/>
      </c>
      <c r="H173" s="120">
        <v>5</v>
      </c>
      <c r="I173" s="120">
        <v>1</v>
      </c>
      <c r="J173" s="121">
        <v>2846.3999999999996</v>
      </c>
      <c r="K173" s="120">
        <v>1</v>
      </c>
      <c r="L173" s="121">
        <v>2722.7999999999997</v>
      </c>
      <c r="M173" s="120">
        <f t="shared" si="69"/>
      </c>
      <c r="N173" s="119">
        <f t="shared" si="78"/>
      </c>
      <c r="O173" s="119">
        <f t="shared" si="0"/>
      </c>
      <c r="P173" s="123">
        <f t="shared" si="29"/>
      </c>
      <c r="Q173" s="119">
        <f t="shared" si="38"/>
      </c>
      <c r="R173" s="134">
        <f t="shared" si="39"/>
      </c>
      <c r="S173" s="134">
        <f t="shared" si="141"/>
      </c>
      <c r="T173" s="125">
        <f t="shared" si="170"/>
      </c>
      <c r="U173" s="126">
        <f t="shared" si="179"/>
      </c>
      <c r="V173" s="127">
        <f t="shared" si="180"/>
      </c>
      <c r="W173" s="138">
        <f t="shared" si="202"/>
      </c>
      <c r="X173" s="126">
        <f t="shared" si="181"/>
      </c>
      <c r="Y173" s="140">
        <f t="shared" si="132"/>
      </c>
      <c r="Z173" s="120">
        <v>8943</v>
      </c>
      <c r="AA173" s="120">
        <v>397</v>
      </c>
      <c r="AB173" s="120">
        <v>32</v>
      </c>
      <c r="AC173" s="120">
        <v>43</v>
      </c>
      <c r="AD173" s="120">
        <v>5</v>
      </c>
      <c r="AE173" s="136">
        <f t="shared" si="106"/>
      </c>
    </row>
    <row hidden="true" r="174">
      <c r="A174" s="114"/>
      <c r="B174" s="141" t="s">
        <v>90</v>
      </c>
      <c r="C174" s="141"/>
      <c r="D174" s="142">
        <f>SUM(D170:D173)</f>
      </c>
      <c r="E174" s="143">
        <f>SUM(E170:E173)</f>
      </c>
      <c r="F174" s="143">
        <f>SUM(F170:F173)</f>
      </c>
      <c r="G174" s="143">
        <f t="shared" si="40"/>
      </c>
      <c r="H174" s="143">
        <f>SUM(H170:H173)</f>
      </c>
      <c r="I174" s="143">
        <f>SUM(I170:I173)</f>
      </c>
      <c r="J174" s="144">
        <f>SUM(J170:J173)</f>
      </c>
      <c r="K174" s="143">
        <f>SUM(K170:K173)</f>
      </c>
      <c r="L174" s="144">
        <f>SUM(L170:L173)</f>
      </c>
      <c r="M174" s="143">
        <f>SUM(M170:M173)</f>
      </c>
      <c r="N174" s="143">
        <f t="shared" si="78"/>
      </c>
      <c r="O174" s="143">
        <f t="shared" si="0"/>
      </c>
      <c r="P174" s="145">
        <f>SUM(P170:P173)</f>
      </c>
      <c r="Q174" s="143">
        <f t="shared" si="38"/>
      </c>
      <c r="R174" s="146">
        <f t="shared" si="39"/>
      </c>
      <c r="S174" s="146">
        <f t="shared" si="141"/>
      </c>
      <c r="T174" s="147">
        <f>(T173+T171+T172+T170)/4</f>
      </c>
      <c r="U174" s="148">
        <f t="shared" si="179"/>
      </c>
      <c r="V174" s="148">
        <f t="shared" si="180"/>
      </c>
      <c r="W174" s="148">
        <f t="shared" si="202"/>
      </c>
      <c r="X174" s="148">
        <f t="shared" si="181"/>
      </c>
      <c r="Y174" s="148">
        <f t="shared" si="132"/>
      </c>
      <c r="Z174" s="143">
        <f>SUM(Z170:Z173)</f>
      </c>
      <c r="AA174" s="143">
        <f>SUM(AA170:AA173)</f>
      </c>
      <c r="AB174" s="143">
        <f>SUM(AB170:AB173)</f>
      </c>
      <c r="AC174" s="143">
        <f>SUM(AC170:AC173)</f>
      </c>
      <c r="AD174" s="143">
        <f>SUM(AD170:AD173)</f>
      </c>
      <c r="AE174" s="143">
        <f>SUM(AE170:AE173)</f>
      </c>
    </row>
    <row hidden="true" r="175">
      <c r="A175" s="114"/>
      <c r="B175" s="154" t="s">
        <v>96</v>
      </c>
      <c r="C175" s="154"/>
      <c r="D175" s="155">
        <f>D174</f>
      </c>
      <c r="E175" s="156">
        <f>E174</f>
      </c>
      <c r="F175" s="156">
        <f>F174</f>
      </c>
      <c r="G175" s="157">
        <f t="shared" si="40"/>
      </c>
      <c r="H175" s="156">
        <f>H174</f>
      </c>
      <c r="I175" s="156">
        <f>I174</f>
      </c>
      <c r="J175" s="159">
        <f>J174</f>
      </c>
      <c r="K175" s="156">
        <f>K174</f>
      </c>
      <c r="L175" s="159">
        <f>L174</f>
      </c>
      <c r="M175" s="156">
        <f>M174</f>
      </c>
      <c r="N175" s="157">
        <f t="shared" si="78"/>
      </c>
      <c r="O175" s="164">
        <f t="shared" si="0"/>
      </c>
      <c r="P175" s="155">
        <f>P174</f>
      </c>
      <c r="Q175" s="157">
        <f t="shared" si="38"/>
      </c>
      <c r="R175" s="160">
        <f t="shared" si="39"/>
      </c>
      <c r="S175" s="160">
        <f t="shared" si="141"/>
      </c>
      <c r="T175" s="161">
        <f>T174</f>
      </c>
      <c r="U175" s="162">
        <f t="shared" si="179"/>
      </c>
      <c r="V175" s="163">
        <f t="shared" si="180"/>
      </c>
      <c r="W175" s="162">
        <f t="shared" si="202"/>
      </c>
      <c r="X175" s="162">
        <f t="shared" si="181"/>
      </c>
      <c r="Y175" s="162">
        <f t="shared" si="132"/>
      </c>
      <c r="Z175" s="155">
        <f>Z174</f>
      </c>
      <c r="AA175" s="155">
        <f>AA174</f>
      </c>
      <c r="AB175" s="155">
        <f>AB174</f>
      </c>
      <c r="AC175" s="155">
        <f>AC174</f>
      </c>
      <c r="AD175" s="155">
        <f>AD174</f>
      </c>
      <c r="AE175" s="155">
        <f>AE174</f>
      </c>
    </row>
    <row hidden="true" r="176">
      <c r="A176" s="114">
        <v>46259</v>
      </c>
      <c r="B176" s="115" t="s">
        <v>87</v>
      </c>
      <c r="C176" s="115" t="s">
        <v>92</v>
      </c>
      <c r="D176" s="116">
        <v>3417.87</v>
      </c>
      <c r="E176" s="117">
        <v>7</v>
      </c>
      <c r="F176" s="117">
        <v>2</v>
      </c>
      <c r="G176" s="119">
        <f t="shared" si="40"/>
      </c>
      <c r="H176" s="131">
        <v>10</v>
      </c>
      <c r="I176" s="131">
        <v>2</v>
      </c>
      <c r="J176" s="132">
        <v>2474.3999999999996</v>
      </c>
      <c r="K176" s="131">
        <v>2</v>
      </c>
      <c r="L176" s="132">
        <v>4573.200000000001</v>
      </c>
      <c r="M176" s="120">
        <f t="shared" ref="M176:M179" si="70">K176+I176</f>
      </c>
      <c r="N176" s="119">
        <f t="shared" si="78"/>
      </c>
      <c r="O176" s="119">
        <f t="shared" si="0"/>
      </c>
      <c r="P176" s="123">
        <f t="shared" ref="P176:P179" si="30">J176+L176</f>
      </c>
      <c r="Q176" s="119">
        <f t="shared" si="38"/>
      </c>
      <c r="R176" s="124">
        <f t="shared" si="39"/>
      </c>
      <c r="S176" s="124">
        <f t="shared" si="141"/>
      </c>
      <c r="T176" s="125">
        <f t="shared" ref="T176:T179" si="171">AA176/60</f>
      </c>
      <c r="U176" s="126">
        <f t="shared" si="179"/>
      </c>
      <c r="V176" s="127">
        <f t="shared" si="180"/>
      </c>
      <c r="W176" s="126">
        <f t="shared" si="202"/>
      </c>
      <c r="X176" s="126">
        <f t="shared" si="181"/>
      </c>
      <c r="Y176" s="126">
        <f t="shared" ref="Y176:Y177" si="195">AE176/AD176</f>
      </c>
      <c r="Z176" s="120">
        <v>11163</v>
      </c>
      <c r="AA176" s="120">
        <v>462</v>
      </c>
      <c r="AB176" s="120">
        <v>69</v>
      </c>
      <c r="AC176" s="120">
        <v>76</v>
      </c>
      <c r="AD176" s="120">
        <v>10</v>
      </c>
      <c r="AE176" s="136">
        <f t="shared" ref="AE176:AE179" si="107">COUNT(AD176)</f>
      </c>
    </row>
    <row hidden="true" r="177">
      <c r="A177" s="114"/>
      <c r="B177" s="115" t="s">
        <v>88</v>
      </c>
      <c r="C177" s="115" t="s">
        <v>92</v>
      </c>
      <c r="D177" s="129">
        <v>3483.22</v>
      </c>
      <c r="E177" s="130">
        <v>4</v>
      </c>
      <c r="F177" s="130">
        <v>4</v>
      </c>
      <c r="G177" s="119">
        <f t="shared" si="40"/>
      </c>
      <c r="H177" s="131">
        <v>5</v>
      </c>
      <c r="I177" s="131">
        <v>3</v>
      </c>
      <c r="J177" s="132">
        <v>2271.6000000000004</v>
      </c>
      <c r="K177" s="131">
        <v>0</v>
      </c>
      <c r="L177" s="132">
        <v>0</v>
      </c>
      <c r="M177" s="120">
        <f t="shared" si="70"/>
      </c>
      <c r="N177" s="119">
        <f t="shared" si="78"/>
      </c>
      <c r="O177" s="119">
        <f t="shared" si="0"/>
      </c>
      <c r="P177" s="123">
        <f t="shared" si="30"/>
      </c>
      <c r="Q177" s="119">
        <f t="shared" si="38"/>
      </c>
      <c r="R177" s="124">
        <f t="shared" si="39"/>
      </c>
      <c r="S177" s="134">
        <f t="shared" si="141"/>
      </c>
      <c r="T177" s="125">
        <f t="shared" si="171"/>
      </c>
      <c r="U177" s="126">
        <f t="shared" si="179"/>
      </c>
      <c r="V177" s="127">
        <f t="shared" si="180"/>
      </c>
      <c r="W177" s="126">
        <f t="shared" si="202"/>
      </c>
      <c r="X177" s="126">
        <f t="shared" si="181"/>
      </c>
      <c r="Y177" s="126">
        <f t="shared" si="195"/>
      </c>
      <c r="Z177" s="120">
        <v>10609</v>
      </c>
      <c r="AA177" s="131">
        <v>419</v>
      </c>
      <c r="AB177" s="131">
        <v>79</v>
      </c>
      <c r="AC177" s="131">
        <v>66</v>
      </c>
      <c r="AD177" s="131">
        <v>5</v>
      </c>
      <c r="AE177" s="136">
        <f t="shared" si="107"/>
      </c>
    </row>
    <row hidden="true" r="178">
      <c r="A178" s="114"/>
      <c r="B178" s="115" t="s">
        <v>89</v>
      </c>
      <c r="C178" s="115" t="s">
        <v>92</v>
      </c>
      <c r="D178" s="129">
        <v>2789.21</v>
      </c>
      <c r="E178" s="130">
        <v>4</v>
      </c>
      <c r="F178" s="130">
        <v>3</v>
      </c>
      <c r="G178" s="119">
        <f t="shared" si="40"/>
      </c>
      <c r="H178" s="131">
        <v>5</v>
      </c>
      <c r="I178" s="131">
        <v>3</v>
      </c>
      <c r="J178" s="132">
        <v>2541.5999999999995</v>
      </c>
      <c r="K178" s="131">
        <v>0</v>
      </c>
      <c r="L178" s="132">
        <v>0</v>
      </c>
      <c r="M178" s="120">
        <f t="shared" si="70"/>
      </c>
      <c r="N178" s="119">
        <f t="shared" si="78"/>
      </c>
      <c r="O178" s="137">
        <f t="shared" si="0"/>
      </c>
      <c r="P178" s="123">
        <f t="shared" si="30"/>
      </c>
      <c r="Q178" s="137">
        <f t="shared" si="38"/>
      </c>
      <c r="R178" s="134">
        <f t="shared" si="39"/>
      </c>
      <c r="S178" s="134">
        <f t="shared" si="141"/>
      </c>
      <c r="T178" s="125">
        <f t="shared" si="171"/>
      </c>
      <c r="U178" s="138">
        <f t="shared" si="179"/>
      </c>
      <c r="V178" s="138">
        <f t="shared" si="180"/>
      </c>
      <c r="W178" s="138">
        <f t="shared" si="202"/>
      </c>
      <c r="X178" s="138">
        <f t="shared" si="181"/>
      </c>
      <c r="Y178" s="139">
        <f t="shared" ref="Y178:Y181" si="133">M178/AD178</f>
      </c>
      <c r="Z178" s="120">
        <v>9626</v>
      </c>
      <c r="AA178" s="131">
        <v>363</v>
      </c>
      <c r="AB178" s="131">
        <v>46</v>
      </c>
      <c r="AC178" s="131">
        <v>51</v>
      </c>
      <c r="AD178" s="131">
        <v>5</v>
      </c>
      <c r="AE178" s="136">
        <f t="shared" si="107"/>
      </c>
    </row>
    <row hidden="true" r="179">
      <c r="A179" s="114"/>
      <c r="B179" s="115" t="s">
        <v>91</v>
      </c>
      <c r="C179" s="115" t="s">
        <v>92</v>
      </c>
      <c r="D179" s="116">
        <v>2008.4</v>
      </c>
      <c r="E179" s="117">
        <v>3</v>
      </c>
      <c r="F179" s="117">
        <v>2</v>
      </c>
      <c r="G179" s="119">
        <f t="shared" si="40"/>
      </c>
      <c r="H179" s="120">
        <v>4</v>
      </c>
      <c r="I179" s="120">
        <v>2</v>
      </c>
      <c r="J179" s="121">
        <v>1929.5999999999995</v>
      </c>
      <c r="K179" s="120">
        <v>0</v>
      </c>
      <c r="L179" s="121">
        <v>0</v>
      </c>
      <c r="M179" s="120">
        <f t="shared" si="70"/>
      </c>
      <c r="N179" s="119">
        <f t="shared" si="78"/>
      </c>
      <c r="O179" s="119">
        <f t="shared" si="0"/>
      </c>
      <c r="P179" s="123">
        <f t="shared" si="30"/>
      </c>
      <c r="Q179" s="119">
        <f t="shared" si="38"/>
      </c>
      <c r="R179" s="134">
        <f t="shared" si="39"/>
      </c>
      <c r="S179" s="134">
        <f t="shared" si="141"/>
      </c>
      <c r="T179" s="125">
        <f t="shared" si="171"/>
      </c>
      <c r="U179" s="126">
        <f t="shared" si="179"/>
      </c>
      <c r="V179" s="127">
        <f t="shared" si="180"/>
      </c>
      <c r="W179" s="138">
        <f t="shared" si="202"/>
      </c>
      <c r="X179" s="126">
        <f t="shared" si="181"/>
      </c>
      <c r="Y179" s="140">
        <f t="shared" si="133"/>
      </c>
      <c r="Z179" s="120">
        <v>7234</v>
      </c>
      <c r="AA179" s="120">
        <v>253</v>
      </c>
      <c r="AB179" s="120">
        <v>69</v>
      </c>
      <c r="AC179" s="120">
        <v>42</v>
      </c>
      <c r="AD179" s="120">
        <v>4</v>
      </c>
      <c r="AE179" s="136">
        <f t="shared" si="107"/>
      </c>
    </row>
    <row hidden="true" r="180">
      <c r="A180" s="114"/>
      <c r="B180" s="141" t="s">
        <v>90</v>
      </c>
      <c r="C180" s="141"/>
      <c r="D180" s="142">
        <f>SUM(D176:D179)</f>
      </c>
      <c r="E180" s="143">
        <f>SUM(E176:E179)</f>
      </c>
      <c r="F180" s="143">
        <f>SUM(F176:F179)</f>
      </c>
      <c r="G180" s="143">
        <f t="shared" si="40"/>
      </c>
      <c r="H180" s="143">
        <f>SUM(H176:H179)</f>
      </c>
      <c r="I180" s="143">
        <f>SUM(I176:I179)</f>
      </c>
      <c r="J180" s="144">
        <f>SUM(J176:J179)</f>
      </c>
      <c r="K180" s="143">
        <f>SUM(K176:K179)</f>
      </c>
      <c r="L180" s="144">
        <f>SUM(L176:L179)</f>
      </c>
      <c r="M180" s="143">
        <f>SUM(M176:M179)</f>
      </c>
      <c r="N180" s="143">
        <f t="shared" si="78"/>
      </c>
      <c r="O180" s="143">
        <f t="shared" si="0"/>
      </c>
      <c r="P180" s="145">
        <f>SUM(P176:P179)</f>
      </c>
      <c r="Q180" s="143">
        <f t="shared" si="38"/>
      </c>
      <c r="R180" s="146">
        <f t="shared" si="39"/>
      </c>
      <c r="S180" s="146">
        <f t="shared" si="141"/>
      </c>
      <c r="T180" s="147">
        <f>(T179+T177+T178+T176)/4</f>
      </c>
      <c r="U180" s="148">
        <f t="shared" si="179"/>
      </c>
      <c r="V180" s="148">
        <f t="shared" si="180"/>
      </c>
      <c r="W180" s="148">
        <f t="shared" si="202"/>
      </c>
      <c r="X180" s="148">
        <f t="shared" si="181"/>
      </c>
      <c r="Y180" s="148">
        <f t="shared" si="133"/>
      </c>
      <c r="Z180" s="143">
        <f>SUM(Z176:Z179)</f>
      </c>
      <c r="AA180" s="143">
        <f>SUM(AA176:AA179)</f>
      </c>
      <c r="AB180" s="143">
        <f>SUM(AB176:AB179)</f>
      </c>
      <c r="AC180" s="143">
        <f>SUM(AC176:AC179)</f>
      </c>
      <c r="AD180" s="143">
        <f>SUM(AD176:AD179)</f>
      </c>
      <c r="AE180" s="143">
        <f>SUM(AE176:AE179)</f>
      </c>
    </row>
    <row hidden="true" r="181">
      <c r="A181" s="114"/>
      <c r="B181" s="154" t="s">
        <v>96</v>
      </c>
      <c r="C181" s="154"/>
      <c r="D181" s="155">
        <f>D180</f>
      </c>
      <c r="E181" s="156">
        <f>E180</f>
      </c>
      <c r="F181" s="156">
        <f>F180</f>
      </c>
      <c r="G181" s="157">
        <f t="shared" si="40"/>
      </c>
      <c r="H181" s="156">
        <f>H180</f>
      </c>
      <c r="I181" s="156">
        <f>I180</f>
      </c>
      <c r="J181" s="159">
        <f>J180</f>
      </c>
      <c r="K181" s="156">
        <f>K180</f>
      </c>
      <c r="L181" s="159">
        <f>L180</f>
      </c>
      <c r="M181" s="156">
        <f>M180</f>
      </c>
      <c r="N181" s="157">
        <f t="shared" si="78"/>
      </c>
      <c r="O181" s="164">
        <f t="shared" si="0"/>
      </c>
      <c r="P181" s="155">
        <f>P180</f>
      </c>
      <c r="Q181" s="157">
        <f t="shared" si="38"/>
      </c>
      <c r="R181" s="160">
        <f t="shared" si="39"/>
      </c>
      <c r="S181" s="160">
        <f t="shared" si="141"/>
      </c>
      <c r="T181" s="161">
        <f>T180</f>
      </c>
      <c r="U181" s="162">
        <f t="shared" si="179"/>
      </c>
      <c r="V181" s="163">
        <f t="shared" si="180"/>
      </c>
      <c r="W181" s="162">
        <f t="shared" si="202"/>
      </c>
      <c r="X181" s="162">
        <f t="shared" si="181"/>
      </c>
      <c r="Y181" s="162">
        <f t="shared" si="133"/>
      </c>
      <c r="Z181" s="155">
        <f>Z180</f>
      </c>
      <c r="AA181" s="155">
        <f>AA180</f>
      </c>
      <c r="AB181" s="155">
        <f>AB180</f>
      </c>
      <c r="AC181" s="155">
        <f>AC180</f>
      </c>
      <c r="AD181" s="155">
        <f>AD180</f>
      </c>
      <c r="AE181" s="155">
        <f>AE180</f>
      </c>
    </row>
    <row hidden="true" r="182">
      <c r="A182" s="114">
        <v>46260</v>
      </c>
      <c r="B182" s="115" t="s">
        <v>87</v>
      </c>
      <c r="C182" s="115" t="s">
        <v>92</v>
      </c>
      <c r="D182" s="116">
        <v>3249.38</v>
      </c>
      <c r="E182" s="117">
        <v>10</v>
      </c>
      <c r="F182" s="117">
        <v>2</v>
      </c>
      <c r="G182" s="119">
        <f t="shared" si="40"/>
      </c>
      <c r="H182" s="131">
        <v>12</v>
      </c>
      <c r="I182" s="131">
        <v>1</v>
      </c>
      <c r="J182" s="132">
        <v>1525.1999999999998</v>
      </c>
      <c r="K182" s="131">
        <v>1</v>
      </c>
      <c r="L182" s="132">
        <v>1414.8000000000002</v>
      </c>
      <c r="M182" s="120">
        <f t="shared" ref="M182:M185" si="71">K182+I182</f>
      </c>
      <c r="N182" s="119">
        <f t="shared" si="78"/>
      </c>
      <c r="O182" s="119">
        <f t="shared" si="0"/>
      </c>
      <c r="P182" s="123">
        <f t="shared" ref="P182:P185" si="31">J182+L182</f>
      </c>
      <c r="Q182" s="119">
        <f t="shared" si="38"/>
      </c>
      <c r="R182" s="124">
        <f t="shared" si="39"/>
      </c>
      <c r="S182" s="124">
        <f t="shared" si="141"/>
      </c>
      <c r="T182" s="125">
        <f t="shared" ref="T182:T185" si="172">AA182/60</f>
      </c>
      <c r="U182" s="126">
        <f t="shared" si="179"/>
      </c>
      <c r="V182" s="127">
        <f t="shared" si="180"/>
      </c>
      <c r="W182" s="126">
        <f t="shared" si="202"/>
      </c>
      <c r="X182" s="126">
        <f t="shared" si="181"/>
      </c>
      <c r="Y182" s="126">
        <f t="shared" ref="Y182:Y183" si="196">AE182/AD182</f>
      </c>
      <c r="Z182" s="120">
        <v>12192</v>
      </c>
      <c r="AA182" s="120">
        <v>425</v>
      </c>
      <c r="AB182" s="120">
        <v>80</v>
      </c>
      <c r="AC182" s="120">
        <v>59</v>
      </c>
      <c r="AD182" s="120">
        <v>12</v>
      </c>
      <c r="AE182" s="136">
        <f t="shared" ref="AE182:AE185" si="108">COUNT(AD182)</f>
      </c>
    </row>
    <row hidden="true" r="183">
      <c r="A183" s="114"/>
      <c r="B183" s="115" t="s">
        <v>88</v>
      </c>
      <c r="C183" s="115" t="s">
        <v>92</v>
      </c>
      <c r="D183" s="129">
        <v>2468.72</v>
      </c>
      <c r="E183" s="130">
        <v>4</v>
      </c>
      <c r="F183" s="130">
        <v>2</v>
      </c>
      <c r="G183" s="119">
        <f t="shared" si="40"/>
      </c>
      <c r="H183" s="131">
        <v>5</v>
      </c>
      <c r="I183" s="131">
        <v>2</v>
      </c>
      <c r="J183" s="132">
        <v>1554.6</v>
      </c>
      <c r="K183" s="131">
        <v>0</v>
      </c>
      <c r="L183" s="132">
        <v>0</v>
      </c>
      <c r="M183" s="120">
        <f t="shared" si="71"/>
      </c>
      <c r="N183" s="119">
        <f t="shared" si="78"/>
      </c>
      <c r="O183" s="119">
        <f t="shared" si="0"/>
      </c>
      <c r="P183" s="123">
        <f t="shared" si="31"/>
      </c>
      <c r="Q183" s="119">
        <f t="shared" si="38"/>
      </c>
      <c r="R183" s="124">
        <f t="shared" si="39"/>
      </c>
      <c r="S183" s="134">
        <f t="shared" si="141"/>
      </c>
      <c r="T183" s="125">
        <f t="shared" si="172"/>
      </c>
      <c r="U183" s="126">
        <f t="shared" si="179"/>
      </c>
      <c r="V183" s="127">
        <f t="shared" si="180"/>
      </c>
      <c r="W183" s="126">
        <f t="shared" si="202"/>
      </c>
      <c r="X183" s="126">
        <f t="shared" si="181"/>
      </c>
      <c r="Y183" s="126">
        <f t="shared" si="196"/>
      </c>
      <c r="Z183" s="120">
        <v>8518</v>
      </c>
      <c r="AA183" s="131">
        <v>356</v>
      </c>
      <c r="AB183" s="131">
        <v>41</v>
      </c>
      <c r="AC183" s="131">
        <v>49</v>
      </c>
      <c r="AD183" s="131">
        <v>5</v>
      </c>
      <c r="AE183" s="136">
        <f t="shared" si="108"/>
      </c>
    </row>
    <row hidden="true" r="184">
      <c r="A184" s="114"/>
      <c r="B184" s="115" t="s">
        <v>89</v>
      </c>
      <c r="C184" s="115" t="s">
        <v>92</v>
      </c>
      <c r="D184" s="129">
        <v>3757.52</v>
      </c>
      <c r="E184" s="130">
        <v>8</v>
      </c>
      <c r="F184" s="130">
        <v>4</v>
      </c>
      <c r="G184" s="119">
        <f t="shared" si="40"/>
      </c>
      <c r="H184" s="131">
        <v>8</v>
      </c>
      <c r="I184" s="131">
        <v>2</v>
      </c>
      <c r="J184" s="132">
        <v>1319.9999999999995</v>
      </c>
      <c r="K184" s="131">
        <v>2</v>
      </c>
      <c r="L184" s="132">
        <v>2720.4000000000005</v>
      </c>
      <c r="M184" s="120">
        <f t="shared" si="71"/>
      </c>
      <c r="N184" s="119">
        <f t="shared" si="78"/>
      </c>
      <c r="O184" s="137">
        <f t="shared" si="0"/>
      </c>
      <c r="P184" s="123">
        <f t="shared" si="31"/>
      </c>
      <c r="Q184" s="137">
        <f t="shared" si="38"/>
      </c>
      <c r="R184" s="134">
        <f t="shared" si="39"/>
      </c>
      <c r="S184" s="134">
        <f t="shared" si="141"/>
      </c>
      <c r="T184" s="125">
        <f t="shared" si="172"/>
      </c>
      <c r="U184" s="138">
        <f t="shared" si="179"/>
      </c>
      <c r="V184" s="138">
        <f t="shared" si="180"/>
      </c>
      <c r="W184" s="138">
        <f t="shared" si="202"/>
      </c>
      <c r="X184" s="138">
        <f t="shared" si="181"/>
      </c>
      <c r="Y184" s="139">
        <f t="shared" ref="Y184:Y187" si="134">M184/AD184</f>
      </c>
      <c r="Z184" s="120">
        <v>12507</v>
      </c>
      <c r="AA184" s="131">
        <v>416</v>
      </c>
      <c r="AB184" s="131">
        <v>88</v>
      </c>
      <c r="AC184" s="131">
        <v>48</v>
      </c>
      <c r="AD184" s="131">
        <v>8</v>
      </c>
      <c r="AE184" s="136">
        <f t="shared" si="108"/>
      </c>
    </row>
    <row hidden="true" r="185">
      <c r="A185" s="114"/>
      <c r="B185" s="115" t="s">
        <v>91</v>
      </c>
      <c r="C185" s="115" t="s">
        <v>92</v>
      </c>
      <c r="D185" s="116">
        <v>2313.03</v>
      </c>
      <c r="E185" s="117">
        <v>5</v>
      </c>
      <c r="F185" s="117">
        <v>2</v>
      </c>
      <c r="G185" s="119">
        <f t="shared" si="40"/>
      </c>
      <c r="H185" s="120">
        <v>6</v>
      </c>
      <c r="I185" s="120">
        <v>0</v>
      </c>
      <c r="J185" s="121">
        <v>0</v>
      </c>
      <c r="K185" s="120">
        <v>2</v>
      </c>
      <c r="L185" s="121">
        <v>3560.3999999999987</v>
      </c>
      <c r="M185" s="120">
        <f t="shared" si="71"/>
      </c>
      <c r="N185" s="119">
        <f t="shared" si="78"/>
      </c>
      <c r="O185" s="119">
        <f t="shared" si="0"/>
      </c>
      <c r="P185" s="123">
        <f t="shared" si="31"/>
      </c>
      <c r="Q185" s="119">
        <f t="shared" si="38"/>
      </c>
      <c r="R185" s="134">
        <f t="shared" si="39"/>
      </c>
      <c r="S185" s="134">
        <f t="shared" si="141"/>
      </c>
      <c r="T185" s="125">
        <f t="shared" si="172"/>
      </c>
      <c r="U185" s="126">
        <f t="shared" si="179"/>
      </c>
      <c r="V185" s="127">
        <f t="shared" si="180"/>
      </c>
      <c r="W185" s="138">
        <f t="shared" si="202"/>
      </c>
      <c r="X185" s="126">
        <f t="shared" si="181"/>
      </c>
      <c r="Y185" s="140">
        <f t="shared" si="134"/>
      </c>
      <c r="Z185" s="120">
        <v>8544</v>
      </c>
      <c r="AA185" s="120">
        <v>267</v>
      </c>
      <c r="AB185" s="120">
        <v>67</v>
      </c>
      <c r="AC185" s="120">
        <v>36</v>
      </c>
      <c r="AD185" s="120">
        <v>6</v>
      </c>
      <c r="AE185" s="136">
        <f t="shared" si="108"/>
      </c>
    </row>
    <row hidden="true" r="186">
      <c r="A186" s="114"/>
      <c r="B186" s="141" t="s">
        <v>90</v>
      </c>
      <c r="C186" s="141"/>
      <c r="D186" s="142">
        <f>SUM(D182:D185)</f>
      </c>
      <c r="E186" s="143">
        <f>SUM(E182:E185)</f>
      </c>
      <c r="F186" s="143">
        <f>SUM(F182:F185)</f>
      </c>
      <c r="G186" s="143">
        <f t="shared" si="40"/>
      </c>
      <c r="H186" s="143">
        <f>SUM(H182:H185)</f>
      </c>
      <c r="I186" s="143">
        <f>SUM(I182:I185)</f>
      </c>
      <c r="J186" s="144">
        <f>SUM(J182:J185)</f>
      </c>
      <c r="K186" s="143">
        <f>SUM(K182:K185)</f>
      </c>
      <c r="L186" s="144">
        <f>SUM(L182:L185)</f>
      </c>
      <c r="M186" s="143">
        <f>SUM(M182:M185)</f>
      </c>
      <c r="N186" s="143">
        <f t="shared" si="78"/>
      </c>
      <c r="O186" s="143">
        <f t="shared" si="0"/>
      </c>
      <c r="P186" s="145">
        <f>SUM(P182:P185)</f>
      </c>
      <c r="Q186" s="143">
        <f t="shared" si="38"/>
      </c>
      <c r="R186" s="146">
        <f t="shared" si="39"/>
      </c>
      <c r="S186" s="146">
        <f t="shared" si="141"/>
      </c>
      <c r="T186" s="147">
        <f>(T185+T183+T184+T182)/4</f>
      </c>
      <c r="U186" s="148">
        <f t="shared" si="179"/>
      </c>
      <c r="V186" s="148">
        <f t="shared" si="180"/>
      </c>
      <c r="W186" s="148">
        <f t="shared" si="202"/>
      </c>
      <c r="X186" s="148">
        <f t="shared" si="181"/>
      </c>
      <c r="Y186" s="148">
        <f t="shared" si="134"/>
      </c>
      <c r="Z186" s="143">
        <f>SUM(Z182:Z185)</f>
      </c>
      <c r="AA186" s="143">
        <f>SUM(AA182:AA185)</f>
      </c>
      <c r="AB186" s="143">
        <f>SUM(AB182:AB185)</f>
      </c>
      <c r="AC186" s="143">
        <f>SUM(AC182:AC185)</f>
      </c>
      <c r="AD186" s="143">
        <f>SUM(AD182:AD185)</f>
      </c>
      <c r="AE186" s="143">
        <f>SUM(AE182:AE185)</f>
      </c>
    </row>
    <row hidden="true" r="187">
      <c r="A187" s="114"/>
      <c r="B187" s="154" t="s">
        <v>96</v>
      </c>
      <c r="C187" s="154"/>
      <c r="D187" s="155">
        <f>D186</f>
      </c>
      <c r="E187" s="156">
        <f>E186</f>
      </c>
      <c r="F187" s="156">
        <f>F186</f>
      </c>
      <c r="G187" s="157">
        <f t="shared" si="40"/>
      </c>
      <c r="H187" s="156">
        <f>H186</f>
      </c>
      <c r="I187" s="156">
        <f>I186</f>
      </c>
      <c r="J187" s="159">
        <f>J186</f>
      </c>
      <c r="K187" s="156">
        <f>K186</f>
      </c>
      <c r="L187" s="159">
        <f>L186</f>
      </c>
      <c r="M187" s="156">
        <f>M186</f>
      </c>
      <c r="N187" s="157">
        <f t="shared" si="78"/>
      </c>
      <c r="O187" s="164">
        <f t="shared" si="0"/>
      </c>
      <c r="P187" s="155">
        <f>P186</f>
      </c>
      <c r="Q187" s="157">
        <f t="shared" si="38"/>
      </c>
      <c r="R187" s="160">
        <f t="shared" si="39"/>
      </c>
      <c r="S187" s="160">
        <f t="shared" si="141"/>
      </c>
      <c r="T187" s="161">
        <f>T186</f>
      </c>
      <c r="U187" s="162">
        <f t="shared" si="179"/>
      </c>
      <c r="V187" s="163">
        <f t="shared" si="180"/>
      </c>
      <c r="W187" s="162">
        <f t="shared" si="202"/>
      </c>
      <c r="X187" s="162">
        <f t="shared" si="181"/>
      </c>
      <c r="Y187" s="162">
        <f t="shared" si="134"/>
      </c>
      <c r="Z187" s="155">
        <f>Z186</f>
      </c>
      <c r="AA187" s="155">
        <f>AA186</f>
      </c>
      <c r="AB187" s="155">
        <f>AB186</f>
      </c>
      <c r="AC187" s="155">
        <f>AC186</f>
      </c>
      <c r="AD187" s="155">
        <f>AD186</f>
      </c>
      <c r="AE187" s="155">
        <f>AE186</f>
      </c>
    </row>
    <row r="188">
      <c r="A188" s="114">
        <v>46261</v>
      </c>
      <c r="B188" s="115" t="s">
        <v>87</v>
      </c>
      <c r="C188" s="115" t="s">
        <v>92</v>
      </c>
      <c r="D188" s="116">
        <v>3413.97</v>
      </c>
      <c r="E188" s="117">
        <v>3</v>
      </c>
      <c r="F188" s="117">
        <v>3</v>
      </c>
      <c r="G188" s="119">
        <f t="shared" si="40"/>
      </c>
      <c r="H188" s="131">
        <v>3</v>
      </c>
      <c r="I188" s="131">
        <v>3</v>
      </c>
      <c r="J188" s="132">
        <v>3194.3999999999996</v>
      </c>
      <c r="K188" s="131">
        <v>0</v>
      </c>
      <c r="L188" s="132">
        <v>0</v>
      </c>
      <c r="M188" s="120">
        <f t="shared" ref="M188:M191" si="72">K188+I188</f>
      </c>
      <c r="N188" s="119">
        <f t="shared" si="78"/>
      </c>
      <c r="O188" s="119">
        <f t="shared" si="0"/>
      </c>
      <c r="P188" s="123">
        <f t="shared" ref="P188:P191" si="32">J188+L188</f>
      </c>
      <c r="Q188" s="119">
        <f t="shared" si="38"/>
      </c>
      <c r="R188" s="124">
        <f t="shared" si="39"/>
      </c>
      <c r="S188" s="124">
        <f t="shared" si="141"/>
      </c>
      <c r="T188" s="125">
        <f t="shared" ref="T188:T191" si="173">AA188/60</f>
      </c>
      <c r="U188" s="126">
        <f t="shared" si="179"/>
      </c>
      <c r="V188" s="127">
        <f t="shared" si="180"/>
      </c>
      <c r="W188" s="126">
        <f t="shared" si="202"/>
      </c>
      <c r="X188" s="126">
        <f t="shared" si="181"/>
      </c>
      <c r="Y188" s="126">
        <f t="shared" ref="Y188:Y189" si="197">AE188/AD188</f>
      </c>
      <c r="Z188" s="120">
        <v>12668</v>
      </c>
      <c r="AA188" s="120">
        <v>488</v>
      </c>
      <c r="AB188" s="120">
        <v>91</v>
      </c>
      <c r="AC188" s="120">
        <v>68</v>
      </c>
      <c r="AD188" s="120">
        <v>3</v>
      </c>
      <c r="AE188" s="136">
        <f t="shared" ref="AE188:AE191" si="109">COUNT(AD188)</f>
      </c>
    </row>
    <row r="189">
      <c r="A189" s="114"/>
      <c r="B189" s="115" t="s">
        <v>88</v>
      </c>
      <c r="C189" s="115" t="s">
        <v>92</v>
      </c>
      <c r="D189" s="129">
        <v>3815.5</v>
      </c>
      <c r="E189" s="130">
        <v>11</v>
      </c>
      <c r="F189" s="130">
        <v>4</v>
      </c>
      <c r="G189" s="119">
        <f t="shared" si="40"/>
      </c>
      <c r="H189" s="131">
        <v>12</v>
      </c>
      <c r="I189" s="131">
        <v>5</v>
      </c>
      <c r="J189" s="132">
        <v>3931.2</v>
      </c>
      <c r="K189" s="131">
        <v>0</v>
      </c>
      <c r="L189" s="132">
        <v>0</v>
      </c>
      <c r="M189" s="120">
        <f t="shared" si="72"/>
      </c>
      <c r="N189" s="119">
        <f t="shared" si="78"/>
      </c>
      <c r="O189" s="119">
        <f t="shared" si="0"/>
      </c>
      <c r="P189" s="123">
        <f t="shared" si="32"/>
      </c>
      <c r="Q189" s="119">
        <f t="shared" si="38"/>
      </c>
      <c r="R189" s="124">
        <f t="shared" si="39"/>
      </c>
      <c r="S189" s="134">
        <f t="shared" si="141"/>
      </c>
      <c r="T189" s="125">
        <f t="shared" si="173"/>
      </c>
      <c r="U189" s="126">
        <f t="shared" si="179"/>
      </c>
      <c r="V189" s="127">
        <f t="shared" si="180"/>
      </c>
      <c r="W189" s="126">
        <f t="shared" si="202"/>
      </c>
      <c r="X189" s="126">
        <f t="shared" si="181"/>
      </c>
      <c r="Y189" s="126">
        <f t="shared" si="197"/>
      </c>
      <c r="Z189" s="120">
        <v>13557</v>
      </c>
      <c r="AA189" s="131">
        <v>346</v>
      </c>
      <c r="AB189" s="131">
        <v>58</v>
      </c>
      <c r="AC189" s="131">
        <v>84</v>
      </c>
      <c r="AD189" s="131">
        <v>12</v>
      </c>
      <c r="AE189" s="136">
        <f t="shared" si="109"/>
      </c>
    </row>
    <row r="190">
      <c r="A190" s="114"/>
      <c r="B190" s="115" t="s">
        <v>89</v>
      </c>
      <c r="C190" s="115" t="s">
        <v>92</v>
      </c>
      <c r="D190" s="129">
        <v>3035.9</v>
      </c>
      <c r="E190" s="130">
        <v>9</v>
      </c>
      <c r="F190" s="130">
        <v>5</v>
      </c>
      <c r="G190" s="119">
        <f t="shared" si="40"/>
      </c>
      <c r="H190" s="131">
        <v>10</v>
      </c>
      <c r="I190" s="131">
        <v>5</v>
      </c>
      <c r="J190" s="132">
        <v>4748.399999999999</v>
      </c>
      <c r="K190" s="131">
        <v>0</v>
      </c>
      <c r="L190" s="132">
        <v>0</v>
      </c>
      <c r="M190" s="120">
        <f t="shared" si="72"/>
      </c>
      <c r="N190" s="119">
        <f t="shared" si="78"/>
      </c>
      <c r="O190" s="137">
        <f t="shared" si="0"/>
      </c>
      <c r="P190" s="123">
        <f t="shared" si="32"/>
      </c>
      <c r="Q190" s="137">
        <f t="shared" si="38"/>
      </c>
      <c r="R190" s="134">
        <f t="shared" si="39"/>
      </c>
      <c r="S190" s="134">
        <f t="shared" si="141"/>
      </c>
      <c r="T190" s="125">
        <f t="shared" si="173"/>
      </c>
      <c r="U190" s="138">
        <f t="shared" si="179"/>
      </c>
      <c r="V190" s="138">
        <f t="shared" si="180"/>
      </c>
      <c r="W190" s="138">
        <f t="shared" si="202"/>
      </c>
      <c r="X190" s="138">
        <f t="shared" si="181"/>
      </c>
      <c r="Y190" s="139">
        <f t="shared" ref="Y190:Y193" si="135">M190/AD190</f>
      </c>
      <c r="Z190" s="120">
        <v>10106</v>
      </c>
      <c r="AA190" s="131">
        <v>250</v>
      </c>
      <c r="AB190" s="131">
        <v>88</v>
      </c>
      <c r="AC190" s="131">
        <v>71</v>
      </c>
      <c r="AD190" s="131">
        <v>10</v>
      </c>
      <c r="AE190" s="136">
        <f t="shared" si="109"/>
      </c>
    </row>
    <row r="191">
      <c r="A191" s="114"/>
      <c r="B191" s="115" t="s">
        <v>91</v>
      </c>
      <c r="C191" s="115" t="s">
        <v>92</v>
      </c>
      <c r="D191" s="116">
        <v>2864.05</v>
      </c>
      <c r="E191" s="117">
        <v>8</v>
      </c>
      <c r="F191" s="117">
        <v>1</v>
      </c>
      <c r="G191" s="119">
        <f t="shared" si="40"/>
      </c>
      <c r="H191" s="120">
        <v>9</v>
      </c>
      <c r="I191" s="120">
        <v>1</v>
      </c>
      <c r="J191" s="121">
        <v>720</v>
      </c>
      <c r="K191" s="120">
        <v>0</v>
      </c>
      <c r="L191" s="121">
        <v>0</v>
      </c>
      <c r="M191" s="120">
        <f t="shared" si="72"/>
      </c>
      <c r="N191" s="119">
        <f t="shared" si="78"/>
      </c>
      <c r="O191" s="119">
        <f t="shared" si="0"/>
      </c>
      <c r="P191" s="123">
        <f t="shared" si="32"/>
      </c>
      <c r="Q191" s="119">
        <f t="shared" si="38"/>
      </c>
      <c r="R191" s="134">
        <f t="shared" si="39"/>
      </c>
      <c r="S191" s="134">
        <f t="shared" si="141"/>
      </c>
      <c r="T191" s="125">
        <f t="shared" si="173"/>
      </c>
      <c r="U191" s="126">
        <f t="shared" si="179"/>
      </c>
      <c r="V191" s="127">
        <f t="shared" si="180"/>
      </c>
      <c r="W191" s="138">
        <f t="shared" si="202"/>
      </c>
      <c r="X191" s="126">
        <f t="shared" si="181"/>
      </c>
      <c r="Y191" s="140">
        <f t="shared" si="135"/>
      </c>
      <c r="Z191" s="120">
        <v>10316</v>
      </c>
      <c r="AA191" s="120">
        <v>226</v>
      </c>
      <c r="AB191" s="120">
        <v>38</v>
      </c>
      <c r="AC191" s="120">
        <v>61</v>
      </c>
      <c r="AD191" s="120">
        <v>9</v>
      </c>
      <c r="AE191" s="136">
        <f t="shared" si="109"/>
      </c>
    </row>
    <row r="192">
      <c r="A192" s="114"/>
      <c r="B192" s="141" t="s">
        <v>90</v>
      </c>
      <c r="C192" s="141"/>
      <c r="D192" s="142">
        <f>SUM(D188:D191)</f>
      </c>
      <c r="E192" s="143">
        <f>SUM(E188:E191)</f>
      </c>
      <c r="F192" s="143">
        <f>SUM(F188:F191)</f>
      </c>
      <c r="G192" s="143">
        <f t="shared" si="40"/>
      </c>
      <c r="H192" s="143">
        <f>SUM(H188:H191)</f>
      </c>
      <c r="I192" s="143">
        <f>SUM(I188:I191)</f>
      </c>
      <c r="J192" s="144">
        <f>SUM(J188:J191)</f>
      </c>
      <c r="K192" s="143">
        <f>SUM(K188:K191)</f>
      </c>
      <c r="L192" s="144">
        <f>SUM(L188:L191)</f>
      </c>
      <c r="M192" s="143">
        <f>SUM(M188:M191)</f>
      </c>
      <c r="N192" s="143">
        <f t="shared" si="78"/>
      </c>
      <c r="O192" s="143">
        <f t="shared" si="0"/>
      </c>
      <c r="P192" s="145">
        <f>SUM(P188:P191)</f>
      </c>
      <c r="Q192" s="143">
        <f t="shared" si="38"/>
      </c>
      <c r="R192" s="146">
        <f t="shared" si="39"/>
      </c>
      <c r="S192" s="146">
        <f t="shared" si="141"/>
      </c>
      <c r="T192" s="147">
        <f>(T191+T189+T190+T188)/4</f>
      </c>
      <c r="U192" s="148">
        <f t="shared" si="179"/>
      </c>
      <c r="V192" s="148">
        <f t="shared" si="180"/>
      </c>
      <c r="W192" s="148">
        <f t="shared" si="202"/>
      </c>
      <c r="X192" s="148">
        <f t="shared" si="181"/>
      </c>
      <c r="Y192" s="148">
        <f t="shared" si="135"/>
      </c>
      <c r="Z192" s="143">
        <f>SUM(Z188:Z191)</f>
      </c>
      <c r="AA192" s="143">
        <f>SUM(AA188:AA191)</f>
      </c>
      <c r="AB192" s="143">
        <f>SUM(AB188:AB191)</f>
      </c>
      <c r="AC192" s="143">
        <f>SUM(AC188:AC191)</f>
      </c>
      <c r="AD192" s="143">
        <f>SUM(AD188:AD191)</f>
      </c>
      <c r="AE192" s="143">
        <f>SUM(AE188:AE191)</f>
      </c>
    </row>
    <row r="193">
      <c r="A193" s="114"/>
      <c r="B193" s="154" t="s">
        <v>96</v>
      </c>
      <c r="C193" s="154"/>
      <c r="D193" s="155">
        <f>D192</f>
      </c>
      <c r="E193" s="156">
        <f>E192</f>
      </c>
      <c r="F193" s="156">
        <f>F192</f>
      </c>
      <c r="G193" s="157">
        <f t="shared" si="40"/>
      </c>
      <c r="H193" s="156">
        <f>H192</f>
      </c>
      <c r="I193" s="156">
        <f>I192</f>
      </c>
      <c r="J193" s="159">
        <f>J192</f>
      </c>
      <c r="K193" s="156">
        <f>K192</f>
      </c>
      <c r="L193" s="159">
        <f>L192</f>
      </c>
      <c r="M193" s="156">
        <f>M192</f>
      </c>
      <c r="N193" s="157">
        <f t="shared" si="78"/>
      </c>
      <c r="O193" s="164">
        <f t="shared" si="0"/>
      </c>
      <c r="P193" s="155">
        <f>P192</f>
      </c>
      <c r="Q193" s="157">
        <f t="shared" si="38"/>
      </c>
      <c r="R193" s="160">
        <f t="shared" si="39"/>
      </c>
      <c r="S193" s="160">
        <f t="shared" si="141"/>
      </c>
      <c r="T193" s="161">
        <f>T192</f>
      </c>
      <c r="U193" s="162">
        <f t="shared" si="179"/>
      </c>
      <c r="V193" s="163">
        <f t="shared" si="180"/>
      </c>
      <c r="W193" s="162">
        <f t="shared" si="202"/>
      </c>
      <c r="X193" s="162">
        <f t="shared" si="181"/>
      </c>
      <c r="Y193" s="162">
        <f t="shared" si="135"/>
      </c>
      <c r="Z193" s="155">
        <f>Z192</f>
      </c>
      <c r="AA193" s="155">
        <f>AA192</f>
      </c>
      <c r="AB193" s="155">
        <f>AB192</f>
      </c>
      <c r="AC193" s="155">
        <f>AC192</f>
      </c>
      <c r="AD193" s="155">
        <f>AD192</f>
      </c>
      <c r="AE193" s="155">
        <f>AE192</f>
      </c>
    </row>
    <row r="194">
      <c r="A194" s="114">
        <v>46262</v>
      </c>
      <c r="B194" s="115" t="s">
        <v>87</v>
      </c>
      <c r="C194" s="115" t="s">
        <v>92</v>
      </c>
      <c r="D194" s="116">
        <v>3977.63</v>
      </c>
      <c r="E194" s="117">
        <v>6</v>
      </c>
      <c r="F194" s="117">
        <v>3</v>
      </c>
      <c r="G194" s="119">
        <f t="shared" si="40"/>
      </c>
      <c r="H194" s="131">
        <v>7</v>
      </c>
      <c r="I194" s="131">
        <v>1</v>
      </c>
      <c r="J194" s="132">
        <v>720</v>
      </c>
      <c r="K194" s="131">
        <v>2</v>
      </c>
      <c r="L194" s="132">
        <v>6102</v>
      </c>
      <c r="M194" s="120">
        <f t="shared" ref="M194:M197" si="73">K194+I194</f>
      </c>
      <c r="N194" s="119">
        <f t="shared" si="78"/>
      </c>
      <c r="O194" s="119">
        <f t="shared" si="0"/>
      </c>
      <c r="P194" s="123">
        <f t="shared" ref="P194:P197" si="33">J194+L194</f>
      </c>
      <c r="Q194" s="119">
        <f t="shared" si="38"/>
      </c>
      <c r="R194" s="124">
        <f t="shared" si="39"/>
      </c>
      <c r="S194" s="124">
        <f t="shared" si="141"/>
      </c>
      <c r="T194" s="125">
        <f t="shared" ref="T194:T197" si="174">AA194/60</f>
      </c>
      <c r="U194" s="126">
        <f t="shared" si="179"/>
      </c>
      <c r="V194" s="127">
        <f t="shared" si="180"/>
      </c>
      <c r="W194" s="126">
        <f t="shared" si="202"/>
      </c>
      <c r="X194" s="126">
        <f t="shared" si="181"/>
      </c>
      <c r="Y194" s="126">
        <f t="shared" ref="Y194:Y195" si="198">AE194/AD194</f>
      </c>
      <c r="Z194" s="120">
        <v>12772</v>
      </c>
      <c r="AA194" s="120">
        <v>411</v>
      </c>
      <c r="AB194" s="120">
        <v>79</v>
      </c>
      <c r="AC194" s="120">
        <v>91</v>
      </c>
      <c r="AD194" s="120">
        <v>7</v>
      </c>
      <c r="AE194" s="136">
        <f t="shared" ref="AE194:AE197" si="110">COUNT(AD194)</f>
      </c>
    </row>
    <row r="195">
      <c r="A195" s="114"/>
      <c r="B195" s="115" t="s">
        <v>88</v>
      </c>
      <c r="C195" s="115" t="s">
        <v>92</v>
      </c>
      <c r="D195" s="129">
        <v>3267.86</v>
      </c>
      <c r="E195" s="130">
        <v>8</v>
      </c>
      <c r="F195" s="130">
        <v>2</v>
      </c>
      <c r="G195" s="119">
        <f t="shared" si="40"/>
      </c>
      <c r="H195" s="131">
        <v>9</v>
      </c>
      <c r="I195" s="131">
        <v>2</v>
      </c>
      <c r="J195" s="132">
        <v>1821.6000000000004</v>
      </c>
      <c r="K195" s="131">
        <v>1</v>
      </c>
      <c r="L195" s="132">
        <v>879.5999999999995</v>
      </c>
      <c r="M195" s="120">
        <f t="shared" si="73"/>
      </c>
      <c r="N195" s="119">
        <f t="shared" si="78"/>
      </c>
      <c r="O195" s="119">
        <f t="shared" si="0"/>
      </c>
      <c r="P195" s="123">
        <f t="shared" si="33"/>
      </c>
      <c r="Q195" s="119">
        <f t="shared" si="38"/>
      </c>
      <c r="R195" s="124">
        <f t="shared" si="39"/>
      </c>
      <c r="S195" s="134">
        <f t="shared" si="141"/>
      </c>
      <c r="T195" s="125">
        <f t="shared" si="174"/>
      </c>
      <c r="U195" s="126">
        <f t="shared" si="179"/>
      </c>
      <c r="V195" s="127">
        <f t="shared" si="180"/>
      </c>
      <c r="W195" s="126">
        <f t="shared" si="202"/>
      </c>
      <c r="X195" s="126">
        <f t="shared" si="181"/>
      </c>
      <c r="Y195" s="126">
        <f t="shared" si="198"/>
      </c>
      <c r="Z195" s="120">
        <v>10508</v>
      </c>
      <c r="AA195" s="131">
        <v>394</v>
      </c>
      <c r="AB195" s="131">
        <v>48</v>
      </c>
      <c r="AC195" s="131">
        <v>74</v>
      </c>
      <c r="AD195" s="131">
        <v>9</v>
      </c>
      <c r="AE195" s="136">
        <f t="shared" si="110"/>
      </c>
    </row>
    <row r="196">
      <c r="A196" s="114"/>
      <c r="B196" s="115" t="s">
        <v>89</v>
      </c>
      <c r="C196" s="115" t="s">
        <v>92</v>
      </c>
      <c r="D196" s="129">
        <v>3045.6</v>
      </c>
      <c r="E196" s="130">
        <v>6</v>
      </c>
      <c r="F196" s="130">
        <v>1</v>
      </c>
      <c r="G196" s="119">
        <f t="shared" si="40"/>
      </c>
      <c r="H196" s="131">
        <v>6</v>
      </c>
      <c r="I196" s="131">
        <v>1</v>
      </c>
      <c r="J196" s="132">
        <v>720</v>
      </c>
      <c r="K196" s="131">
        <v>1</v>
      </c>
      <c r="L196" s="132">
        <v>1035</v>
      </c>
      <c r="M196" s="120">
        <f t="shared" si="73"/>
      </c>
      <c r="N196" s="119">
        <f t="shared" si="78"/>
      </c>
      <c r="O196" s="137">
        <f t="shared" si="0"/>
      </c>
      <c r="P196" s="123">
        <f t="shared" si="33"/>
      </c>
      <c r="Q196" s="137">
        <f t="shared" si="38"/>
      </c>
      <c r="R196" s="134">
        <f t="shared" si="39"/>
      </c>
      <c r="S196" s="134">
        <f t="shared" si="141"/>
      </c>
      <c r="T196" s="125">
        <f t="shared" si="174"/>
      </c>
      <c r="U196" s="138">
        <f t="shared" si="179"/>
      </c>
      <c r="V196" s="138">
        <f t="shared" si="180"/>
      </c>
      <c r="W196" s="138">
        <f t="shared" si="202"/>
      </c>
      <c r="X196" s="138">
        <f t="shared" si="181"/>
      </c>
      <c r="Y196" s="139">
        <f t="shared" ref="Y196:Y199" si="136">M196/AD196</f>
      </c>
      <c r="Z196" s="120">
        <v>10027</v>
      </c>
      <c r="AA196" s="131">
        <v>331</v>
      </c>
      <c r="AB196" s="131">
        <v>74</v>
      </c>
      <c r="AC196" s="131">
        <v>66</v>
      </c>
      <c r="AD196" s="131">
        <v>6</v>
      </c>
      <c r="AE196" s="136">
        <f t="shared" si="110"/>
      </c>
    </row>
    <row r="197">
      <c r="A197" s="114"/>
      <c r="B197" s="115" t="s">
        <v>91</v>
      </c>
      <c r="C197" s="115" t="s">
        <v>92</v>
      </c>
      <c r="D197" s="116">
        <v>2173.36</v>
      </c>
      <c r="E197" s="117">
        <v>6</v>
      </c>
      <c r="F197" s="117">
        <v>1</v>
      </c>
      <c r="G197" s="119">
        <f t="shared" si="40"/>
      </c>
      <c r="H197" s="120">
        <v>7</v>
      </c>
      <c r="I197" s="120">
        <v>0</v>
      </c>
      <c r="J197" s="121">
        <v>0</v>
      </c>
      <c r="K197" s="120">
        <v>0</v>
      </c>
      <c r="L197" s="121">
        <v>0</v>
      </c>
      <c r="M197" s="120">
        <f t="shared" si="73"/>
      </c>
      <c r="N197" s="119">
        <f t="shared" si="78"/>
      </c>
      <c r="O197" s="119">
        <f t="shared" si="0"/>
      </c>
      <c r="P197" s="123">
        <f t="shared" si="33"/>
      </c>
      <c r="Q197" s="119">
        <f t="shared" si="38"/>
      </c>
      <c r="R197" s="134">
        <f t="shared" si="39"/>
      </c>
      <c r="S197" s="134">
        <f t="shared" si="141"/>
      </c>
      <c r="T197" s="125">
        <f t="shared" si="174"/>
      </c>
      <c r="U197" s="126">
        <f t="shared" si="179"/>
      </c>
      <c r="V197" s="127">
        <f t="shared" si="180"/>
      </c>
      <c r="W197" s="138">
        <f t="shared" si="202"/>
      </c>
      <c r="X197" s="126">
        <f t="shared" si="181"/>
      </c>
      <c r="Y197" s="140">
        <f t="shared" si="136"/>
      </c>
      <c r="Z197" s="120">
        <v>7279</v>
      </c>
      <c r="AA197" s="120">
        <v>246</v>
      </c>
      <c r="AB197" s="120">
        <v>60</v>
      </c>
      <c r="AC197" s="120">
        <v>54</v>
      </c>
      <c r="AD197" s="120">
        <v>7</v>
      </c>
      <c r="AE197" s="136">
        <f t="shared" si="110"/>
      </c>
    </row>
    <row r="198">
      <c r="A198" s="114"/>
      <c r="B198" s="141" t="s">
        <v>90</v>
      </c>
      <c r="C198" s="141"/>
      <c r="D198" s="142">
        <f>SUM(D194:D197)</f>
      </c>
      <c r="E198" s="143">
        <f>SUM(E194:E197)</f>
      </c>
      <c r="F198" s="143">
        <f>SUM(F194:F197)</f>
      </c>
      <c r="G198" s="143">
        <f t="shared" si="40"/>
      </c>
      <c r="H198" s="143">
        <f>SUM(H194:H197)</f>
      </c>
      <c r="I198" s="143">
        <f>SUM(I194:I197)</f>
      </c>
      <c r="J198" s="144">
        <f>SUM(J194:J197)</f>
      </c>
      <c r="K198" s="143">
        <f>SUM(K194:K197)</f>
      </c>
      <c r="L198" s="144">
        <f>SUM(L194:L197)</f>
      </c>
      <c r="M198" s="143">
        <f>SUM(M194:M197)</f>
      </c>
      <c r="N198" s="143">
        <f t="shared" si="78"/>
      </c>
      <c r="O198" s="143">
        <f t="shared" si="0"/>
      </c>
      <c r="P198" s="145">
        <f>SUM(P194:P197)</f>
      </c>
      <c r="Q198" s="143">
        <f t="shared" si="38"/>
      </c>
      <c r="R198" s="146">
        <f t="shared" si="39"/>
      </c>
      <c r="S198" s="146">
        <f t="shared" si="141"/>
      </c>
      <c r="T198" s="147">
        <f>(T197+T195+T196+T194)/4</f>
      </c>
      <c r="U198" s="148">
        <f t="shared" si="179"/>
      </c>
      <c r="V198" s="148">
        <f t="shared" si="180"/>
      </c>
      <c r="W198" s="148">
        <f t="shared" si="202"/>
      </c>
      <c r="X198" s="148">
        <f t="shared" si="181"/>
      </c>
      <c r="Y198" s="148">
        <f t="shared" si="136"/>
      </c>
      <c r="Z198" s="143">
        <f>SUM(Z194:Z197)</f>
      </c>
      <c r="AA198" s="143">
        <f>SUM(AA194:AA197)</f>
      </c>
      <c r="AB198" s="143">
        <f>SUM(AB194:AB197)</f>
      </c>
      <c r="AC198" s="143">
        <f>SUM(AC194:AC197)</f>
      </c>
      <c r="AD198" s="143">
        <f>SUM(AD194:AD197)</f>
      </c>
      <c r="AE198" s="143">
        <f>SUM(AE194:AE197)</f>
      </c>
    </row>
    <row r="199">
      <c r="A199" s="114"/>
      <c r="B199" s="154" t="s">
        <v>96</v>
      </c>
      <c r="C199" s="154"/>
      <c r="D199" s="155">
        <f>D198</f>
      </c>
      <c r="E199" s="156">
        <f>E198</f>
      </c>
      <c r="F199" s="156">
        <f>F198</f>
      </c>
      <c r="G199" s="157">
        <f t="shared" si="40"/>
      </c>
      <c r="H199" s="156">
        <f>H198</f>
      </c>
      <c r="I199" s="156">
        <f>I198</f>
      </c>
      <c r="J199" s="159">
        <f>J198</f>
      </c>
      <c r="K199" s="156">
        <f>K198</f>
      </c>
      <c r="L199" s="159">
        <f>L198</f>
      </c>
      <c r="M199" s="156">
        <f>M198</f>
      </c>
      <c r="N199" s="157">
        <f t="shared" si="78"/>
      </c>
      <c r="O199" s="164">
        <f t="shared" si="0"/>
      </c>
      <c r="P199" s="155">
        <f>P198</f>
      </c>
      <c r="Q199" s="157">
        <f t="shared" si="38"/>
      </c>
      <c r="R199" s="160">
        <f t="shared" si="39"/>
      </c>
      <c r="S199" s="160">
        <f t="shared" si="141"/>
      </c>
      <c r="T199" s="161">
        <f>T198</f>
      </c>
      <c r="U199" s="162">
        <f t="shared" si="179"/>
      </c>
      <c r="V199" s="163">
        <f t="shared" si="180"/>
      </c>
      <c r="W199" s="162">
        <f t="shared" si="202"/>
      </c>
      <c r="X199" s="162">
        <f t="shared" si="181"/>
      </c>
      <c r="Y199" s="162">
        <f t="shared" si="136"/>
      </c>
      <c r="Z199" s="155">
        <f>Z198</f>
      </c>
      <c r="AA199" s="155">
        <f>AA198</f>
      </c>
      <c r="AB199" s="155">
        <f>AB198</f>
      </c>
      <c r="AC199" s="155">
        <f>AC198</f>
      </c>
      <c r="AD199" s="155">
        <f>AD198</f>
      </c>
      <c r="AE199" s="155">
        <f>AE198</f>
      </c>
    </row>
    <row r="200">
      <c r="A200" s="114">
        <v>46263</v>
      </c>
      <c r="B200" s="115" t="s">
        <v>87</v>
      </c>
      <c r="C200" s="115" t="s">
        <v>97</v>
      </c>
      <c r="D200" s="116">
        <v>4619.12</v>
      </c>
      <c r="E200" s="117">
        <v>10</v>
      </c>
      <c r="F200" s="117">
        <v>3</v>
      </c>
      <c r="G200" s="119">
        <f t="shared" si="40"/>
      </c>
      <c r="H200" s="131">
        <v>10</v>
      </c>
      <c r="I200" s="131">
        <v>3</v>
      </c>
      <c r="J200" s="132">
        <v>5358</v>
      </c>
      <c r="K200" s="131">
        <v>0</v>
      </c>
      <c r="L200" s="132">
        <v>0</v>
      </c>
      <c r="M200" s="120">
        <f t="shared" ref="M200:M203" si="74">K200+I200</f>
      </c>
      <c r="N200" s="119">
        <f t="shared" si="78"/>
      </c>
      <c r="O200" s="119">
        <f t="shared" si="0"/>
      </c>
      <c r="P200" s="123">
        <f t="shared" ref="P200:P203" si="34">J200+L200</f>
      </c>
      <c r="Q200" s="119">
        <f t="shared" si="38"/>
      </c>
      <c r="R200" s="124">
        <f t="shared" si="39"/>
      </c>
      <c r="S200" s="124">
        <f t="shared" si="141"/>
      </c>
      <c r="T200" s="125">
        <f t="shared" ref="T200:T203" si="175">AA200/60</f>
      </c>
      <c r="U200" s="126">
        <f t="shared" si="179"/>
      </c>
      <c r="V200" s="127">
        <f t="shared" si="180"/>
      </c>
      <c r="W200" s="126">
        <f t="shared" si="202"/>
      </c>
      <c r="X200" s="126">
        <f t="shared" si="181"/>
      </c>
      <c r="Y200" s="126">
        <f t="shared" ref="Y200:Y201" si="199">AE200/AD200</f>
      </c>
      <c r="Z200" s="120">
        <v>16016</v>
      </c>
      <c r="AA200" s="120">
        <v>560</v>
      </c>
      <c r="AB200" s="120">
        <v>72</v>
      </c>
      <c r="AC200" s="120">
        <v>109</v>
      </c>
      <c r="AD200" s="120">
        <v>10</v>
      </c>
      <c r="AE200" s="136">
        <f t="shared" ref="AE200:AE203" si="111">COUNT(AD200)</f>
      </c>
    </row>
    <row r="201">
      <c r="A201" s="114"/>
      <c r="B201" s="115" t="s">
        <v>88</v>
      </c>
      <c r="C201" s="115" t="s">
        <v>97</v>
      </c>
      <c r="D201" s="129">
        <v>4066.92</v>
      </c>
      <c r="E201" s="130">
        <v>12</v>
      </c>
      <c r="F201" s="130">
        <v>4</v>
      </c>
      <c r="G201" s="119">
        <f t="shared" si="40"/>
      </c>
      <c r="H201" s="131">
        <v>15</v>
      </c>
      <c r="I201" s="131">
        <v>4</v>
      </c>
      <c r="J201" s="132">
        <v>5780.4000000000015</v>
      </c>
      <c r="K201" s="131">
        <v>1</v>
      </c>
      <c r="L201" s="132">
        <v>2058</v>
      </c>
      <c r="M201" s="120">
        <f t="shared" si="74"/>
      </c>
      <c r="N201" s="119">
        <f t="shared" si="78"/>
      </c>
      <c r="O201" s="119">
        <f t="shared" si="0"/>
      </c>
      <c r="P201" s="123">
        <f t="shared" si="34"/>
      </c>
      <c r="Q201" s="119">
        <f t="shared" si="38"/>
      </c>
      <c r="R201" s="124">
        <f t="shared" si="39"/>
      </c>
      <c r="S201" s="134">
        <f t="shared" si="141"/>
      </c>
      <c r="T201" s="125">
        <f t="shared" si="175"/>
      </c>
      <c r="U201" s="126">
        <f t="shared" si="179"/>
      </c>
      <c r="V201" s="127">
        <f t="shared" si="180"/>
      </c>
      <c r="W201" s="126">
        <f t="shared" si="202"/>
      </c>
      <c r="X201" s="126">
        <f t="shared" si="181"/>
      </c>
      <c r="Y201" s="126">
        <f t="shared" si="199"/>
      </c>
      <c r="Z201" s="120">
        <v>13478</v>
      </c>
      <c r="AA201" s="131">
        <v>571</v>
      </c>
      <c r="AB201" s="131">
        <v>68</v>
      </c>
      <c r="AC201" s="131">
        <v>101</v>
      </c>
      <c r="AD201" s="131">
        <v>15</v>
      </c>
      <c r="AE201" s="136">
        <f t="shared" si="111"/>
      </c>
    </row>
    <row r="202">
      <c r="A202" s="114"/>
      <c r="B202" s="115" t="s">
        <v>89</v>
      </c>
      <c r="C202" s="115" t="s">
        <v>97</v>
      </c>
      <c r="D202" s="129">
        <v>3742.86</v>
      </c>
      <c r="E202" s="130">
        <v>9</v>
      </c>
      <c r="F202" s="130">
        <v>0</v>
      </c>
      <c r="G202" s="119">
        <f t="shared" si="40"/>
      </c>
      <c r="H202" s="131">
        <v>7</v>
      </c>
      <c r="I202" s="131">
        <v>1</v>
      </c>
      <c r="J202" s="132">
        <v>720</v>
      </c>
      <c r="K202" s="131">
        <v>0</v>
      </c>
      <c r="L202" s="132">
        <v>0</v>
      </c>
      <c r="M202" s="120">
        <f t="shared" si="74"/>
      </c>
      <c r="N202" s="119">
        <f t="shared" si="78"/>
      </c>
      <c r="O202" s="137">
        <f t="shared" si="0"/>
      </c>
      <c r="P202" s="123">
        <f t="shared" si="34"/>
      </c>
      <c r="Q202" s="137">
        <f t="shared" si="38"/>
      </c>
      <c r="R202" s="134">
        <f t="shared" si="39"/>
      </c>
      <c r="S202" s="134">
        <f t="shared" si="141"/>
      </c>
      <c r="T202" s="125">
        <f t="shared" si="175"/>
      </c>
      <c r="U202" s="138">
        <f t="shared" si="179"/>
      </c>
      <c r="V202" s="138">
        <f t="shared" si="180"/>
      </c>
      <c r="W202" s="138">
        <f t="shared" si="202"/>
      </c>
      <c r="X202" s="138">
        <f t="shared" si="181"/>
      </c>
      <c r="Y202" s="139">
        <f t="shared" ref="Y202:Y205" si="137">M202/AD202</f>
      </c>
      <c r="Z202" s="120">
        <v>12381</v>
      </c>
      <c r="AA202" s="131">
        <v>593</v>
      </c>
      <c r="AB202" s="131">
        <v>58</v>
      </c>
      <c r="AC202" s="131">
        <v>92</v>
      </c>
      <c r="AD202" s="131">
        <v>7</v>
      </c>
      <c r="AE202" s="136">
        <f t="shared" si="111"/>
      </c>
    </row>
    <row r="203">
      <c r="A203" s="114"/>
      <c r="B203" s="115" t="s">
        <v>91</v>
      </c>
      <c r="C203" s="115" t="s">
        <v>97</v>
      </c>
      <c r="D203" s="116">
        <v>2069.67</v>
      </c>
      <c r="E203" s="117">
        <v>6</v>
      </c>
      <c r="F203" s="117">
        <v>4</v>
      </c>
      <c r="G203" s="119">
        <f t="shared" si="40"/>
      </c>
      <c r="H203" s="120">
        <v>8</v>
      </c>
      <c r="I203" s="120">
        <v>4</v>
      </c>
      <c r="J203" s="121">
        <v>3496.7999999999993</v>
      </c>
      <c r="K203" s="120">
        <v>0</v>
      </c>
      <c r="L203" s="121">
        <v>0</v>
      </c>
      <c r="M203" s="120">
        <f t="shared" si="74"/>
      </c>
      <c r="N203" s="119">
        <f t="shared" si="78"/>
      </c>
      <c r="O203" s="119">
        <f t="shared" si="0"/>
      </c>
      <c r="P203" s="123">
        <f t="shared" si="34"/>
      </c>
      <c r="Q203" s="119">
        <f t="shared" si="38"/>
      </c>
      <c r="R203" s="134">
        <f t="shared" si="39"/>
      </c>
      <c r="S203" s="134">
        <f t="shared" si="141"/>
      </c>
      <c r="T203" s="125">
        <f t="shared" si="175"/>
      </c>
      <c r="U203" s="126">
        <f t="shared" si="179"/>
      </c>
      <c r="V203" s="127">
        <f t="shared" si="180"/>
      </c>
      <c r="W203" s="138">
        <f t="shared" si="202"/>
      </c>
      <c r="X203" s="126">
        <f t="shared" si="181"/>
      </c>
      <c r="Y203" s="140">
        <f t="shared" si="137"/>
      </c>
      <c r="Z203" s="120">
        <v>7053</v>
      </c>
      <c r="AA203" s="120">
        <v>304</v>
      </c>
      <c r="AB203" s="120">
        <v>34</v>
      </c>
      <c r="AC203" s="120">
        <v>48</v>
      </c>
      <c r="AD203" s="120">
        <v>8</v>
      </c>
      <c r="AE203" s="136">
        <f t="shared" si="111"/>
      </c>
    </row>
    <row r="204">
      <c r="A204" s="114"/>
      <c r="B204" s="141" t="s">
        <v>90</v>
      </c>
      <c r="C204" s="141"/>
      <c r="D204" s="142">
        <f>SUM(D200:D203)</f>
      </c>
      <c r="E204" s="143">
        <f>SUM(E200:E203)</f>
      </c>
      <c r="F204" s="143">
        <f>SUM(F200:F203)</f>
      </c>
      <c r="G204" s="143">
        <f t="shared" si="40"/>
      </c>
      <c r="H204" s="143">
        <f>SUM(H200:H203)</f>
      </c>
      <c r="I204" s="143">
        <f>SUM(I200:I203)</f>
      </c>
      <c r="J204" s="144">
        <f>SUM(J200:J203)</f>
      </c>
      <c r="K204" s="143">
        <f>SUM(K200:K203)</f>
      </c>
      <c r="L204" s="144">
        <f>SUM(L200:L203)</f>
      </c>
      <c r="M204" s="143">
        <f>SUM(M200:M203)</f>
      </c>
      <c r="N204" s="143">
        <f t="shared" si="78"/>
      </c>
      <c r="O204" s="143">
        <f t="shared" si="0"/>
      </c>
      <c r="P204" s="145">
        <f>SUM(P200:P203)</f>
      </c>
      <c r="Q204" s="143">
        <f t="shared" si="38"/>
      </c>
      <c r="R204" s="146">
        <f t="shared" si="39"/>
      </c>
      <c r="S204" s="146">
        <f t="shared" si="141"/>
      </c>
      <c r="T204" s="147">
        <f>(T203+T201+T202+T200)/4</f>
      </c>
      <c r="U204" s="148">
        <f t="shared" si="179"/>
      </c>
      <c r="V204" s="148">
        <f t="shared" si="180"/>
      </c>
      <c r="W204" s="148">
        <f t="shared" si="202"/>
      </c>
      <c r="X204" s="148">
        <f t="shared" si="181"/>
      </c>
      <c r="Y204" s="148">
        <f t="shared" si="137"/>
      </c>
      <c r="Z204" s="143">
        <f>SUM(Z200:Z203)</f>
      </c>
      <c r="AA204" s="143">
        <f>SUM(AA200:AA203)</f>
      </c>
      <c r="AB204" s="143">
        <f>SUM(AB200:AB203)</f>
      </c>
      <c r="AC204" s="143">
        <f>SUM(AC200:AC203)</f>
      </c>
      <c r="AD204" s="143">
        <f>SUM(AD200:AD203)</f>
      </c>
      <c r="AE204" s="143">
        <f>SUM(AE200:AE203)</f>
      </c>
    </row>
    <row r="205">
      <c r="A205" s="114"/>
      <c r="B205" s="154" t="s">
        <v>96</v>
      </c>
      <c r="C205" s="154"/>
      <c r="D205" s="155">
        <f>D204</f>
      </c>
      <c r="E205" s="156">
        <f>E204</f>
      </c>
      <c r="F205" s="156">
        <f>F204</f>
      </c>
      <c r="G205" s="157">
        <f t="shared" si="40"/>
      </c>
      <c r="H205" s="156">
        <f>H204</f>
      </c>
      <c r="I205" s="156">
        <f>I204</f>
      </c>
      <c r="J205" s="159">
        <f>J204</f>
      </c>
      <c r="K205" s="156">
        <f>K204</f>
      </c>
      <c r="L205" s="159">
        <f>L204</f>
      </c>
      <c r="M205" s="156">
        <f>M204</f>
      </c>
      <c r="N205" s="157">
        <f t="shared" si="78"/>
      </c>
      <c r="O205" s="164">
        <f t="shared" si="0"/>
      </c>
      <c r="P205" s="155">
        <f>P204</f>
      </c>
      <c r="Q205" s="157">
        <f t="shared" si="38"/>
      </c>
      <c r="R205" s="160">
        <f t="shared" si="39"/>
      </c>
      <c r="S205" s="160">
        <f t="shared" si="141"/>
      </c>
      <c r="T205" s="161">
        <f>T204</f>
      </c>
      <c r="U205" s="162">
        <f t="shared" si="179"/>
      </c>
      <c r="V205" s="163">
        <f t="shared" si="180"/>
      </c>
      <c r="W205" s="162">
        <f t="shared" si="202"/>
      </c>
      <c r="X205" s="162">
        <f t="shared" si="181"/>
      </c>
      <c r="Y205" s="162">
        <f t="shared" si="137"/>
      </c>
      <c r="Z205" s="155">
        <f>Z204</f>
      </c>
      <c r="AA205" s="155">
        <f>AA204</f>
      </c>
      <c r="AB205" s="155">
        <f>AB204</f>
      </c>
      <c r="AC205" s="155">
        <f>AC204</f>
      </c>
      <c r="AD205" s="155">
        <f>AD204</f>
      </c>
      <c r="AE205" s="155">
        <f>AE204</f>
      </c>
    </row>
    <row r="206">
      <c r="A206" s="114">
        <v>46264</v>
      </c>
      <c r="B206" s="115" t="s">
        <v>87</v>
      </c>
      <c r="C206" s="115" t="s">
        <v>97</v>
      </c>
      <c r="D206" s="116">
        <v>3571.03</v>
      </c>
      <c r="E206" s="117">
        <v>7</v>
      </c>
      <c r="F206" s="117">
        <v>4</v>
      </c>
      <c r="G206" s="119">
        <f t="shared" si="40"/>
      </c>
      <c r="H206" s="131">
        <v>7</v>
      </c>
      <c r="I206" s="131">
        <v>5</v>
      </c>
      <c r="J206" s="132">
        <v>4624.799999999999</v>
      </c>
      <c r="K206" s="131">
        <v>0</v>
      </c>
      <c r="L206" s="132">
        <v>0</v>
      </c>
      <c r="M206" s="120">
        <f t="shared" ref="M206:M209" si="75">K206+I206</f>
      </c>
      <c r="N206" s="119">
        <f t="shared" si="78"/>
      </c>
      <c r="O206" s="119">
        <f t="shared" si="0"/>
      </c>
      <c r="P206" s="123">
        <f t="shared" ref="P206:P209" si="35">J206+L206</f>
      </c>
      <c r="Q206" s="119">
        <f t="shared" si="38"/>
      </c>
      <c r="R206" s="124">
        <f t="shared" si="39"/>
      </c>
      <c r="S206" s="124">
        <f t="shared" si="141"/>
      </c>
      <c r="T206" s="125">
        <f t="shared" ref="T206:T209" si="176">AA206/60</f>
      </c>
      <c r="U206" s="126">
        <f t="shared" si="179"/>
      </c>
      <c r="V206" s="127">
        <f t="shared" si="180"/>
      </c>
      <c r="W206" s="126">
        <f t="shared" si="202"/>
      </c>
      <c r="X206" s="126">
        <f t="shared" si="181"/>
      </c>
      <c r="Y206" s="126">
        <f t="shared" ref="Y206:Y207" si="200">AE206/AD206</f>
      </c>
      <c r="Z206" s="120">
        <v>13181</v>
      </c>
      <c r="AA206" s="120">
        <v>451</v>
      </c>
      <c r="AB206" s="120">
        <v>35</v>
      </c>
      <c r="AC206" s="120">
        <v>75</v>
      </c>
      <c r="AD206" s="120">
        <v>7</v>
      </c>
      <c r="AE206" s="136">
        <f t="shared" ref="AE206:AE209" si="112">COUNT(AD206)</f>
      </c>
    </row>
    <row r="207">
      <c r="A207" s="114"/>
      <c r="B207" s="115" t="s">
        <v>88</v>
      </c>
      <c r="C207" s="115" t="s">
        <v>97</v>
      </c>
      <c r="D207" s="129">
        <v>3225.99</v>
      </c>
      <c r="E207" s="130">
        <v>6</v>
      </c>
      <c r="F207" s="130">
        <v>2</v>
      </c>
      <c r="G207" s="119">
        <f t="shared" si="40"/>
      </c>
      <c r="H207" s="131">
        <v>6</v>
      </c>
      <c r="I207" s="131">
        <v>0</v>
      </c>
      <c r="J207" s="132">
        <v>0</v>
      </c>
      <c r="K207" s="131">
        <v>1</v>
      </c>
      <c r="L207" s="132">
        <v>1669.1999999999998</v>
      </c>
      <c r="M207" s="120">
        <f t="shared" si="75"/>
      </c>
      <c r="N207" s="119">
        <f t="shared" si="78"/>
      </c>
      <c r="O207" s="119">
        <f t="shared" si="0"/>
      </c>
      <c r="P207" s="123">
        <f t="shared" si="35"/>
      </c>
      <c r="Q207" s="119">
        <f t="shared" si="38"/>
      </c>
      <c r="R207" s="124">
        <f t="shared" si="39"/>
      </c>
      <c r="S207" s="134">
        <f t="shared" si="141"/>
      </c>
      <c r="T207" s="125">
        <f t="shared" si="176"/>
      </c>
      <c r="U207" s="126">
        <f t="shared" si="179"/>
      </c>
      <c r="V207" s="127">
        <f t="shared" si="180"/>
      </c>
      <c r="W207" s="126">
        <f t="shared" si="202"/>
      </c>
      <c r="X207" s="126">
        <f t="shared" si="181"/>
      </c>
      <c r="Y207" s="126">
        <f t="shared" si="200"/>
      </c>
      <c r="Z207" s="120">
        <v>11296</v>
      </c>
      <c r="AA207" s="131">
        <v>351</v>
      </c>
      <c r="AB207" s="131">
        <v>56</v>
      </c>
      <c r="AC207" s="131">
        <v>93</v>
      </c>
      <c r="AD207" s="131">
        <v>6</v>
      </c>
      <c r="AE207" s="136">
        <f t="shared" si="112"/>
      </c>
    </row>
    <row r="208">
      <c r="A208" s="114"/>
      <c r="B208" s="115" t="s">
        <v>89</v>
      </c>
      <c r="C208" s="115" t="s">
        <v>97</v>
      </c>
      <c r="D208" s="129">
        <v>3420.98</v>
      </c>
      <c r="E208" s="130">
        <v>8</v>
      </c>
      <c r="F208" s="130">
        <v>6</v>
      </c>
      <c r="G208" s="119">
        <f t="shared" si="40"/>
      </c>
      <c r="H208" s="131">
        <v>10</v>
      </c>
      <c r="I208" s="131">
        <v>4</v>
      </c>
      <c r="J208" s="132">
        <v>3666.600000000002</v>
      </c>
      <c r="K208" s="131">
        <v>2</v>
      </c>
      <c r="L208" s="132">
        <v>2856.000000000001</v>
      </c>
      <c r="M208" s="120">
        <f t="shared" si="75"/>
      </c>
      <c r="N208" s="119">
        <f t="shared" si="78"/>
      </c>
      <c r="O208" s="137">
        <f t="shared" si="0"/>
      </c>
      <c r="P208" s="123">
        <f t="shared" si="35"/>
      </c>
      <c r="Q208" s="137">
        <f t="shared" si="38"/>
      </c>
      <c r="R208" s="134">
        <f t="shared" si="39"/>
      </c>
      <c r="S208" s="134">
        <f t="shared" si="141"/>
      </c>
      <c r="T208" s="125">
        <f t="shared" si="176"/>
      </c>
      <c r="U208" s="138">
        <f t="shared" si="179"/>
      </c>
      <c r="V208" s="138">
        <f t="shared" si="180"/>
      </c>
      <c r="W208" s="138">
        <f t="shared" si="202"/>
      </c>
      <c r="X208" s="138">
        <f t="shared" si="181"/>
      </c>
      <c r="Y208" s="139">
        <f t="shared" ref="Y208:Y211" si="138">M208/AD208</f>
      </c>
      <c r="Z208" s="120">
        <v>10381</v>
      </c>
      <c r="AA208" s="131">
        <v>410</v>
      </c>
      <c r="AB208" s="131">
        <v>58</v>
      </c>
      <c r="AC208" s="131">
        <v>85</v>
      </c>
      <c r="AD208" s="131">
        <v>10</v>
      </c>
      <c r="AE208" s="136">
        <f t="shared" si="112"/>
      </c>
    </row>
    <row r="209">
      <c r="A209" s="114"/>
      <c r="B209" s="115" t="s">
        <v>91</v>
      </c>
      <c r="C209" s="115" t="s">
        <v>97</v>
      </c>
      <c r="D209" s="116">
        <v>3053.51</v>
      </c>
      <c r="E209" s="117">
        <v>5</v>
      </c>
      <c r="F209" s="117">
        <v>2</v>
      </c>
      <c r="G209" s="119">
        <f t="shared" si="40"/>
      </c>
      <c r="H209" s="120">
        <v>6</v>
      </c>
      <c r="I209" s="120">
        <v>2</v>
      </c>
      <c r="J209" s="121">
        <v>2230.7999999999993</v>
      </c>
      <c r="K209" s="120">
        <v>1</v>
      </c>
      <c r="L209" s="121">
        <v>5133.6</v>
      </c>
      <c r="M209" s="120">
        <f t="shared" si="75"/>
      </c>
      <c r="N209" s="119">
        <f t="shared" si="78"/>
      </c>
      <c r="O209" s="119">
        <f t="shared" si="0"/>
      </c>
      <c r="P209" s="123">
        <f t="shared" si="35"/>
      </c>
      <c r="Q209" s="119">
        <f t="shared" si="38"/>
      </c>
      <c r="R209" s="134">
        <f t="shared" si="39"/>
      </c>
      <c r="S209" s="134">
        <f t="shared" si="141"/>
      </c>
      <c r="T209" s="125">
        <f t="shared" si="176"/>
      </c>
      <c r="U209" s="126">
        <f t="shared" si="179"/>
      </c>
      <c r="V209" s="127">
        <f t="shared" si="180"/>
      </c>
      <c r="W209" s="138">
        <f t="shared" si="202"/>
      </c>
      <c r="X209" s="126">
        <f t="shared" si="181"/>
      </c>
      <c r="Y209" s="140">
        <f t="shared" si="138"/>
      </c>
      <c r="Z209" s="120">
        <v>12511</v>
      </c>
      <c r="AA209" s="120">
        <v>384</v>
      </c>
      <c r="AB209" s="120">
        <v>40</v>
      </c>
      <c r="AC209" s="120">
        <v>92</v>
      </c>
      <c r="AD209" s="120">
        <v>6</v>
      </c>
      <c r="AE209" s="136">
        <f t="shared" si="112"/>
      </c>
    </row>
    <row r="210">
      <c r="A210" s="114"/>
      <c r="B210" s="141" t="s">
        <v>90</v>
      </c>
      <c r="C210" s="141"/>
      <c r="D210" s="142">
        <f>SUM(D206:D209)</f>
      </c>
      <c r="E210" s="143">
        <f>SUM(E206:E209)</f>
      </c>
      <c r="F210" s="143">
        <f>SUM(F206:F209)</f>
      </c>
      <c r="G210" s="143">
        <f t="shared" si="40"/>
      </c>
      <c r="H210" s="143">
        <f>SUM(H206:H209)</f>
      </c>
      <c r="I210" s="143">
        <f>SUM(I206:I209)</f>
      </c>
      <c r="J210" s="144">
        <f>SUM(J206:J209)</f>
      </c>
      <c r="K210" s="143">
        <f>SUM(K206:K209)</f>
      </c>
      <c r="L210" s="144">
        <f>SUM(L206:L209)</f>
      </c>
      <c r="M210" s="143">
        <f>SUM(M206:M209)</f>
      </c>
      <c r="N210" s="143">
        <f t="shared" si="78"/>
      </c>
      <c r="O210" s="143">
        <f t="shared" si="0"/>
      </c>
      <c r="P210" s="145">
        <f>SUM(P206:P209)</f>
      </c>
      <c r="Q210" s="143">
        <f t="shared" si="38"/>
      </c>
      <c r="R210" s="146">
        <f t="shared" si="39"/>
      </c>
      <c r="S210" s="146">
        <f t="shared" si="141"/>
      </c>
      <c r="T210" s="147">
        <f>(T209+T207+T208+T206)/4</f>
      </c>
      <c r="U210" s="148">
        <f t="shared" si="179"/>
      </c>
      <c r="V210" s="148">
        <f t="shared" si="180"/>
      </c>
      <c r="W210" s="148">
        <f t="shared" si="202"/>
      </c>
      <c r="X210" s="148">
        <f t="shared" si="181"/>
      </c>
      <c r="Y210" s="148">
        <f t="shared" si="138"/>
      </c>
      <c r="Z210" s="143">
        <f>SUM(Z206:Z209)</f>
      </c>
      <c r="AA210" s="143">
        <f>SUM(AA206:AA209)</f>
      </c>
      <c r="AB210" s="143">
        <f>SUM(AB206:AB209)</f>
      </c>
      <c r="AC210" s="143">
        <f>SUM(AC206:AC209)</f>
      </c>
      <c r="AD210" s="143">
        <f>SUM(AD206:AD209)</f>
      </c>
      <c r="AE210" s="143">
        <f>SUM(AE206:AE209)</f>
      </c>
    </row>
    <row r="211">
      <c r="A211" s="114"/>
      <c r="B211" s="154" t="s">
        <v>96</v>
      </c>
      <c r="C211" s="154"/>
      <c r="D211" s="155">
        <f>D210</f>
      </c>
      <c r="E211" s="156">
        <f>E210</f>
      </c>
      <c r="F211" s="156">
        <f>F210</f>
      </c>
      <c r="G211" s="157">
        <f t="shared" si="40"/>
      </c>
      <c r="H211" s="156">
        <f>H210</f>
      </c>
      <c r="I211" s="156">
        <f>I210</f>
      </c>
      <c r="J211" s="159">
        <f>J210</f>
      </c>
      <c r="K211" s="156">
        <f>K210</f>
      </c>
      <c r="L211" s="159">
        <f>L210</f>
      </c>
      <c r="M211" s="156">
        <f>M210</f>
      </c>
      <c r="N211" s="157">
        <f t="shared" si="78"/>
      </c>
      <c r="O211" s="164">
        <f t="shared" si="0"/>
      </c>
      <c r="P211" s="155">
        <f>P210</f>
      </c>
      <c r="Q211" s="157">
        <f t="shared" si="38"/>
      </c>
      <c r="R211" s="160">
        <f t="shared" si="39"/>
      </c>
      <c r="S211" s="160">
        <f t="shared" si="141"/>
      </c>
      <c r="T211" s="161">
        <f>T210</f>
      </c>
      <c r="U211" s="162">
        <f t="shared" si="179"/>
      </c>
      <c r="V211" s="163">
        <f t="shared" si="180"/>
      </c>
      <c r="W211" s="162">
        <f t="shared" si="202"/>
      </c>
      <c r="X211" s="162">
        <f t="shared" si="181"/>
      </c>
      <c r="Y211" s="162">
        <f t="shared" si="138"/>
      </c>
      <c r="Z211" s="155">
        <f>Z210</f>
      </c>
      <c r="AA211" s="155">
        <f>AA210</f>
      </c>
      <c r="AB211" s="155">
        <f>AB210</f>
      </c>
      <c r="AC211" s="155">
        <f>AC210</f>
      </c>
      <c r="AD211" s="155">
        <f>AD210</f>
      </c>
      <c r="AE211" s="155">
        <f>AE210</f>
      </c>
    </row>
    <row r="212">
      <c r="A212" s="114">
        <v>46265</v>
      </c>
      <c r="B212" s="115" t="s">
        <v>87</v>
      </c>
      <c r="C212" s="115" t="s">
        <v>97</v>
      </c>
      <c r="D212" s="116">
        <v>3823.24</v>
      </c>
      <c r="E212" s="117">
        <v>4</v>
      </c>
      <c r="F212" s="117">
        <v>1</v>
      </c>
      <c r="G212" s="119">
        <f t="shared" si="40"/>
      </c>
      <c r="H212" s="120">
        <v>4</v>
      </c>
      <c r="I212" s="120">
        <v>1</v>
      </c>
      <c r="J212" s="121">
        <v>720</v>
      </c>
      <c r="K212" s="120">
        <v>0</v>
      </c>
      <c r="L212" s="122">
        <v>0</v>
      </c>
      <c r="M212" s="120">
        <f t="shared" ref="M212:M215" si="76">K212+I212</f>
      </c>
      <c r="N212" s="119">
        <f t="shared" si="78"/>
      </c>
      <c r="O212" s="119">
        <f t="shared" si="0"/>
      </c>
      <c r="P212" s="123">
        <f t="shared" ref="P212:P215" si="36">J212+L212</f>
      </c>
      <c r="Q212" s="119">
        <f t="shared" si="38"/>
      </c>
      <c r="R212" s="124">
        <f t="shared" si="39"/>
      </c>
      <c r="S212" s="124">
        <f t="shared" si="141"/>
      </c>
      <c r="T212" s="125">
        <f t="shared" ref="T212:T215" si="177">AA212/60</f>
      </c>
      <c r="U212" s="126">
        <f t="shared" si="179"/>
      </c>
      <c r="V212" s="127">
        <f t="shared" si="180"/>
      </c>
      <c r="W212" s="126">
        <f t="shared" si="202"/>
      </c>
      <c r="X212" s="126">
        <f t="shared" si="181"/>
      </c>
      <c r="Y212" s="126">
        <f t="shared" ref="Y212:Y213" si="201">AE212/AD212</f>
      </c>
      <c r="Z212" s="120">
        <v>12407</v>
      </c>
      <c r="AA212" s="120">
        <v>560</v>
      </c>
      <c r="AB212" s="120">
        <v>52</v>
      </c>
      <c r="AC212" s="120">
        <v>80</v>
      </c>
      <c r="AD212" s="120">
        <v>4</v>
      </c>
      <c r="AE212" s="128">
        <f t="shared" ref="AE212:AE215" si="113">COUNT(AD212)</f>
      </c>
    </row>
    <row r="213">
      <c r="A213" s="114"/>
      <c r="B213" s="115" t="s">
        <v>88</v>
      </c>
      <c r="C213" s="115" t="s">
        <v>97</v>
      </c>
      <c r="D213" s="129">
        <v>2943.49</v>
      </c>
      <c r="E213" s="130">
        <v>8</v>
      </c>
      <c r="F213" s="130">
        <v>2</v>
      </c>
      <c r="G213" s="119">
        <f t="shared" si="40"/>
      </c>
      <c r="H213" s="131">
        <v>10</v>
      </c>
      <c r="I213" s="131">
        <v>3</v>
      </c>
      <c r="J213" s="132">
        <v>3076.7999999999997</v>
      </c>
      <c r="K213" s="131">
        <v>0</v>
      </c>
      <c r="L213" s="133">
        <v>0</v>
      </c>
      <c r="M213" s="120">
        <f t="shared" si="76"/>
      </c>
      <c r="N213" s="119">
        <f t="shared" si="78"/>
      </c>
      <c r="O213" s="119">
        <f t="shared" si="0"/>
      </c>
      <c r="P213" s="123">
        <f t="shared" si="36"/>
      </c>
      <c r="Q213" s="119">
        <f t="shared" si="38"/>
      </c>
      <c r="R213" s="124">
        <f t="shared" si="39"/>
      </c>
      <c r="S213" s="134">
        <f t="shared" si="141"/>
      </c>
      <c r="T213" s="125">
        <f t="shared" si="177"/>
      </c>
      <c r="U213" s="126">
        <f t="shared" si="179"/>
      </c>
      <c r="V213" s="127">
        <f t="shared" si="180"/>
      </c>
      <c r="W213" s="126">
        <f t="shared" si="202"/>
      </c>
      <c r="X213" s="126">
        <f t="shared" si="181"/>
      </c>
      <c r="Y213" s="126">
        <f t="shared" si="201"/>
      </c>
      <c r="Z213" s="120">
        <v>9898</v>
      </c>
      <c r="AA213" s="131">
        <v>354</v>
      </c>
      <c r="AB213" s="131">
        <v>60</v>
      </c>
      <c r="AC213" s="131">
        <v>79</v>
      </c>
      <c r="AD213" s="131">
        <v>10</v>
      </c>
      <c r="AE213" s="128">
        <f t="shared" si="113"/>
      </c>
    </row>
    <row r="214">
      <c r="A214" s="114"/>
      <c r="B214" s="115" t="s">
        <v>89</v>
      </c>
      <c r="C214" s="115" t="s">
        <v>97</v>
      </c>
      <c r="D214" s="129">
        <v>3070.24</v>
      </c>
      <c r="E214" s="130">
        <v>3</v>
      </c>
      <c r="F214" s="130">
        <v>1</v>
      </c>
      <c r="G214" s="119">
        <f t="shared" si="40"/>
      </c>
      <c r="H214" s="131">
        <v>1</v>
      </c>
      <c r="I214" s="131">
        <v>0</v>
      </c>
      <c r="J214" s="132">
        <v>0</v>
      </c>
      <c r="K214" s="131">
        <v>0</v>
      </c>
      <c r="L214" s="133">
        <v>0</v>
      </c>
      <c r="M214" s="136">
        <f t="shared" si="76"/>
      </c>
      <c r="N214" s="119">
        <f t="shared" si="78"/>
      </c>
      <c r="O214" s="137">
        <f t="shared" si="0"/>
      </c>
      <c r="P214" s="123">
        <f t="shared" si="36"/>
      </c>
      <c r="Q214" s="137">
        <f t="shared" si="38"/>
      </c>
      <c r="R214" s="134">
        <f t="shared" si="39"/>
      </c>
      <c r="S214" s="134">
        <f t="shared" si="141"/>
      </c>
      <c r="T214" s="125">
        <f t="shared" si="177"/>
      </c>
      <c r="U214" s="138">
        <f t="shared" si="179"/>
      </c>
      <c r="V214" s="138">
        <f t="shared" si="180"/>
      </c>
      <c r="W214" s="138">
        <f t="shared" si="202"/>
      </c>
      <c r="X214" s="138">
        <f t="shared" si="181"/>
      </c>
      <c r="Y214" s="139">
        <f t="shared" ref="Y214:Y217" si="139">M214/AD214</f>
      </c>
      <c r="Z214" s="120">
        <v>10906</v>
      </c>
      <c r="AA214" s="131">
        <v>351</v>
      </c>
      <c r="AB214" s="131">
        <v>58</v>
      </c>
      <c r="AC214" s="131">
        <v>78</v>
      </c>
      <c r="AD214" s="131">
        <v>1</v>
      </c>
      <c r="AE214" s="128">
        <f t="shared" si="113"/>
      </c>
    </row>
    <row r="215">
      <c r="A215" s="114"/>
      <c r="B215" s="115" t="s">
        <v>91</v>
      </c>
      <c r="C215" s="115" t="s">
        <v>97</v>
      </c>
      <c r="D215" s="116">
        <v>1860.98</v>
      </c>
      <c r="E215" s="117">
        <v>2</v>
      </c>
      <c r="F215" s="117">
        <v>0</v>
      </c>
      <c r="G215" s="119">
        <f t="shared" si="40"/>
      </c>
      <c r="H215" s="120">
        <v>2</v>
      </c>
      <c r="I215" s="120">
        <v>0</v>
      </c>
      <c r="J215" s="121">
        <v>0</v>
      </c>
      <c r="K215" s="120">
        <v>0</v>
      </c>
      <c r="L215" s="122">
        <v>0</v>
      </c>
      <c r="M215" s="120">
        <f t="shared" si="76"/>
      </c>
      <c r="N215" s="119">
        <f t="shared" si="78"/>
      </c>
      <c r="O215" s="119">
        <f t="shared" si="0"/>
      </c>
      <c r="P215" s="123">
        <f t="shared" si="36"/>
      </c>
      <c r="Q215" s="119">
        <f t="shared" si="38"/>
      </c>
      <c r="R215" s="134">
        <f t="shared" si="39"/>
      </c>
      <c r="S215" s="134">
        <f t="shared" si="141"/>
      </c>
      <c r="T215" s="125">
        <f t="shared" si="177"/>
      </c>
      <c r="U215" s="126">
        <f t="shared" si="179"/>
      </c>
      <c r="V215" s="127">
        <f t="shared" si="180"/>
      </c>
      <c r="W215" s="138">
        <f t="shared" si="202"/>
      </c>
      <c r="X215" s="126">
        <f t="shared" si="181"/>
      </c>
      <c r="Y215" s="140">
        <f t="shared" si="139"/>
      </c>
      <c r="Z215" s="120">
        <v>6179</v>
      </c>
      <c r="AA215" s="120">
        <v>214</v>
      </c>
      <c r="AB215" s="120">
        <v>36</v>
      </c>
      <c r="AC215" s="120">
        <v>37</v>
      </c>
      <c r="AD215" s="120">
        <v>2</v>
      </c>
      <c r="AE215" s="128">
        <f t="shared" si="113"/>
      </c>
    </row>
    <row r="216">
      <c r="A216" s="114"/>
      <c r="B216" s="141" t="s">
        <v>90</v>
      </c>
      <c r="C216" s="141"/>
      <c r="D216" s="142">
        <f>SUM(D212:D215)</f>
      </c>
      <c r="E216" s="143">
        <f>SUM(E212:E215)</f>
      </c>
      <c r="F216" s="143">
        <f>SUM(F212:F215)</f>
      </c>
      <c r="G216" s="143">
        <f t="shared" si="40"/>
      </c>
      <c r="H216" s="143">
        <f>SUM(H212:H215)</f>
      </c>
      <c r="I216" s="143">
        <f>SUM(I212:I215)</f>
      </c>
      <c r="J216" s="144">
        <f>SUM(J212:J215)</f>
      </c>
      <c r="K216" s="145">
        <f>SUM(K212:K215)</f>
      </c>
      <c r="L216" s="145">
        <f>SUM(L212:L215)</f>
      </c>
      <c r="M216" s="143">
        <f>SUM(M212:M215)</f>
      </c>
      <c r="N216" s="143">
        <f t="shared" si="78"/>
      </c>
      <c r="O216" s="143">
        <f t="shared" si="0"/>
      </c>
      <c r="P216" s="145">
        <f>SUM(P212:P215)</f>
      </c>
      <c r="Q216" s="143">
        <f t="shared" si="38"/>
      </c>
      <c r="R216" s="146">
        <f t="shared" si="39"/>
      </c>
      <c r="S216" s="146">
        <f t="shared" si="141"/>
      </c>
      <c r="T216" s="147">
        <f>(T215+T213+T214+T212)/4</f>
      </c>
      <c r="U216" s="148">
        <f t="shared" si="179"/>
      </c>
      <c r="V216" s="148">
        <f t="shared" si="180"/>
      </c>
      <c r="W216" s="148">
        <f t="shared" si="202"/>
      </c>
      <c r="X216" s="148">
        <f t="shared" si="181"/>
      </c>
      <c r="Y216" s="148">
        <f t="shared" si="139"/>
      </c>
      <c r="Z216" s="143">
        <f>SUM(Z212:Z215)</f>
      </c>
      <c r="AA216" s="143">
        <f>SUM(AA212:AA215)</f>
      </c>
      <c r="AB216" s="143">
        <f>SUM(AB212:AB215)</f>
      </c>
      <c r="AC216" s="143">
        <f>SUM(AC212:AC215)</f>
      </c>
      <c r="AD216" s="143">
        <f>SUM(AD212:AD215)</f>
      </c>
      <c r="AE216" s="143">
        <f>SUM(AE212:AE215)</f>
      </c>
    </row>
    <row r="217">
      <c r="A217" s="114"/>
      <c r="B217" s="115" t="s">
        <v>93</v>
      </c>
      <c r="C217" s="115" t="s">
        <v>100</v>
      </c>
      <c r="D217" s="116">
        <v>2217.63</v>
      </c>
      <c r="E217" s="117">
        <v>5</v>
      </c>
      <c r="F217" s="117">
        <v>1</v>
      </c>
      <c r="G217" s="119">
        <f t="shared" si="40"/>
      </c>
      <c r="H217" s="120">
        <v>5</v>
      </c>
      <c r="I217" s="120">
        <v>1</v>
      </c>
      <c r="J217" s="121">
        <v>1546.8000000000006</v>
      </c>
      <c r="K217" s="120">
        <v>0</v>
      </c>
      <c r="L217" s="122">
        <v>0</v>
      </c>
      <c r="M217" s="120">
        <f t="shared" ref="M217:M219" si="77">K217+I217</f>
      </c>
      <c r="N217" s="119">
        <f t="shared" si="78"/>
      </c>
      <c r="O217" s="119">
        <f t="shared" si="0"/>
      </c>
      <c r="P217" s="123">
        <f t="shared" ref="P217:P219" si="37">J217+L217</f>
      </c>
      <c r="Q217" s="119">
        <f t="shared" si="38"/>
      </c>
      <c r="R217" s="124">
        <f t="shared" si="39"/>
      </c>
      <c r="S217" s="124">
        <f t="shared" si="141"/>
      </c>
      <c r="T217" s="125">
        <f t="shared" ref="T217:T219" si="178">AA217/60</f>
      </c>
      <c r="U217" s="126">
        <f t="shared" si="179"/>
      </c>
      <c r="V217" s="127">
        <f t="shared" si="180"/>
      </c>
      <c r="W217" s="126">
        <f t="shared" si="202"/>
      </c>
      <c r="X217" s="126">
        <f t="shared" si="181"/>
      </c>
      <c r="Y217" s="126">
        <f t="shared" si="139"/>
      </c>
      <c r="Z217" s="120">
        <v>7803</v>
      </c>
      <c r="AA217" s="120">
        <v>354</v>
      </c>
      <c r="AB217" s="120">
        <v>38</v>
      </c>
      <c r="AC217" s="149">
        <v>48</v>
      </c>
      <c r="AD217" s="120">
        <v>5</v>
      </c>
      <c r="AE217" s="128">
        <f t="shared" ref="AE217:AE219" si="114">COUNT(AD217)</f>
      </c>
    </row>
    <row r="218">
      <c r="A218" s="114"/>
      <c r="B218" s="115" t="s">
        <v>94</v>
      </c>
      <c r="C218" s="115" t="s">
        <v>100</v>
      </c>
      <c r="D218" s="116">
        <v>2354.63</v>
      </c>
      <c r="E218" s="117">
        <v>2</v>
      </c>
      <c r="F218" s="117">
        <v>1</v>
      </c>
      <c r="G218" s="119">
        <f t="shared" si="40"/>
      </c>
      <c r="H218" s="120">
        <v>3</v>
      </c>
      <c r="I218" s="120">
        <v>2</v>
      </c>
      <c r="J218" s="121">
        <v>1821.5999999999985</v>
      </c>
      <c r="K218" s="120">
        <v>0</v>
      </c>
      <c r="L218" s="122">
        <v>0</v>
      </c>
      <c r="M218" s="120">
        <f t="shared" si="77"/>
      </c>
      <c r="N218" s="119">
        <f t="shared" si="78"/>
      </c>
      <c r="O218" s="119">
        <f t="shared" si="0"/>
      </c>
      <c r="P218" s="123">
        <f t="shared" si="37"/>
      </c>
      <c r="Q218" s="119">
        <f t="shared" si="38"/>
      </c>
      <c r="R218" s="124">
        <f t="shared" si="39"/>
      </c>
      <c r="S218" s="124">
        <f t="shared" si="141"/>
      </c>
      <c r="T218" s="125">
        <f t="shared" si="178"/>
      </c>
      <c r="U218" s="126">
        <f t="shared" si="179"/>
      </c>
      <c r="V218" s="127">
        <f t="shared" si="180"/>
      </c>
      <c r="W218" s="126">
        <f t="shared" si="202"/>
      </c>
      <c r="X218" s="126">
        <f t="shared" si="181"/>
      </c>
      <c r="Y218" s="126">
        <f>AE218/AD218</f>
      </c>
      <c r="Z218" s="120">
        <v>8464</v>
      </c>
      <c r="AA218" s="120">
        <v>428</v>
      </c>
      <c r="AB218" s="120">
        <v>59</v>
      </c>
      <c r="AC218" s="149">
        <v>35</v>
      </c>
      <c r="AD218" s="120">
        <v>3</v>
      </c>
      <c r="AE218" s="128">
        <f t="shared" si="114"/>
      </c>
    </row>
    <row r="219">
      <c r="A219" s="114"/>
      <c r="B219" s="115" t="s">
        <v>95</v>
      </c>
      <c r="C219" s="115" t="s">
        <v>100</v>
      </c>
      <c r="D219" s="116">
        <v>1760.37</v>
      </c>
      <c r="E219" s="117">
        <v>1</v>
      </c>
      <c r="F219" s="117">
        <v>1</v>
      </c>
      <c r="G219" s="119">
        <f t="shared" si="40"/>
      </c>
      <c r="H219" s="120">
        <v>3</v>
      </c>
      <c r="I219" s="120">
        <v>0</v>
      </c>
      <c r="J219" s="121">
        <v>0</v>
      </c>
      <c r="K219" s="120">
        <v>1</v>
      </c>
      <c r="L219" s="122">
        <v>3390</v>
      </c>
      <c r="M219" s="120">
        <f t="shared" si="77"/>
      </c>
      <c r="N219" s="119">
        <f t="shared" si="78"/>
      </c>
      <c r="O219" s="119">
        <f t="shared" si="0"/>
      </c>
      <c r="P219" s="123">
        <f t="shared" si="37"/>
      </c>
      <c r="Q219" s="119">
        <f t="shared" si="38"/>
      </c>
      <c r="R219" s="124">
        <f t="shared" si="39"/>
      </c>
      <c r="S219" s="124">
        <f t="shared" si="141"/>
      </c>
      <c r="T219" s="125">
        <f t="shared" si="178"/>
      </c>
      <c r="U219" s="126">
        <f t="shared" si="179"/>
      </c>
      <c r="V219" s="127">
        <f t="shared" si="180"/>
      </c>
      <c r="W219" s="126">
        <f t="shared" si="202"/>
      </c>
      <c r="X219" s="126">
        <f t="shared" si="181"/>
      </c>
      <c r="Y219" s="126">
        <f t="shared" ref="Y219:Y221" si="140">M219/AD219</f>
      </c>
      <c r="Z219" s="120">
        <v>6292</v>
      </c>
      <c r="AA219" s="120">
        <v>338</v>
      </c>
      <c r="AB219" s="120">
        <v>46</v>
      </c>
      <c r="AC219" s="149">
        <v>34</v>
      </c>
      <c r="AD219" s="120">
        <v>3</v>
      </c>
      <c r="AE219" s="128">
        <f t="shared" si="114"/>
      </c>
    </row>
    <row r="220">
      <c r="A220" s="114"/>
      <c r="B220" s="141" t="s">
        <v>90</v>
      </c>
      <c r="C220" s="141"/>
      <c r="D220" s="142">
        <f>SUM(D217:D219)</f>
      </c>
      <c r="E220" s="143">
        <f>SUM(E217:E219)</f>
      </c>
      <c r="F220" s="143">
        <f>SUM(F217:F219)</f>
      </c>
      <c r="G220" s="151">
        <f t="shared" si="40"/>
      </c>
      <c r="H220" s="143">
        <f>SUM(H217:H219)</f>
      </c>
      <c r="I220" s="143">
        <f>SUM(I217:I219)</f>
      </c>
      <c r="J220" s="144">
        <f>SUM(J217:J219)</f>
      </c>
      <c r="K220" s="143">
        <f>SUM(K217:K219)</f>
      </c>
      <c r="L220" s="142">
        <f>SUM(L217:L219)</f>
      </c>
      <c r="M220" s="143">
        <f>SUM(M217:M219)</f>
      </c>
      <c r="N220" s="143">
        <f t="shared" si="78"/>
      </c>
      <c r="O220" s="143">
        <f t="shared" si="0"/>
      </c>
      <c r="P220" s="142">
        <f>SUM(P217:P219)</f>
      </c>
      <c r="Q220" s="143">
        <f t="shared" si="38"/>
      </c>
      <c r="R220" s="146">
        <f t="shared" si="39"/>
      </c>
      <c r="S220" s="146">
        <f t="shared" si="141"/>
      </c>
      <c r="T220" s="147">
        <f>(T218+T219+T217)/3</f>
      </c>
      <c r="U220" s="152">
        <f t="shared" si="179"/>
      </c>
      <c r="V220" s="153">
        <f t="shared" si="180"/>
      </c>
      <c r="W220" s="152">
        <f t="shared" si="202"/>
      </c>
      <c r="X220" s="152">
        <f t="shared" si="181"/>
      </c>
      <c r="Y220" s="152">
        <f t="shared" si="140"/>
      </c>
      <c r="Z220" s="143">
        <f>SUM(Z217:Z219)</f>
      </c>
      <c r="AA220" s="143">
        <f>SUM(AA217:AA219)</f>
      </c>
      <c r="AB220" s="143">
        <f>SUM(AB217:AB219)</f>
      </c>
      <c r="AC220" s="143">
        <f>SUM(AC217:AC219)</f>
      </c>
      <c r="AD220" s="143">
        <f>SUM(AD217:AD219)</f>
      </c>
      <c r="AE220" s="143">
        <f>SUM(AE217:AE219)</f>
      </c>
    </row>
    <row r="221">
      <c r="A221" s="114"/>
      <c r="B221" s="154" t="s">
        <v>96</v>
      </c>
      <c r="C221" s="154"/>
      <c r="D221" s="155">
        <f>D220+D216</f>
      </c>
      <c r="E221" s="156">
        <f>E220+E216</f>
      </c>
      <c r="F221" s="156">
        <f>F220+F216</f>
      </c>
      <c r="G221" s="157">
        <f t="shared" si="40"/>
      </c>
      <c r="H221" s="158">
        <f>H220+H216</f>
      </c>
      <c r="I221" s="156">
        <f>I220+I216</f>
      </c>
      <c r="J221" s="159">
        <f>J220+J216</f>
      </c>
      <c r="K221" s="156">
        <f>K220+K216</f>
      </c>
      <c r="L221" s="155">
        <f>L220+L216</f>
      </c>
      <c r="M221" s="156">
        <f>M220+M216</f>
      </c>
      <c r="N221" s="157">
        <f t="shared" si="78"/>
      </c>
      <c r="O221" s="164">
        <f t="shared" si="0"/>
      </c>
      <c r="P221" s="168">
        <f>P220+P216</f>
      </c>
      <c r="Q221" s="157">
        <f t="shared" si="38"/>
      </c>
      <c r="R221" s="160">
        <f t="shared" si="39"/>
      </c>
      <c r="S221" s="160">
        <f t="shared" si="141"/>
      </c>
      <c r="T221" s="161">
        <f>(T220+T216)/2</f>
      </c>
      <c r="U221" s="162">
        <f t="shared" si="179"/>
      </c>
      <c r="V221" s="163">
        <f t="shared" si="180"/>
      </c>
      <c r="W221" s="162">
        <f t="shared" si="202"/>
      </c>
      <c r="X221" s="162">
        <f t="shared" si="181"/>
      </c>
      <c r="Y221" s="162">
        <f t="shared" si="140"/>
      </c>
      <c r="Z221" s="156">
        <f>Z220+Z216</f>
      </c>
      <c r="AA221" s="156">
        <f>AA220+AA216</f>
      </c>
      <c r="AB221" s="156">
        <f>AB220+AB216</f>
      </c>
      <c r="AC221" s="156">
        <f>AC220+AC216</f>
      </c>
      <c r="AD221" s="156">
        <f>AD220+AD216</f>
      </c>
      <c r="AE221" s="156">
        <f>AE220+AE216</f>
      </c>
    </row>
    <row hidden="true" r="222">
      <c r="E222" s="169"/>
      <c r="F222" s="169"/>
      <c r="M222" s="169"/>
    </row>
    <row hidden="true" r="223">
      <c r="E223" s="169"/>
      <c r="F223" s="169"/>
      <c r="M223" s="169"/>
    </row>
    <row hidden="true" r="224">
      <c r="G224" s="119"/>
      <c r="N224" s="119"/>
      <c r="O224" s="119"/>
      <c r="Q224" s="119"/>
      <c r="R224" s="124"/>
      <c r="S224" s="124"/>
    </row>
    <row hidden="true" r="225">
      <c r="G225" s="119"/>
      <c r="N225" s="119"/>
      <c r="O225" s="119"/>
      <c r="Q225" s="119"/>
      <c r="R225" s="124"/>
      <c r="S225" s="134"/>
    </row>
    <row hidden="true" r="226">
      <c r="G226" s="119"/>
      <c r="N226" s="119"/>
      <c r="O226" s="137"/>
      <c r="Q226" s="137"/>
      <c r="R226" s="134"/>
      <c r="S226" s="134"/>
    </row>
    <row hidden="true" r="227">
      <c r="G227" s="119"/>
      <c r="N227" s="119"/>
      <c r="O227" s="119"/>
      <c r="Q227" s="119"/>
      <c r="R227" s="134"/>
      <c r="S227" s="134"/>
      <c r="AE227" s="170"/>
    </row>
    <row hidden="true" r="228">
      <c r="E228" s="169"/>
      <c r="F228" s="169"/>
      <c r="H228" s="169"/>
      <c r="I228" s="169"/>
      <c r="J228" s="171"/>
      <c r="K228" s="169"/>
      <c r="L228" s="171"/>
      <c r="M228" s="169"/>
    </row>
    <row r="229">
      <c r="E229" s="169"/>
      <c r="F229" s="169"/>
      <c r="H229" s="172"/>
      <c r="I229" s="172"/>
      <c r="J229" s="172"/>
      <c r="K229" s="172"/>
      <c r="L229" s="172"/>
      <c r="M229" s="169"/>
    </row>
    <row r="230">
      <c r="E230" s="169"/>
      <c r="F230" s="169"/>
      <c r="H230" s="173"/>
      <c r="I230" s="173"/>
      <c r="J230" s="174"/>
      <c r="K230" s="173"/>
      <c r="L230" s="174"/>
      <c r="M230" s="169"/>
    </row>
    <row r="231">
      <c r="E231" s="169"/>
      <c r="F231" s="169"/>
      <c r="H231" s="169"/>
      <c r="I231" s="169"/>
      <c r="J231" s="171"/>
      <c r="K231" s="169"/>
      <c r="L231" s="171"/>
      <c r="M231" s="169"/>
    </row>
    <row r="232">
      <c r="E232" s="169"/>
      <c r="F232" s="169"/>
      <c r="H232" s="169"/>
      <c r="I232" s="169"/>
      <c r="J232" s="171"/>
      <c r="K232" s="169"/>
      <c r="L232" s="171"/>
      <c r="M232" s="169"/>
    </row>
    <row r="233">
      <c r="E233" s="169"/>
      <c r="F233" s="169"/>
      <c r="H233" s="169"/>
      <c r="I233" s="169"/>
      <c r="J233" s="171"/>
      <c r="K233" s="169"/>
      <c r="L233" s="171"/>
      <c r="M233" s="169"/>
    </row>
    <row r="234">
      <c r="E234" s="169"/>
      <c r="F234" s="169"/>
      <c r="H234" s="169"/>
      <c r="I234" s="169"/>
      <c r="J234" s="171"/>
      <c r="K234" s="169"/>
      <c r="L234" s="171"/>
      <c r="M234" s="169"/>
    </row>
    <row r="235">
      <c r="E235" s="169"/>
      <c r="F235" s="169"/>
      <c r="H235" s="169"/>
      <c r="I235" s="169"/>
      <c r="J235" s="171"/>
      <c r="K235" s="169"/>
      <c r="L235" s="171"/>
      <c r="M235" s="169"/>
    </row>
    <row r="236">
      <c r="E236" s="169"/>
      <c r="F236" s="169"/>
      <c r="M236" s="169"/>
    </row>
    <row r="237">
      <c r="E237" s="169"/>
      <c r="F237" s="169"/>
      <c r="M237" s="169"/>
    </row>
    <row r="238">
      <c r="E238" s="169"/>
      <c r="F238" s="169"/>
      <c r="M238" s="169"/>
    </row>
    <row r="239">
      <c r="E239" s="169"/>
      <c r="F239" s="169"/>
      <c r="H239" s="169"/>
      <c r="I239" s="169"/>
      <c r="J239" s="171"/>
      <c r="K239" s="169"/>
      <c r="L239" s="171"/>
      <c r="M239" s="169"/>
    </row>
    <row r="240">
      <c r="E240" s="169"/>
      <c r="F240" s="169"/>
      <c r="H240" s="169"/>
      <c r="I240" s="169"/>
      <c r="J240" s="171"/>
      <c r="K240" s="169"/>
      <c r="L240" s="171"/>
      <c r="M240" s="169"/>
    </row>
    <row r="241">
      <c r="E241" s="169"/>
      <c r="F241" s="169"/>
      <c r="H241" s="169"/>
      <c r="I241" s="169"/>
      <c r="J241" s="171"/>
      <c r="K241" s="169"/>
      <c r="L241" s="171"/>
      <c r="M241" s="169"/>
    </row>
    <row r="242">
      <c r="E242" s="169"/>
      <c r="F242" s="169"/>
      <c r="H242" s="169"/>
      <c r="I242" s="169"/>
      <c r="J242" s="171"/>
      <c r="K242" s="169"/>
      <c r="L242" s="171"/>
      <c r="M242" s="169"/>
    </row>
    <row r="243">
      <c r="E243" s="169"/>
      <c r="F243" s="169"/>
      <c r="M243" s="169"/>
    </row>
    <row r="244">
      <c r="E244" s="169"/>
      <c r="F244" s="169"/>
      <c r="M244" s="169"/>
    </row>
    <row r="245">
      <c r="E245" s="169"/>
      <c r="F245" s="169"/>
      <c r="I245" s="169"/>
      <c r="J245" s="171"/>
      <c r="K245" s="169"/>
      <c r="L245" s="171"/>
      <c r="M245" s="169"/>
    </row>
    <row r="246">
      <c r="E246" s="169"/>
      <c r="F246" s="169"/>
      <c r="I246" s="169"/>
      <c r="J246" s="171"/>
      <c r="K246" s="169"/>
      <c r="L246" s="171"/>
      <c r="M246" s="169"/>
    </row>
    <row r="247">
      <c r="E247" s="169"/>
      <c r="F247" s="169"/>
      <c r="H247" s="169"/>
      <c r="I247" s="169"/>
      <c r="J247" s="171"/>
      <c r="K247" s="169"/>
      <c r="L247" s="171"/>
      <c r="M247" s="169"/>
    </row>
    <row r="248">
      <c r="E248" s="169"/>
      <c r="F248" s="169"/>
      <c r="H248" s="169"/>
      <c r="I248" s="169"/>
      <c r="J248" s="171"/>
      <c r="K248" s="169"/>
      <c r="L248" s="171"/>
      <c r="M248" s="169"/>
    </row>
    <row r="249">
      <c r="E249" s="169"/>
      <c r="F249" s="169"/>
      <c r="H249" s="169"/>
      <c r="I249" s="169"/>
      <c r="J249" s="171"/>
      <c r="K249" s="169"/>
      <c r="L249" s="171"/>
      <c r="M249" s="169"/>
    </row>
    <row r="250">
      <c r="E250" s="169"/>
      <c r="F250" s="169"/>
      <c r="H250" s="169"/>
      <c r="I250" s="169"/>
      <c r="J250" s="171"/>
      <c r="K250" s="169"/>
      <c r="L250" s="171"/>
      <c r="M250" s="169"/>
    </row>
    <row r="251">
      <c r="E251" s="169"/>
      <c r="F251" s="169"/>
      <c r="H251" s="169"/>
      <c r="I251" s="169"/>
      <c r="J251" s="171"/>
      <c r="K251" s="169"/>
      <c r="L251" s="171"/>
      <c r="M251" s="169"/>
    </row>
    <row r="252">
      <c r="E252" s="169"/>
      <c r="F252" s="169"/>
      <c r="H252" s="169"/>
      <c r="I252" s="169"/>
      <c r="J252" s="171"/>
      <c r="K252" s="169"/>
      <c r="L252" s="171"/>
      <c r="M252" s="169"/>
    </row>
    <row r="253">
      <c r="E253" s="169"/>
      <c r="F253" s="169"/>
      <c r="H253" s="169"/>
      <c r="I253" s="169"/>
      <c r="J253" s="171"/>
      <c r="K253" s="169"/>
      <c r="L253" s="171"/>
      <c r="M253" s="169"/>
    </row>
    <row r="254">
      <c r="E254" s="169"/>
      <c r="F254" s="169"/>
      <c r="H254" s="169"/>
      <c r="I254" s="169"/>
      <c r="J254" s="171"/>
      <c r="K254" s="169"/>
      <c r="L254" s="171"/>
      <c r="M254" s="169"/>
    </row>
    <row r="255">
      <c r="E255" s="169"/>
      <c r="F255" s="169"/>
      <c r="H255" s="169"/>
      <c r="I255" s="169"/>
      <c r="J255" s="171"/>
      <c r="K255" s="169"/>
      <c r="L255" s="171"/>
      <c r="M255" s="169"/>
    </row>
    <row r="256">
      <c r="E256" s="169"/>
      <c r="F256" s="169"/>
      <c r="H256" s="169"/>
      <c r="I256" s="169"/>
      <c r="J256" s="171"/>
      <c r="K256" s="169"/>
      <c r="L256" s="171"/>
      <c r="M256" s="169"/>
    </row>
    <row r="257">
      <c r="E257" s="169"/>
      <c r="F257" s="169"/>
      <c r="H257" s="169"/>
      <c r="I257" s="169"/>
      <c r="J257" s="171"/>
      <c r="K257" s="169"/>
      <c r="L257" s="171"/>
      <c r="M257" s="169"/>
    </row>
    <row r="258">
      <c r="E258" s="169"/>
      <c r="F258" s="169"/>
      <c r="H258" s="169"/>
      <c r="I258" s="169"/>
      <c r="J258" s="171"/>
      <c r="K258" s="169"/>
      <c r="L258" s="171"/>
      <c r="M258" s="169"/>
    </row>
    <row r="259">
      <c r="E259" s="169"/>
      <c r="F259" s="169"/>
      <c r="H259" s="169"/>
      <c r="I259" s="169"/>
      <c r="J259" s="171"/>
      <c r="K259" s="169"/>
      <c r="L259" s="171"/>
      <c r="M259" s="169"/>
    </row>
    <row r="260">
      <c r="E260" s="169"/>
      <c r="F260" s="169"/>
      <c r="H260" s="169"/>
      <c r="I260" s="169"/>
      <c r="J260" s="171"/>
      <c r="K260" s="169"/>
      <c r="L260" s="171"/>
      <c r="M260" s="169"/>
    </row>
    <row r="261">
      <c r="E261" s="169"/>
      <c r="F261" s="169"/>
      <c r="H261" s="169"/>
      <c r="I261" s="169"/>
      <c r="J261" s="171"/>
      <c r="K261" s="169"/>
      <c r="L261" s="171"/>
      <c r="M261" s="169"/>
    </row>
    <row r="262">
      <c r="E262" s="169"/>
      <c r="F262" s="169"/>
      <c r="H262" s="169"/>
      <c r="I262" s="169"/>
      <c r="J262" s="171"/>
      <c r="K262" s="169"/>
      <c r="L262" s="171"/>
      <c r="M262" s="169"/>
    </row>
    <row r="263">
      <c r="E263" s="169"/>
      <c r="F263" s="169"/>
      <c r="H263" s="169"/>
      <c r="I263" s="169"/>
      <c r="J263" s="171"/>
      <c r="K263" s="169"/>
      <c r="L263" s="171"/>
      <c r="M263" s="169"/>
    </row>
    <row r="264">
      <c r="E264" s="169"/>
      <c r="F264" s="169"/>
      <c r="H264" s="169"/>
      <c r="I264" s="169"/>
      <c r="J264" s="171"/>
      <c r="K264" s="169"/>
      <c r="L264" s="171"/>
      <c r="M264" s="169"/>
    </row>
    <row r="265">
      <c r="E265" s="169"/>
      <c r="F265" s="169"/>
      <c r="H265" s="169"/>
      <c r="I265" s="169"/>
      <c r="J265" s="171"/>
      <c r="K265" s="169"/>
      <c r="L265" s="171"/>
      <c r="M265" s="169"/>
    </row>
    <row r="266">
      <c r="E266" s="169"/>
      <c r="F266" s="169"/>
      <c r="H266" s="169"/>
      <c r="I266" s="169"/>
      <c r="J266" s="171"/>
      <c r="K266" s="169"/>
      <c r="L266" s="171"/>
      <c r="M266" s="169"/>
    </row>
    <row r="267">
      <c r="E267" s="169"/>
      <c r="F267" s="169"/>
      <c r="H267" s="169"/>
      <c r="I267" s="169"/>
      <c r="J267" s="171"/>
      <c r="K267" s="169"/>
      <c r="L267" s="171"/>
      <c r="M267" s="169"/>
    </row>
    <row r="268">
      <c r="E268" s="169"/>
      <c r="F268" s="169"/>
      <c r="H268" s="169"/>
      <c r="I268" s="169"/>
      <c r="J268" s="171"/>
      <c r="K268" s="169"/>
      <c r="L268" s="171"/>
      <c r="M268" s="169"/>
    </row>
    <row r="269">
      <c r="E269" s="169"/>
      <c r="F269" s="169"/>
      <c r="H269" s="169"/>
      <c r="I269" s="169"/>
      <c r="J269" s="171"/>
      <c r="K269" s="169"/>
      <c r="L269" s="171"/>
      <c r="M269" s="169"/>
    </row>
    <row r="270">
      <c r="E270" s="169"/>
      <c r="F270" s="169"/>
      <c r="H270" s="169"/>
      <c r="I270" s="169"/>
      <c r="J270" s="171"/>
      <c r="K270" s="169"/>
      <c r="L270" s="171"/>
      <c r="M270" s="169"/>
    </row>
    <row r="271">
      <c r="E271" s="169"/>
      <c r="F271" s="169"/>
      <c r="H271" s="169"/>
      <c r="I271" s="169"/>
      <c r="J271" s="171"/>
      <c r="K271" s="169"/>
      <c r="L271" s="171"/>
      <c r="M271" s="169"/>
    </row>
    <row r="272">
      <c r="E272" s="169"/>
      <c r="F272" s="169"/>
      <c r="H272" s="169"/>
      <c r="I272" s="169"/>
      <c r="J272" s="171"/>
      <c r="K272" s="169"/>
      <c r="L272" s="171"/>
      <c r="M272" s="169"/>
    </row>
    <row r="273">
      <c r="E273" s="169"/>
      <c r="F273" s="169"/>
      <c r="H273" s="169"/>
      <c r="I273" s="169"/>
      <c r="J273" s="171"/>
      <c r="K273" s="169"/>
      <c r="L273" s="171"/>
      <c r="M273" s="169"/>
    </row>
    <row r="274">
      <c r="E274" s="169"/>
      <c r="F274" s="169"/>
      <c r="H274" s="169"/>
      <c r="I274" s="169"/>
      <c r="J274" s="171"/>
      <c r="K274" s="169"/>
      <c r="L274" s="171"/>
      <c r="M274" s="169"/>
    </row>
    <row r="275">
      <c r="E275" s="169"/>
      <c r="F275" s="169"/>
      <c r="H275" s="169"/>
      <c r="I275" s="169"/>
      <c r="J275" s="171"/>
      <c r="K275" s="169"/>
      <c r="L275" s="171"/>
      <c r="M275" s="169"/>
    </row>
    <row r="276">
      <c r="E276" s="169"/>
      <c r="F276" s="169"/>
      <c r="H276" s="169"/>
      <c r="I276" s="169"/>
      <c r="J276" s="171"/>
      <c r="K276" s="169"/>
      <c r="L276" s="171"/>
      <c r="M276" s="169"/>
    </row>
    <row r="277">
      <c r="E277" s="169"/>
      <c r="F277" s="169"/>
      <c r="H277" s="169"/>
      <c r="I277" s="169"/>
      <c r="J277" s="171"/>
      <c r="K277" s="169"/>
      <c r="L277" s="171"/>
      <c r="M277" s="169"/>
    </row>
    <row r="278">
      <c r="E278" s="169"/>
      <c r="F278" s="169"/>
      <c r="H278" s="169"/>
      <c r="I278" s="169"/>
      <c r="J278" s="171"/>
      <c r="K278" s="169"/>
      <c r="L278" s="171"/>
      <c r="M278" s="169"/>
    </row>
    <row r="279">
      <c r="E279" s="169"/>
      <c r="F279" s="169"/>
      <c r="H279" s="169"/>
      <c r="I279" s="169"/>
      <c r="J279" s="171"/>
      <c r="K279" s="169"/>
      <c r="L279" s="171"/>
      <c r="M279" s="169"/>
    </row>
    <row r="280">
      <c r="E280" s="169"/>
      <c r="F280" s="169"/>
      <c r="H280" s="169"/>
      <c r="I280" s="169"/>
      <c r="J280" s="171"/>
      <c r="K280" s="169"/>
      <c r="L280" s="171"/>
      <c r="M280" s="169"/>
    </row>
    <row r="281">
      <c r="E281" s="169"/>
      <c r="F281" s="169"/>
      <c r="H281" s="169"/>
      <c r="I281" s="169"/>
      <c r="J281" s="171"/>
      <c r="K281" s="169"/>
      <c r="L281" s="171"/>
      <c r="M281" s="169"/>
    </row>
    <row r="282">
      <c r="E282" s="169"/>
      <c r="F282" s="169"/>
      <c r="H282" s="169"/>
      <c r="I282" s="169"/>
      <c r="J282" s="171"/>
      <c r="K282" s="169"/>
      <c r="L282" s="171"/>
      <c r="M282" s="169"/>
    </row>
    <row r="283">
      <c r="E283" s="169"/>
      <c r="F283" s="169"/>
      <c r="H283" s="169"/>
      <c r="I283" s="169"/>
      <c r="J283" s="171"/>
      <c r="K283" s="169"/>
      <c r="L283" s="171"/>
      <c r="M283" s="169"/>
    </row>
    <row r="284">
      <c r="E284" s="169"/>
      <c r="F284" s="169"/>
      <c r="H284" s="169"/>
      <c r="I284" s="169"/>
      <c r="J284" s="171"/>
      <c r="K284" s="169"/>
      <c r="L284" s="171"/>
      <c r="M284" s="169"/>
    </row>
    <row r="285">
      <c r="E285" s="169"/>
      <c r="F285" s="169"/>
      <c r="H285" s="169"/>
      <c r="I285" s="169"/>
      <c r="J285" s="171"/>
      <c r="K285" s="169"/>
      <c r="L285" s="171"/>
      <c r="M285" s="169"/>
    </row>
    <row r="286">
      <c r="E286" s="169"/>
      <c r="F286" s="169"/>
      <c r="H286" s="169"/>
      <c r="I286" s="169"/>
      <c r="J286" s="171"/>
      <c r="K286" s="169"/>
      <c r="L286" s="171"/>
      <c r="M286" s="169"/>
    </row>
    <row r="287">
      <c r="E287" s="169"/>
      <c r="F287" s="169"/>
      <c r="H287" s="169"/>
      <c r="I287" s="169"/>
      <c r="J287" s="171"/>
      <c r="K287" s="169"/>
      <c r="L287" s="171"/>
      <c r="M287" s="169"/>
    </row>
    <row r="288">
      <c r="E288" s="169"/>
      <c r="F288" s="169"/>
      <c r="H288" s="169"/>
      <c r="I288" s="169"/>
      <c r="J288" s="171"/>
      <c r="K288" s="169"/>
      <c r="L288" s="171"/>
      <c r="M288" s="169"/>
    </row>
    <row r="289">
      <c r="E289" s="169"/>
      <c r="F289" s="169"/>
      <c r="H289" s="169"/>
      <c r="I289" s="169"/>
      <c r="J289" s="171"/>
      <c r="K289" s="169"/>
      <c r="L289" s="171"/>
      <c r="M289" s="169"/>
    </row>
    <row r="290">
      <c r="E290" s="169"/>
      <c r="F290" s="169"/>
      <c r="H290" s="169"/>
      <c r="I290" s="169"/>
      <c r="J290" s="171"/>
      <c r="K290" s="169"/>
      <c r="L290" s="171"/>
      <c r="M290" s="169"/>
    </row>
    <row r="291">
      <c r="E291" s="169"/>
      <c r="F291" s="169"/>
      <c r="H291" s="169"/>
      <c r="I291" s="169"/>
      <c r="J291" s="171"/>
      <c r="K291" s="169"/>
      <c r="L291" s="171"/>
      <c r="M291" s="169"/>
    </row>
    <row r="292">
      <c r="E292" s="169"/>
      <c r="F292" s="169"/>
      <c r="H292" s="169"/>
      <c r="I292" s="169"/>
      <c r="J292" s="171"/>
      <c r="K292" s="169"/>
      <c r="L292" s="171"/>
      <c r="M292" s="169"/>
    </row>
    <row r="293">
      <c r="E293" s="169"/>
      <c r="F293" s="169"/>
      <c r="H293" s="169"/>
      <c r="I293" s="169"/>
      <c r="J293" s="171"/>
      <c r="K293" s="169"/>
      <c r="L293" s="171"/>
      <c r="M293" s="169"/>
    </row>
    <row r="294">
      <c r="E294" s="169"/>
      <c r="F294" s="169"/>
      <c r="H294" s="169"/>
      <c r="I294" s="169"/>
      <c r="J294" s="171"/>
      <c r="K294" s="169"/>
      <c r="L294" s="171"/>
      <c r="M294" s="169"/>
    </row>
    <row r="295">
      <c r="E295" s="169"/>
      <c r="F295" s="169"/>
      <c r="H295" s="169"/>
      <c r="I295" s="169"/>
      <c r="J295" s="171"/>
      <c r="K295" s="169"/>
      <c r="L295" s="171"/>
      <c r="M295" s="169"/>
    </row>
    <row r="296">
      <c r="E296" s="169"/>
      <c r="F296" s="169"/>
      <c r="H296" s="169"/>
      <c r="I296" s="169"/>
      <c r="J296" s="171"/>
      <c r="K296" s="169"/>
      <c r="L296" s="171"/>
      <c r="M296" s="169"/>
    </row>
    <row r="297">
      <c r="E297" s="169"/>
      <c r="F297" s="169"/>
      <c r="H297" s="169"/>
      <c r="I297" s="169"/>
      <c r="J297" s="171"/>
      <c r="K297" s="169"/>
      <c r="L297" s="171"/>
      <c r="M297" s="169"/>
    </row>
    <row r="298">
      <c r="E298" s="169"/>
      <c r="F298" s="169"/>
      <c r="H298" s="169"/>
      <c r="I298" s="169"/>
      <c r="J298" s="171"/>
      <c r="K298" s="169"/>
      <c r="L298" s="171"/>
      <c r="M298" s="169"/>
    </row>
    <row r="299">
      <c r="E299" s="169"/>
      <c r="F299" s="169"/>
      <c r="H299" s="169"/>
      <c r="I299" s="169"/>
      <c r="J299" s="171"/>
      <c r="K299" s="169"/>
      <c r="L299" s="171"/>
      <c r="M299" s="169"/>
    </row>
    <row r="300">
      <c r="E300" s="169"/>
      <c r="F300" s="169"/>
      <c r="H300" s="169"/>
      <c r="I300" s="169"/>
      <c r="J300" s="171"/>
      <c r="K300" s="169"/>
      <c r="L300" s="171"/>
      <c r="M300" s="169"/>
    </row>
    <row r="301">
      <c r="E301" s="169"/>
      <c r="F301" s="169"/>
      <c r="H301" s="169"/>
      <c r="I301" s="169"/>
      <c r="J301" s="171"/>
      <c r="K301" s="169"/>
      <c r="L301" s="171"/>
      <c r="M301" s="169"/>
    </row>
    <row r="302">
      <c r="E302" s="169"/>
      <c r="F302" s="169"/>
      <c r="H302" s="169"/>
      <c r="I302" s="169"/>
      <c r="J302" s="171"/>
      <c r="K302" s="169"/>
      <c r="L302" s="171"/>
      <c r="M302" s="169"/>
    </row>
    <row r="303">
      <c r="E303" s="169"/>
      <c r="F303" s="169"/>
      <c r="H303" s="169"/>
      <c r="I303" s="169"/>
      <c r="J303" s="171"/>
      <c r="K303" s="169"/>
      <c r="L303" s="171"/>
      <c r="M303" s="169"/>
    </row>
    <row r="304">
      <c r="E304" s="169"/>
      <c r="F304" s="169"/>
      <c r="H304" s="169"/>
      <c r="I304" s="169"/>
      <c r="J304" s="171"/>
      <c r="K304" s="169"/>
      <c r="L304" s="171"/>
      <c r="M304" s="169"/>
    </row>
    <row r="305">
      <c r="E305" s="169"/>
      <c r="F305" s="169"/>
      <c r="H305" s="169"/>
      <c r="I305" s="169"/>
      <c r="J305" s="171"/>
      <c r="K305" s="169"/>
      <c r="L305" s="171"/>
      <c r="M305" s="169"/>
    </row>
    <row r="306">
      <c r="E306" s="169"/>
      <c r="F306" s="169"/>
      <c r="H306" s="169"/>
      <c r="I306" s="169"/>
      <c r="J306" s="171"/>
      <c r="K306" s="169"/>
      <c r="L306" s="171"/>
      <c r="M306" s="169"/>
    </row>
    <row r="307">
      <c r="E307" s="169"/>
      <c r="F307" s="169"/>
      <c r="H307" s="169"/>
      <c r="I307" s="169"/>
      <c r="J307" s="171"/>
      <c r="K307" s="169"/>
      <c r="L307" s="171"/>
      <c r="M307" s="169"/>
    </row>
    <row r="308">
      <c r="E308" s="169"/>
      <c r="F308" s="169"/>
      <c r="H308" s="169"/>
      <c r="I308" s="169"/>
      <c r="J308" s="171"/>
      <c r="K308" s="169"/>
      <c r="L308" s="171"/>
      <c r="M308" s="169"/>
    </row>
    <row r="309">
      <c r="E309" s="169"/>
      <c r="F309" s="169"/>
      <c r="H309" s="169"/>
      <c r="I309" s="169"/>
      <c r="J309" s="171"/>
      <c r="K309" s="169"/>
      <c r="L309" s="171"/>
      <c r="M309" s="169"/>
    </row>
    <row r="310">
      <c r="E310" s="169"/>
      <c r="F310" s="169"/>
      <c r="H310" s="169"/>
      <c r="I310" s="169"/>
      <c r="J310" s="171"/>
      <c r="K310" s="169"/>
      <c r="L310" s="171"/>
      <c r="M310" s="169"/>
    </row>
    <row r="311">
      <c r="E311" s="169"/>
      <c r="F311" s="169"/>
      <c r="H311" s="169"/>
      <c r="I311" s="169"/>
      <c r="J311" s="171"/>
      <c r="K311" s="169"/>
      <c r="L311" s="171"/>
      <c r="M311" s="169"/>
    </row>
    <row r="312">
      <c r="E312" s="169"/>
      <c r="F312" s="169"/>
      <c r="H312" s="169"/>
      <c r="I312" s="169"/>
      <c r="J312" s="171"/>
      <c r="K312" s="169"/>
      <c r="L312" s="171"/>
      <c r="M312" s="169"/>
    </row>
    <row r="313">
      <c r="E313" s="169"/>
      <c r="F313" s="169"/>
      <c r="H313" s="169"/>
      <c r="I313" s="169"/>
      <c r="J313" s="171"/>
      <c r="K313" s="169"/>
      <c r="L313" s="171"/>
      <c r="M313" s="169"/>
    </row>
    <row r="314">
      <c r="E314" s="169"/>
      <c r="F314" s="169"/>
      <c r="H314" s="169"/>
      <c r="I314" s="169"/>
      <c r="J314" s="171"/>
      <c r="K314" s="169"/>
      <c r="L314" s="171"/>
      <c r="M314" s="169"/>
    </row>
    <row r="315">
      <c r="E315" s="169"/>
      <c r="F315" s="169"/>
      <c r="H315" s="169"/>
      <c r="I315" s="169"/>
      <c r="J315" s="171"/>
      <c r="K315" s="169"/>
      <c r="L315" s="171"/>
      <c r="M315" s="169"/>
    </row>
    <row r="316">
      <c r="E316" s="169"/>
      <c r="F316" s="169"/>
      <c r="H316" s="169"/>
      <c r="I316" s="169"/>
      <c r="J316" s="171"/>
      <c r="K316" s="169"/>
      <c r="L316" s="171"/>
      <c r="M316" s="169"/>
    </row>
    <row r="317">
      <c r="E317" s="169"/>
      <c r="F317" s="169"/>
      <c r="H317" s="169"/>
      <c r="I317" s="169"/>
      <c r="J317" s="171"/>
      <c r="K317" s="169"/>
      <c r="L317" s="171"/>
      <c r="M317" s="169"/>
    </row>
    <row r="318">
      <c r="E318" s="169"/>
      <c r="F318" s="169"/>
      <c r="H318" s="169"/>
      <c r="I318" s="169"/>
      <c r="J318" s="171"/>
      <c r="K318" s="169"/>
      <c r="L318" s="171"/>
      <c r="M318" s="169"/>
    </row>
    <row r="319">
      <c r="E319" s="169"/>
      <c r="F319" s="169"/>
      <c r="H319" s="169"/>
      <c r="I319" s="169"/>
      <c r="J319" s="171"/>
      <c r="K319" s="169"/>
      <c r="L319" s="171"/>
      <c r="M319" s="169"/>
    </row>
    <row r="320">
      <c r="E320" s="169"/>
      <c r="F320" s="169"/>
      <c r="H320" s="169"/>
      <c r="I320" s="169"/>
      <c r="J320" s="171"/>
      <c r="K320" s="169"/>
      <c r="L320" s="171"/>
      <c r="M320" s="169"/>
    </row>
    <row r="321">
      <c r="E321" s="169"/>
      <c r="F321" s="169"/>
      <c r="H321" s="169"/>
      <c r="I321" s="169"/>
      <c r="J321" s="171"/>
      <c r="K321" s="169"/>
      <c r="L321" s="171"/>
      <c r="M321" s="169"/>
    </row>
    <row r="322">
      <c r="E322" s="169"/>
      <c r="F322" s="169"/>
      <c r="H322" s="169"/>
      <c r="I322" s="169"/>
      <c r="J322" s="171"/>
      <c r="K322" s="169"/>
      <c r="L322" s="171"/>
      <c r="M322" s="169"/>
    </row>
    <row r="323">
      <c r="E323" s="169"/>
      <c r="F323" s="169"/>
      <c r="H323" s="169"/>
      <c r="I323" s="169"/>
      <c r="J323" s="171"/>
      <c r="K323" s="169"/>
      <c r="L323" s="171"/>
      <c r="M323" s="169"/>
    </row>
    <row r="324">
      <c r="E324" s="169"/>
      <c r="F324" s="169"/>
      <c r="H324" s="169"/>
      <c r="I324" s="169"/>
      <c r="J324" s="171"/>
      <c r="K324" s="169"/>
      <c r="L324" s="171"/>
      <c r="M324" s="169"/>
    </row>
    <row r="325">
      <c r="E325" s="169"/>
      <c r="F325" s="169"/>
      <c r="H325" s="169"/>
      <c r="I325" s="169"/>
      <c r="J325" s="171"/>
      <c r="K325" s="169"/>
      <c r="L325" s="171"/>
      <c r="M325" s="169"/>
    </row>
    <row r="326">
      <c r="E326" s="169"/>
      <c r="F326" s="169"/>
      <c r="H326" s="169"/>
      <c r="I326" s="169"/>
      <c r="J326" s="171"/>
      <c r="K326" s="169"/>
      <c r="L326" s="171"/>
      <c r="M326" s="169"/>
    </row>
    <row r="327">
      <c r="E327" s="169"/>
      <c r="F327" s="169"/>
      <c r="H327" s="169"/>
      <c r="I327" s="169"/>
      <c r="J327" s="171"/>
      <c r="K327" s="169"/>
      <c r="L327" s="171"/>
      <c r="M327" s="169"/>
    </row>
    <row r="328">
      <c r="E328" s="169"/>
      <c r="F328" s="169"/>
      <c r="H328" s="169"/>
      <c r="I328" s="169"/>
      <c r="J328" s="171"/>
      <c r="K328" s="169"/>
      <c r="L328" s="171"/>
      <c r="M328" s="169"/>
    </row>
    <row r="329">
      <c r="E329" s="169"/>
      <c r="F329" s="169"/>
      <c r="H329" s="169"/>
      <c r="I329" s="169"/>
      <c r="J329" s="171"/>
      <c r="K329" s="169"/>
      <c r="L329" s="171"/>
      <c r="M329" s="169"/>
    </row>
    <row r="330">
      <c r="E330" s="169"/>
      <c r="F330" s="169"/>
      <c r="H330" s="169"/>
      <c r="I330" s="169"/>
      <c r="J330" s="171"/>
      <c r="K330" s="169"/>
      <c r="L330" s="171"/>
      <c r="M330" s="169"/>
    </row>
    <row r="331">
      <c r="E331" s="169"/>
      <c r="F331" s="169"/>
      <c r="H331" s="169"/>
      <c r="I331" s="169"/>
      <c r="J331" s="171"/>
      <c r="K331" s="169"/>
      <c r="L331" s="171"/>
      <c r="M331" s="169"/>
    </row>
  </sheetData>
  <autoFilter ref="A1:AE228">
    <filterColumn colId="0">
      <filters>
        <filter val="2026-08-27"/>
        <filter val="2026-08-28"/>
        <filter val="2026-08-29"/>
        <filter val="2026-08-30"/>
        <filter val="2026-08-31"/>
      </filters>
    </filterColumn>
  </autoFilter>
  <mergeCells>
    <mergeCell ref="B221:C221"/>
    <mergeCell ref="B220:C220"/>
    <mergeCell ref="B216:C216"/>
    <mergeCell ref="A212:A221"/>
    <mergeCell ref="B211:C211"/>
    <mergeCell ref="B210:C210"/>
    <mergeCell ref="A206:A211"/>
    <mergeCell ref="B205:C205"/>
    <mergeCell ref="B204:C204"/>
    <mergeCell ref="A200:A205"/>
    <mergeCell ref="B199:C199"/>
    <mergeCell ref="B198:C198"/>
    <mergeCell ref="A194:A199"/>
    <mergeCell ref="B193:C193"/>
    <mergeCell ref="B192:C192"/>
    <mergeCell ref="A188:A193"/>
    <mergeCell ref="B187:C187"/>
    <mergeCell ref="B186:C186"/>
    <mergeCell ref="A182:A187"/>
    <mergeCell ref="B181:C181"/>
    <mergeCell ref="B180:C180"/>
    <mergeCell ref="A176:A181"/>
    <mergeCell ref="B175:C175"/>
    <mergeCell ref="B174:C174"/>
    <mergeCell ref="A170:A175"/>
    <mergeCell ref="B169:C169"/>
    <mergeCell ref="B168:C168"/>
    <mergeCell ref="A164:A169"/>
    <mergeCell ref="B163:C163"/>
    <mergeCell ref="B162:C162"/>
    <mergeCell ref="A158:A163"/>
    <mergeCell ref="B152:C152"/>
    <mergeCell ref="B151:C151"/>
    <mergeCell ref="A147:A152"/>
    <mergeCell ref="B146:C146"/>
    <mergeCell ref="B145:C145"/>
    <mergeCell ref="A141:A146"/>
    <mergeCell ref="B120:C120"/>
    <mergeCell ref="B119:C119"/>
    <mergeCell ref="A114:A120"/>
    <mergeCell ref="B113:C113"/>
    <mergeCell ref="B112:C112"/>
    <mergeCell ref="A107:A113"/>
    <mergeCell ref="A87:A93"/>
    <mergeCell ref="B92:C92"/>
    <mergeCell ref="B93:C93"/>
    <mergeCell ref="B80:C80"/>
    <mergeCell ref="B79:C79"/>
    <mergeCell ref="A75:A80"/>
    <mergeCell ref="B74:C74"/>
    <mergeCell ref="B73:C73"/>
    <mergeCell ref="A69:A74"/>
    <mergeCell ref="B62:C62"/>
    <mergeCell ref="B61:C61"/>
    <mergeCell ref="B56:C56"/>
    <mergeCell ref="A52:A62"/>
    <mergeCell ref="A2:A12"/>
    <mergeCell ref="B45:C45"/>
    <mergeCell ref="B28:C28"/>
    <mergeCell ref="A24:A29"/>
    <mergeCell ref="B29:C29"/>
    <mergeCell ref="B17:C17"/>
    <mergeCell ref="A13:A23"/>
    <mergeCell ref="B23:C23"/>
    <mergeCell ref="B22:C22"/>
    <mergeCell ref="B6:C6"/>
    <mergeCell ref="B11:C11"/>
    <mergeCell ref="B12:C12"/>
    <mergeCell ref="A30:A40"/>
    <mergeCell ref="B34:C34"/>
    <mergeCell ref="B39:C39"/>
    <mergeCell ref="B40:C40"/>
    <mergeCell ref="A41:A51"/>
    <mergeCell ref="B50:C50"/>
    <mergeCell ref="B51:C51"/>
    <mergeCell ref="A63:A68"/>
    <mergeCell ref="B67:C67"/>
    <mergeCell ref="B68:C68"/>
    <mergeCell ref="A81:A86"/>
    <mergeCell ref="B85:C85"/>
    <mergeCell ref="B86:C86"/>
    <mergeCell ref="A94:A100"/>
    <mergeCell ref="B99:C99"/>
    <mergeCell ref="B100:C100"/>
    <mergeCell ref="A101:A106"/>
    <mergeCell ref="B105:C105"/>
    <mergeCell ref="B106:C106"/>
    <mergeCell ref="A121:A127"/>
    <mergeCell ref="B126:C126"/>
    <mergeCell ref="B127:C127"/>
    <mergeCell ref="A128:A134"/>
    <mergeCell ref="B133:C133"/>
    <mergeCell ref="B134:C134"/>
    <mergeCell ref="A135:A140"/>
    <mergeCell ref="B139:C139"/>
    <mergeCell ref="B140:C140"/>
    <mergeCell ref="A153:A157"/>
    <mergeCell ref="B156:C156"/>
    <mergeCell ref="B157:C157"/>
  </mergeCells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16" min="16" style="0" width="11.211267605633802"/>
    <col collapsed="false" customWidth="true" hidden="false" max="26" min="26" style="0" width="11.211267605633802"/>
    <col collapsed="false" customWidth="true" hidden="false" max="28" min="28" style="0" width="11.211267605633802"/>
    <col collapsed="false" customWidth="true" hidden="false" max="30" min="30" style="0" width="17.971830985915492"/>
    <col collapsed="false" customWidth="true" hidden="false" max="10" min="10" style="0" width="15.943661971830986"/>
    <col collapsed="false" customWidth="true" hidden="false" max="12" min="12" style="0" width="18.64788732394366"/>
    <col collapsed="false" customWidth="true" hidden="false" max="11" min="11" style="0" width="17.295774647887324"/>
    <col collapsed="false" customWidth="true" hidden="false" max="19" min="19" style="0" width="11.211267605633802"/>
    <col collapsed="false" customWidth="true" hidden="false" max="27" min="27" style="0" width="11.211267605633802"/>
    <col collapsed="false" customWidth="true" hidden="false" max="29" min="29" style="0" width="11.211267605633802"/>
    <col collapsed="false" customWidth="true" hidden="false" max="31" min="31" style="0" width="17.971830985915492"/>
    <col collapsed="false" customWidth="true" hidden="false" max="7" min="7" style="0" width="11.211267605633802"/>
    <col collapsed="false" customWidth="true" hidden="false" max="9" min="9" style="0" width="14.591549295774648"/>
  </cols>
  <sheetData>
    <row r="1">
      <c r="A1" s="175" t="s">
        <v>101</v>
      </c>
      <c r="B1" s="175" t="s">
        <v>102</v>
      </c>
      <c r="C1" s="175" t="s">
        <v>103</v>
      </c>
      <c r="D1" s="176" t="s">
        <v>104</v>
      </c>
      <c r="E1" s="177" t="s">
        <v>105</v>
      </c>
      <c r="F1" s="177" t="s">
        <v>106</v>
      </c>
      <c r="G1" s="175" t="s">
        <v>107</v>
      </c>
      <c r="H1" s="177" t="s">
        <v>108</v>
      </c>
      <c r="I1" s="178" t="s">
        <v>109</v>
      </c>
      <c r="J1" s="179" t="s">
        <v>110</v>
      </c>
      <c r="K1" s="178" t="s">
        <v>111</v>
      </c>
      <c r="L1" s="179" t="s">
        <v>112</v>
      </c>
      <c r="M1" s="177" t="s">
        <v>113</v>
      </c>
      <c r="N1" s="177" t="s">
        <v>114</v>
      </c>
      <c r="O1" s="177" t="s">
        <v>115</v>
      </c>
      <c r="P1" s="180" t="s">
        <v>116</v>
      </c>
      <c r="Q1" s="175" t="s">
        <v>117</v>
      </c>
      <c r="R1" s="181" t="s">
        <v>118</v>
      </c>
      <c r="S1" s="182" t="s">
        <v>119</v>
      </c>
      <c r="T1" s="183" t="s">
        <v>120</v>
      </c>
      <c r="U1" s="184" t="s">
        <v>121</v>
      </c>
      <c r="V1" s="184" t="s">
        <v>122</v>
      </c>
      <c r="W1" s="183" t="s">
        <v>123</v>
      </c>
      <c r="X1" s="184" t="s">
        <v>124</v>
      </c>
      <c r="Y1" s="184" t="s">
        <v>125</v>
      </c>
      <c r="Z1" s="185" t="s">
        <v>126</v>
      </c>
      <c r="AA1" s="185" t="s">
        <v>127</v>
      </c>
      <c r="AB1" s="185" t="s">
        <v>128</v>
      </c>
      <c r="AC1" s="185" t="s">
        <v>129</v>
      </c>
      <c r="AD1" s="185" t="s">
        <v>130</v>
      </c>
      <c r="AE1" s="186" t="s">
        <v>131</v>
      </c>
    </row>
    <row r="2">
      <c r="A2" s="187">
        <v>46223</v>
      </c>
      <c r="B2" s="188" t="s">
        <v>132</v>
      </c>
      <c r="C2" s="189" t="s">
        <v>133</v>
      </c>
      <c r="D2" s="190">
        <v>127.66</v>
      </c>
      <c r="E2" s="191">
        <v>0</v>
      </c>
      <c r="F2" s="191">
        <v>0</v>
      </c>
      <c r="G2" s="192">
        <f t="shared" ref="G2:G101" si="46">D2/F2</f>
      </c>
      <c r="H2" s="193">
        <v>1</v>
      </c>
      <c r="I2" s="193">
        <v>0</v>
      </c>
      <c r="J2" s="193">
        <v>0</v>
      </c>
      <c r="K2" s="193">
        <v>0</v>
      </c>
      <c r="L2" s="193">
        <v>0</v>
      </c>
      <c r="M2" s="194">
        <f t="shared" ref="M2:M5" si="78">K2+I2</f>
      </c>
      <c r="N2" s="195">
        <f t="shared" ref="N2:N135" si="136">D2/H2</f>
      </c>
      <c r="O2" s="195">
        <f t="shared" ref="O2:O135" si="137">D2/M2</f>
      </c>
      <c r="P2" s="196">
        <f t="shared" ref="P2:P5" si="0">L2+J2</f>
      </c>
      <c r="Q2" s="192">
        <f t="shared" ref="Q2:Q135" si="10">P2/M2</f>
      </c>
      <c r="R2" s="197">
        <f t="shared" ref="R2:R135" si="14">P2/D2</f>
      </c>
      <c r="S2" s="197">
        <f t="shared" ref="S2:S135" si="45">P2/(D2+AE2*300)</f>
      </c>
      <c r="T2" s="198">
        <f t="shared" ref="T2:T5" si="48">AA2/60</f>
      </c>
      <c r="U2" s="199">
        <f t="shared" ref="U2:U134" si="108">AA2/Z2</f>
      </c>
      <c r="V2" s="200">
        <f>AB4/AA4</f>
      </c>
      <c r="W2" s="199">
        <f t="shared" ref="W2:W134" si="138">AC2/AA2</f>
      </c>
      <c r="X2" s="199">
        <f t="shared" ref="X2:X134" si="111">AD2/AC2</f>
      </c>
      <c r="Y2" s="199">
        <f t="shared" ref="Y2:Y123" si="7">M2/AD2</f>
      </c>
      <c r="Z2" s="201">
        <v>946</v>
      </c>
      <c r="AA2" s="201">
        <v>78</v>
      </c>
      <c r="AB2" s="201">
        <v>0</v>
      </c>
      <c r="AC2" s="201">
        <v>7</v>
      </c>
      <c r="AD2" s="201">
        <f t="shared" ref="AD2:AD5" si="11">H2</f>
      </c>
      <c r="AE2" s="202">
        <f t="shared" ref="AE2:AE5" si="15">COUNT(AD2)</f>
      </c>
    </row>
    <row r="3">
      <c r="A3" s="187"/>
      <c r="B3" s="188" t="s">
        <v>134</v>
      </c>
      <c r="C3" s="188" t="s">
        <v>133</v>
      </c>
      <c r="D3" s="203">
        <v>181</v>
      </c>
      <c r="E3" s="191">
        <v>0</v>
      </c>
      <c r="F3" s="191">
        <v>0</v>
      </c>
      <c r="G3" s="192">
        <f t="shared" si="46"/>
      </c>
      <c r="H3" s="193">
        <v>0</v>
      </c>
      <c r="I3" s="193">
        <v>0</v>
      </c>
      <c r="J3" s="193">
        <v>0</v>
      </c>
      <c r="K3" s="193">
        <v>0</v>
      </c>
      <c r="L3" s="193">
        <v>0</v>
      </c>
      <c r="M3" s="194">
        <f t="shared" si="78"/>
      </c>
      <c r="N3" s="195">
        <f t="shared" si="136"/>
      </c>
      <c r="O3" s="195">
        <f t="shared" si="137"/>
      </c>
      <c r="P3" s="196">
        <f t="shared" si="0"/>
      </c>
      <c r="Q3" s="192">
        <f t="shared" si="10"/>
      </c>
      <c r="R3" s="197">
        <f t="shared" si="14"/>
      </c>
      <c r="S3" s="197">
        <f t="shared" si="45"/>
      </c>
      <c r="T3" s="198">
        <f t="shared" si="48"/>
      </c>
      <c r="U3" s="199">
        <f t="shared" si="108"/>
      </c>
      <c r="V3" s="200">
        <f t="shared" ref="V3:V13" si="109">AB3/AA3</f>
      </c>
      <c r="W3" s="199">
        <f t="shared" si="138"/>
      </c>
      <c r="X3" s="199">
        <f t="shared" si="111"/>
      </c>
      <c r="Y3" s="199">
        <f t="shared" si="7"/>
      </c>
      <c r="Z3" s="201">
        <v>1251</v>
      </c>
      <c r="AA3" s="201">
        <v>118</v>
      </c>
      <c r="AB3" s="201">
        <v>9</v>
      </c>
      <c r="AC3" s="201">
        <v>7</v>
      </c>
      <c r="AD3" s="201">
        <f t="shared" si="11"/>
      </c>
      <c r="AE3" s="202">
        <f t="shared" si="15"/>
      </c>
    </row>
    <row r="4">
      <c r="A4" s="187"/>
      <c r="B4" s="188" t="s">
        <v>135</v>
      </c>
      <c r="C4" s="188" t="s">
        <v>133</v>
      </c>
      <c r="D4" s="190">
        <v>481.25</v>
      </c>
      <c r="E4" s="191">
        <v>0</v>
      </c>
      <c r="F4" s="191">
        <v>0</v>
      </c>
      <c r="G4" s="192">
        <f t="shared" si="46"/>
      </c>
      <c r="H4" s="193">
        <v>0</v>
      </c>
      <c r="I4" s="193">
        <v>0</v>
      </c>
      <c r="J4" s="193">
        <v>0</v>
      </c>
      <c r="K4" s="193">
        <v>0</v>
      </c>
      <c r="L4" s="193">
        <v>0</v>
      </c>
      <c r="M4" s="194">
        <f t="shared" si="78"/>
      </c>
      <c r="N4" s="195">
        <f t="shared" si="136"/>
      </c>
      <c r="O4" s="195">
        <f t="shared" si="137"/>
      </c>
      <c r="P4" s="196">
        <f t="shared" si="0"/>
      </c>
      <c r="Q4" s="192">
        <f t="shared" si="10"/>
      </c>
      <c r="R4" s="197">
        <f t="shared" si="14"/>
      </c>
      <c r="S4" s="197">
        <f t="shared" si="45"/>
      </c>
      <c r="T4" s="198">
        <f t="shared" si="48"/>
      </c>
      <c r="U4" s="199">
        <f t="shared" si="108"/>
      </c>
      <c r="V4" s="200">
        <f t="shared" si="109"/>
      </c>
      <c r="W4" s="199">
        <f t="shared" si="138"/>
      </c>
      <c r="X4" s="199">
        <f t="shared" si="111"/>
      </c>
      <c r="Y4" s="199">
        <f t="shared" si="7"/>
      </c>
      <c r="Z4" s="201">
        <v>2362</v>
      </c>
      <c r="AA4" s="201">
        <v>227</v>
      </c>
      <c r="AB4" s="201">
        <v>16</v>
      </c>
      <c r="AC4" s="204">
        <v>17</v>
      </c>
      <c r="AD4" s="201">
        <f t="shared" si="11"/>
      </c>
      <c r="AE4" s="202">
        <f t="shared" si="15"/>
      </c>
    </row>
    <row r="5">
      <c r="A5" s="187"/>
      <c r="B5" s="188" t="s">
        <v>136</v>
      </c>
      <c r="C5" s="188" t="s">
        <v>133</v>
      </c>
      <c r="D5" s="190">
        <v>579.9</v>
      </c>
      <c r="E5" s="191">
        <v>1</v>
      </c>
      <c r="F5" s="191">
        <v>0</v>
      </c>
      <c r="G5" s="192">
        <f t="shared" si="46"/>
      </c>
      <c r="H5" s="193">
        <v>1</v>
      </c>
      <c r="I5" s="193">
        <v>0</v>
      </c>
      <c r="J5" s="193">
        <v>0</v>
      </c>
      <c r="K5" s="193">
        <v>0</v>
      </c>
      <c r="L5" s="193">
        <v>0</v>
      </c>
      <c r="M5" s="194">
        <f t="shared" si="78"/>
      </c>
      <c r="N5" s="195">
        <f t="shared" si="136"/>
      </c>
      <c r="O5" s="195">
        <f t="shared" si="137"/>
      </c>
      <c r="P5" s="196">
        <f t="shared" si="0"/>
      </c>
      <c r="Q5" s="192">
        <f t="shared" si="10"/>
      </c>
      <c r="R5" s="197">
        <f t="shared" si="14"/>
      </c>
      <c r="S5" s="197">
        <f t="shared" si="45"/>
      </c>
      <c r="T5" s="198">
        <f t="shared" si="48"/>
      </c>
      <c r="U5" s="199">
        <f t="shared" si="108"/>
      </c>
      <c r="V5" s="200">
        <f t="shared" si="109"/>
      </c>
      <c r="W5" s="199">
        <f t="shared" si="138"/>
      </c>
      <c r="X5" s="199">
        <f t="shared" si="111"/>
      </c>
      <c r="Y5" s="199">
        <f t="shared" si="7"/>
      </c>
      <c r="Z5" s="201">
        <v>3056</v>
      </c>
      <c r="AA5" s="201">
        <v>288</v>
      </c>
      <c r="AB5" s="201">
        <v>37</v>
      </c>
      <c r="AC5" s="201">
        <v>15</v>
      </c>
      <c r="AD5" s="201">
        <f t="shared" si="11"/>
      </c>
      <c r="AE5" s="202">
        <f t="shared" si="15"/>
      </c>
    </row>
    <row r="6">
      <c r="A6" s="187"/>
      <c r="B6" s="205" t="s">
        <v>137</v>
      </c>
      <c r="C6" s="205"/>
      <c r="D6" s="206">
        <f>SUM(D2:D5)</f>
      </c>
      <c r="E6" s="207">
        <f>SUM(E2:E5)</f>
      </c>
      <c r="F6" s="207">
        <f>SUM(F2:F5)</f>
      </c>
      <c r="G6" s="208">
        <f t="shared" si="46"/>
      </c>
      <c r="H6" s="207">
        <f>SUM(H2:H5)</f>
      </c>
      <c r="I6" s="207">
        <f>SUM(I2:I5)</f>
      </c>
      <c r="J6" s="207">
        <f>SUM(J2:J5)</f>
      </c>
      <c r="K6" s="207">
        <f>SUM(K2:K5)</f>
      </c>
      <c r="L6" s="207">
        <f>SUM(L2:L5)</f>
      </c>
      <c r="M6" s="208">
        <f>SUM(M2:M5)</f>
      </c>
      <c r="N6" s="209">
        <f t="shared" si="136"/>
      </c>
      <c r="O6" s="209">
        <f t="shared" si="137"/>
      </c>
      <c r="P6" s="207">
        <f>SUM(P2:P5)</f>
      </c>
      <c r="Q6" s="208">
        <f t="shared" si="10"/>
      </c>
      <c r="R6" s="210">
        <f t="shared" si="14"/>
      </c>
      <c r="S6" s="210">
        <f t="shared" si="45"/>
      </c>
      <c r="T6" s="211">
        <f>(T5+T4+T3+T2)/4</f>
      </c>
      <c r="U6" s="212">
        <f t="shared" si="108"/>
      </c>
      <c r="V6" s="213">
        <f t="shared" si="109"/>
      </c>
      <c r="W6" s="212">
        <f t="shared" si="138"/>
      </c>
      <c r="X6" s="212">
        <f t="shared" si="111"/>
      </c>
      <c r="Y6" s="212">
        <f t="shared" si="7"/>
      </c>
      <c r="Z6" s="209">
        <f>SUM(Z2:Z5)</f>
      </c>
      <c r="AA6" s="209">
        <f>SUM(AA2:AA5)</f>
      </c>
      <c r="AB6" s="209">
        <f>SUM(AB2:AB5)</f>
      </c>
      <c r="AC6" s="209">
        <f>SUM(AC2:AC5)</f>
      </c>
      <c r="AD6" s="209">
        <f>SUM(AD2:AD5)</f>
      </c>
      <c r="AE6" s="209">
        <f>SUM(AE2:AE5)</f>
      </c>
    </row>
    <row r="7">
      <c r="A7" s="187"/>
      <c r="B7" s="188" t="s">
        <v>138</v>
      </c>
      <c r="C7" s="188" t="s">
        <v>139</v>
      </c>
      <c r="D7" s="203">
        <v>1025.51</v>
      </c>
      <c r="E7" s="191">
        <v>3</v>
      </c>
      <c r="F7" s="191">
        <v>1</v>
      </c>
      <c r="G7" s="195">
        <f t="shared" si="46"/>
      </c>
      <c r="H7" s="193">
        <v>4</v>
      </c>
      <c r="I7" s="193">
        <v>1</v>
      </c>
      <c r="J7" s="193">
        <v>720</v>
      </c>
      <c r="K7" s="193">
        <v>0</v>
      </c>
      <c r="L7" s="193">
        <v>0</v>
      </c>
      <c r="M7" s="194">
        <f t="shared" ref="M7:M8" si="79">K7+I7</f>
      </c>
      <c r="N7" s="195">
        <f t="shared" si="136"/>
      </c>
      <c r="O7" s="195">
        <f t="shared" si="137"/>
      </c>
      <c r="P7" s="196">
        <f t="shared" ref="P7:P8" si="1">L7+J7</f>
      </c>
      <c r="Q7" s="192">
        <f t="shared" si="10"/>
      </c>
      <c r="R7" s="197">
        <f t="shared" si="14"/>
      </c>
      <c r="S7" s="197">
        <f t="shared" si="45"/>
      </c>
      <c r="T7" s="214">
        <f t="shared" ref="T7:T8" si="49">AA7/60</f>
      </c>
      <c r="U7" s="199">
        <f t="shared" si="108"/>
      </c>
      <c r="V7" s="200">
        <f t="shared" si="109"/>
      </c>
      <c r="W7" s="199">
        <f t="shared" si="138"/>
      </c>
      <c r="X7" s="199">
        <f t="shared" si="111"/>
      </c>
      <c r="Y7" s="199">
        <f t="shared" si="7"/>
      </c>
      <c r="Z7" s="201">
        <v>3826</v>
      </c>
      <c r="AA7" s="201">
        <v>332</v>
      </c>
      <c r="AB7" s="201">
        <v>35</v>
      </c>
      <c r="AC7" s="201">
        <v>40</v>
      </c>
      <c r="AD7" s="201">
        <f t="shared" ref="AD7:AD8" si="12">H7</f>
      </c>
      <c r="AE7" s="202">
        <f t="shared" ref="AE7:AE8" si="16">COUNT(AD7)</f>
      </c>
    </row>
    <row r="8">
      <c r="A8" s="187"/>
      <c r="B8" s="188" t="s">
        <v>140</v>
      </c>
      <c r="C8" s="188" t="s">
        <v>139</v>
      </c>
      <c r="D8" s="203">
        <v>2351.64</v>
      </c>
      <c r="E8" s="191">
        <v>3</v>
      </c>
      <c r="F8" s="191">
        <v>1</v>
      </c>
      <c r="G8" s="195">
        <f t="shared" si="46"/>
      </c>
      <c r="H8" s="193">
        <v>4</v>
      </c>
      <c r="I8" s="193">
        <v>1</v>
      </c>
      <c r="J8" s="193">
        <v>600</v>
      </c>
      <c r="K8" s="193">
        <v>0</v>
      </c>
      <c r="L8" s="193">
        <v>0</v>
      </c>
      <c r="M8" s="194">
        <f t="shared" si="79"/>
      </c>
      <c r="N8" s="195">
        <f t="shared" si="136"/>
      </c>
      <c r="O8" s="195">
        <f t="shared" si="137"/>
      </c>
      <c r="P8" s="196">
        <f t="shared" si="1"/>
      </c>
      <c r="Q8" s="192">
        <f t="shared" si="10"/>
      </c>
      <c r="R8" s="197">
        <f t="shared" si="14"/>
      </c>
      <c r="S8" s="197">
        <f t="shared" si="45"/>
      </c>
      <c r="T8" s="214">
        <f t="shared" si="49"/>
      </c>
      <c r="U8" s="199">
        <f t="shared" si="108"/>
      </c>
      <c r="V8" s="200">
        <f t="shared" si="109"/>
      </c>
      <c r="W8" s="199">
        <f t="shared" si="138"/>
      </c>
      <c r="X8" s="199">
        <f t="shared" si="111"/>
      </c>
      <c r="Y8" s="199">
        <f t="shared" si="7"/>
      </c>
      <c r="Z8" s="201">
        <v>10238</v>
      </c>
      <c r="AA8" s="201">
        <v>567</v>
      </c>
      <c r="AB8" s="201">
        <v>45</v>
      </c>
      <c r="AC8" s="201">
        <v>63</v>
      </c>
      <c r="AD8" s="201">
        <f t="shared" si="12"/>
      </c>
      <c r="AE8" s="202">
        <f t="shared" si="16"/>
      </c>
    </row>
    <row r="9">
      <c r="A9" s="187"/>
      <c r="B9" s="205" t="s">
        <v>137</v>
      </c>
      <c r="C9" s="205"/>
      <c r="D9" s="206">
        <f>SUM(D7:D8)</f>
      </c>
      <c r="E9" s="207">
        <f>SUM(E7:E8)</f>
      </c>
      <c r="F9" s="207">
        <f>SUM(F7:F8)</f>
      </c>
      <c r="G9" s="209">
        <f t="shared" si="46"/>
      </c>
      <c r="H9" s="207">
        <f>SUM(H7:H8)</f>
      </c>
      <c r="I9" s="207">
        <f>SUM(I7:I8)</f>
      </c>
      <c r="J9" s="207">
        <f>SUM(J7:J8)</f>
      </c>
      <c r="K9" s="207">
        <f>SUM(K7:K8)</f>
      </c>
      <c r="L9" s="207">
        <f>SUM(L7:L8)</f>
      </c>
      <c r="M9" s="208">
        <f>SUM(M7:M8)</f>
      </c>
      <c r="N9" s="209">
        <f t="shared" si="136"/>
      </c>
      <c r="O9" s="209">
        <f t="shared" si="137"/>
      </c>
      <c r="P9" s="207">
        <f>SUM(P7:P8)</f>
      </c>
      <c r="Q9" s="208">
        <f t="shared" si="10"/>
      </c>
      <c r="R9" s="210">
        <f t="shared" si="14"/>
      </c>
      <c r="S9" s="210">
        <f t="shared" si="45"/>
      </c>
      <c r="T9" s="211">
        <f>(T8+T7)/2</f>
      </c>
      <c r="U9" s="215">
        <f t="shared" si="108"/>
      </c>
      <c r="V9" s="215">
        <f t="shared" si="109"/>
      </c>
      <c r="W9" s="215">
        <f t="shared" si="138"/>
      </c>
      <c r="X9" s="215">
        <f t="shared" si="111"/>
      </c>
      <c r="Y9" s="215">
        <f t="shared" si="7"/>
      </c>
      <c r="Z9" s="209">
        <f>SUM(Z7:Z8)</f>
      </c>
      <c r="AA9" s="209">
        <f>SUM(AA7:AA8)</f>
      </c>
      <c r="AB9" s="209">
        <f>SUM(AB7:AB8)</f>
      </c>
      <c r="AC9" s="209">
        <f>SUM(AC7:AC8)</f>
      </c>
      <c r="AD9" s="209">
        <f>SUM(AD7:AD8)</f>
      </c>
      <c r="AE9" s="209">
        <f>SUM(AE7:AE8)</f>
      </c>
    </row>
    <row customHeight="true" ht="16.071428571428573" r="10">
      <c r="A10" s="187"/>
      <c r="B10" s="189" t="s">
        <v>141</v>
      </c>
      <c r="C10" s="189" t="s">
        <v>142</v>
      </c>
      <c r="D10" s="203">
        <v>2243.64</v>
      </c>
      <c r="E10" s="191">
        <v>1</v>
      </c>
      <c r="F10" s="191">
        <v>0</v>
      </c>
      <c r="G10" s="192">
        <f t="shared" si="46"/>
      </c>
      <c r="H10" s="216">
        <v>1</v>
      </c>
      <c r="I10" s="216">
        <v>0</v>
      </c>
      <c r="J10" s="193">
        <v>0</v>
      </c>
      <c r="K10" s="216">
        <v>0</v>
      </c>
      <c r="L10" s="193">
        <v>0</v>
      </c>
      <c r="M10" s="194">
        <f t="shared" ref="M10:M11" si="80">K10+I10</f>
      </c>
      <c r="N10" s="195">
        <f t="shared" si="136"/>
      </c>
      <c r="O10" s="195">
        <f t="shared" si="137"/>
      </c>
      <c r="P10" s="196">
        <f t="shared" ref="P10:P11" si="2">L10+J10</f>
      </c>
      <c r="Q10" s="192">
        <f t="shared" si="10"/>
      </c>
      <c r="R10" s="197">
        <f t="shared" si="14"/>
      </c>
      <c r="S10" s="197">
        <f t="shared" si="45"/>
      </c>
      <c r="T10" s="214">
        <f t="shared" ref="T10:T11" si="50">AA10/60</f>
      </c>
      <c r="U10" s="199">
        <f t="shared" si="108"/>
      </c>
      <c r="V10" s="200">
        <f t="shared" si="109"/>
      </c>
      <c r="W10" s="199">
        <f t="shared" si="138"/>
      </c>
      <c r="X10" s="199">
        <f t="shared" si="111"/>
      </c>
      <c r="Y10" s="199">
        <f t="shared" si="7"/>
      </c>
      <c r="Z10" s="217">
        <v>15523</v>
      </c>
      <c r="AA10" s="217">
        <v>719</v>
      </c>
      <c r="AB10" s="217">
        <v>31</v>
      </c>
      <c r="AC10" s="217">
        <v>55</v>
      </c>
      <c r="AD10" s="201">
        <f t="shared" ref="AD10:AD11" si="13">H10</f>
      </c>
      <c r="AE10" s="202">
        <f t="shared" ref="AE10:AE11" si="17">COUNT(AD10)</f>
      </c>
    </row>
    <row customHeight="true" ht="16.071428571428573" r="11">
      <c r="A11" s="187"/>
      <c r="B11" s="188" t="s">
        <v>143</v>
      </c>
      <c r="C11" s="188" t="s">
        <v>142</v>
      </c>
      <c r="D11" s="203">
        <v>680.46</v>
      </c>
      <c r="E11" s="191">
        <v>0</v>
      </c>
      <c r="F11" s="191">
        <v>0</v>
      </c>
      <c r="G11" s="192">
        <f t="shared" si="46"/>
      </c>
      <c r="H11" s="216">
        <v>0</v>
      </c>
      <c r="I11" s="216">
        <v>0</v>
      </c>
      <c r="J11" s="216">
        <v>0</v>
      </c>
      <c r="K11" s="216">
        <v>0</v>
      </c>
      <c r="L11" s="216">
        <v>0</v>
      </c>
      <c r="M11" s="194">
        <f t="shared" si="80"/>
      </c>
      <c r="N11" s="195">
        <f t="shared" si="136"/>
      </c>
      <c r="O11" s="195">
        <f t="shared" si="137"/>
      </c>
      <c r="P11" s="196">
        <f t="shared" si="2"/>
      </c>
      <c r="Q11" s="192">
        <f t="shared" si="10"/>
      </c>
      <c r="R11" s="197">
        <f t="shared" si="14"/>
      </c>
      <c r="S11" s="197">
        <f t="shared" si="45"/>
      </c>
      <c r="T11" s="214">
        <f t="shared" si="50"/>
      </c>
      <c r="U11" s="199">
        <f t="shared" si="108"/>
      </c>
      <c r="V11" s="200">
        <f t="shared" si="109"/>
      </c>
      <c r="W11" s="199">
        <f t="shared" si="138"/>
      </c>
      <c r="X11" s="199">
        <f t="shared" si="111"/>
      </c>
      <c r="Y11" s="199">
        <f t="shared" si="7"/>
      </c>
      <c r="Z11" s="198">
        <v>4821</v>
      </c>
      <c r="AA11" s="198">
        <v>291</v>
      </c>
      <c r="AB11" s="217">
        <v>9</v>
      </c>
      <c r="AC11" s="217">
        <v>32</v>
      </c>
      <c r="AD11" s="201">
        <f t="shared" si="13"/>
      </c>
      <c r="AE11" s="202">
        <f t="shared" si="17"/>
      </c>
    </row>
    <row customHeight="true" ht="16.071428571428573" r="12">
      <c r="A12" s="187"/>
      <c r="B12" s="205" t="s">
        <v>137</v>
      </c>
      <c r="C12" s="205"/>
      <c r="D12" s="206">
        <f>SUM(D10:D11)</f>
      </c>
      <c r="E12" s="207">
        <f>SUM(E10:E11)</f>
      </c>
      <c r="F12" s="207">
        <f>SUM(F10:F11)</f>
      </c>
      <c r="G12" s="208">
        <f t="shared" si="46"/>
      </c>
      <c r="H12" s="207">
        <f>SUM(H10:H11)</f>
      </c>
      <c r="I12" s="207">
        <f>SUM(I10:I11)</f>
      </c>
      <c r="J12" s="207">
        <f>SUM(J10:J11)</f>
      </c>
      <c r="K12" s="207">
        <f>SUM(K10:K11)</f>
      </c>
      <c r="L12" s="207">
        <f>SUM(L10:L11)</f>
      </c>
      <c r="M12" s="208">
        <f>SUM(M10:M11)</f>
      </c>
      <c r="N12" s="209">
        <f t="shared" si="136"/>
      </c>
      <c r="O12" s="209">
        <f t="shared" si="137"/>
      </c>
      <c r="P12" s="207">
        <f>SUM(P10:P11)</f>
      </c>
      <c r="Q12" s="208">
        <f t="shared" si="10"/>
      </c>
      <c r="R12" s="210">
        <f t="shared" si="14"/>
      </c>
      <c r="S12" s="210">
        <f t="shared" si="45"/>
      </c>
      <c r="T12" s="211">
        <f>(T11+T10)/2</f>
      </c>
      <c r="U12" s="212">
        <f t="shared" si="108"/>
      </c>
      <c r="V12" s="213">
        <f t="shared" si="109"/>
      </c>
      <c r="W12" s="212">
        <f t="shared" si="138"/>
      </c>
      <c r="X12" s="212">
        <f t="shared" si="111"/>
      </c>
      <c r="Y12" s="212">
        <f t="shared" si="7"/>
      </c>
      <c r="Z12" s="209">
        <f>SUM(Z10:Z11)</f>
      </c>
      <c r="AA12" s="209">
        <f>SUM(AA10:AA11)</f>
      </c>
      <c r="AB12" s="209">
        <f>SUM(AB10:AB11)</f>
      </c>
      <c r="AC12" s="209">
        <f>SUM(AC10:AC11)</f>
      </c>
      <c r="AD12" s="209">
        <f>SUM(AD10:AD11)</f>
      </c>
      <c r="AE12" s="209">
        <f>SUM(AE10:AE11)</f>
      </c>
    </row>
    <row r="13">
      <c r="A13" s="187"/>
      <c r="B13" s="218" t="s">
        <v>144</v>
      </c>
      <c r="C13" s="218"/>
      <c r="D13" s="219">
        <f>D12+D9+D6</f>
      </c>
      <c r="E13" s="220">
        <f>E12+E9+E6</f>
      </c>
      <c r="F13" s="220">
        <f>F12+F9+F6</f>
      </c>
      <c r="G13" s="221">
        <f t="shared" si="46"/>
      </c>
      <c r="H13" s="220">
        <f>H12+H9+H6</f>
      </c>
      <c r="I13" s="220">
        <f>I12+I9+I6</f>
      </c>
      <c r="J13" s="220">
        <f>J12+J9+J6</f>
      </c>
      <c r="K13" s="220">
        <f>K12+K9+K6</f>
      </c>
      <c r="L13" s="220">
        <f>L12+L9+L6</f>
      </c>
      <c r="M13" s="222">
        <f>M12+M9+M6</f>
      </c>
      <c r="N13" s="221">
        <f t="shared" si="136"/>
      </c>
      <c r="O13" s="221">
        <f t="shared" si="137"/>
      </c>
      <c r="P13" s="220">
        <f>P12+P9+P6</f>
      </c>
      <c r="Q13" s="218">
        <f t="shared" si="10"/>
      </c>
      <c r="R13" s="223">
        <f t="shared" si="14"/>
      </c>
      <c r="S13" s="223">
        <f t="shared" si="45"/>
      </c>
      <c r="T13" s="224">
        <f>(T12+T9+T6)/3</f>
      </c>
      <c r="U13" s="225">
        <f t="shared" si="108"/>
      </c>
      <c r="V13" s="226">
        <f t="shared" si="109"/>
      </c>
      <c r="W13" s="225">
        <f t="shared" si="138"/>
      </c>
      <c r="X13" s="225">
        <f t="shared" si="111"/>
      </c>
      <c r="Y13" s="225">
        <f t="shared" si="7"/>
      </c>
      <c r="Z13" s="222">
        <f>Z12+Z9+Z6</f>
      </c>
      <c r="AA13" s="222">
        <f>AA12+AA9+AA6</f>
      </c>
      <c r="AB13" s="222">
        <f>AB12+AB9+AB6</f>
      </c>
      <c r="AC13" s="222">
        <f>AC12+AC9+AC6</f>
      </c>
      <c r="AD13" s="222">
        <f>AD12+AD9+AD6</f>
      </c>
      <c r="AE13" s="222">
        <f>AE12+AE9+AE6</f>
      </c>
    </row>
    <row r="14">
      <c r="A14" s="187">
        <v>46224</v>
      </c>
      <c r="B14" s="188" t="s">
        <v>132</v>
      </c>
      <c r="C14" s="189" t="s">
        <v>133</v>
      </c>
      <c r="D14" s="190">
        <v>964.18</v>
      </c>
      <c r="E14" s="191">
        <v>0</v>
      </c>
      <c r="F14" s="191">
        <v>0</v>
      </c>
      <c r="G14" s="192">
        <f t="shared" si="46"/>
      </c>
      <c r="H14" s="193">
        <v>3</v>
      </c>
      <c r="I14" s="193">
        <v>0</v>
      </c>
      <c r="J14" s="193">
        <v>0</v>
      </c>
      <c r="K14" s="193">
        <v>0</v>
      </c>
      <c r="L14" s="193">
        <v>0</v>
      </c>
      <c r="M14" s="194">
        <f t="shared" ref="M14:M17" si="81">K14+I14</f>
      </c>
      <c r="N14" s="195">
        <f t="shared" si="136"/>
      </c>
      <c r="O14" s="195">
        <f t="shared" si="137"/>
      </c>
      <c r="P14" s="196">
        <f t="shared" ref="P14:P17" si="3">L14+J14</f>
      </c>
      <c r="Q14" s="192">
        <f t="shared" si="10"/>
      </c>
      <c r="R14" s="197">
        <f t="shared" si="14"/>
      </c>
      <c r="S14" s="197">
        <f t="shared" si="45"/>
      </c>
      <c r="T14" s="198">
        <f t="shared" ref="T14:T17" si="51">AA14/60</f>
      </c>
      <c r="U14" s="199">
        <f t="shared" si="108"/>
      </c>
      <c r="V14" s="200">
        <f>AB16/AA16</f>
      </c>
      <c r="W14" s="199">
        <f t="shared" si="138"/>
      </c>
      <c r="X14" s="199">
        <f t="shared" si="111"/>
      </c>
      <c r="Y14" s="199">
        <f t="shared" si="7"/>
      </c>
      <c r="Z14" s="201">
        <v>2884</v>
      </c>
      <c r="AA14" s="204">
        <v>143</v>
      </c>
      <c r="AB14" s="201">
        <v>13</v>
      </c>
      <c r="AC14" s="204">
        <v>14</v>
      </c>
      <c r="AD14" s="204">
        <v>3</v>
      </c>
      <c r="AE14" s="202">
        <f t="shared" ref="AE14:AE17" si="18">COUNT(AD14)</f>
      </c>
    </row>
    <row r="15">
      <c r="A15" s="187"/>
      <c r="B15" s="188" t="s">
        <v>134</v>
      </c>
      <c r="C15" s="188" t="s">
        <v>133</v>
      </c>
      <c r="D15" s="203">
        <v>978.77</v>
      </c>
      <c r="E15" s="191">
        <v>2</v>
      </c>
      <c r="F15" s="191">
        <v>0</v>
      </c>
      <c r="G15" s="192">
        <f t="shared" si="46"/>
      </c>
      <c r="H15" s="193">
        <v>2</v>
      </c>
      <c r="I15" s="193">
        <v>0</v>
      </c>
      <c r="J15" s="193">
        <v>0</v>
      </c>
      <c r="K15" s="193">
        <v>0</v>
      </c>
      <c r="L15" s="193">
        <v>0</v>
      </c>
      <c r="M15" s="194">
        <f t="shared" si="81"/>
      </c>
      <c r="N15" s="195">
        <f t="shared" si="136"/>
      </c>
      <c r="O15" s="195">
        <f t="shared" si="137"/>
      </c>
      <c r="P15" s="196">
        <f t="shared" si="3"/>
      </c>
      <c r="Q15" s="192">
        <f t="shared" si="10"/>
      </c>
      <c r="R15" s="197">
        <f t="shared" si="14"/>
      </c>
      <c r="S15" s="197">
        <f t="shared" si="45"/>
      </c>
      <c r="T15" s="198">
        <f t="shared" si="51"/>
      </c>
      <c r="U15" s="199">
        <f t="shared" si="108"/>
      </c>
      <c r="V15" s="200">
        <f t="shared" ref="V15:V134" si="110">AB15/AA15</f>
      </c>
      <c r="W15" s="199">
        <f t="shared" si="138"/>
      </c>
      <c r="X15" s="199">
        <f t="shared" si="111"/>
      </c>
      <c r="Y15" s="199">
        <f t="shared" si="7"/>
      </c>
      <c r="Z15" s="201">
        <v>3116</v>
      </c>
      <c r="AA15" s="201">
        <v>233</v>
      </c>
      <c r="AB15" s="204">
        <v>30</v>
      </c>
      <c r="AC15" s="204">
        <v>31</v>
      </c>
      <c r="AD15" s="204">
        <v>2</v>
      </c>
      <c r="AE15" s="202">
        <f t="shared" si="18"/>
      </c>
    </row>
    <row r="16">
      <c r="A16" s="187"/>
      <c r="B16" s="188" t="s">
        <v>135</v>
      </c>
      <c r="C16" s="188" t="s">
        <v>133</v>
      </c>
      <c r="D16" s="190">
        <v>614.36</v>
      </c>
      <c r="E16" s="191">
        <v>1</v>
      </c>
      <c r="F16" s="191">
        <v>0</v>
      </c>
      <c r="G16" s="192">
        <f t="shared" si="46"/>
      </c>
      <c r="H16" s="193">
        <v>1</v>
      </c>
      <c r="I16" s="193">
        <v>0</v>
      </c>
      <c r="J16" s="193">
        <v>0</v>
      </c>
      <c r="K16" s="193">
        <v>0</v>
      </c>
      <c r="L16" s="193">
        <v>0</v>
      </c>
      <c r="M16" s="194">
        <f t="shared" si="81"/>
      </c>
      <c r="N16" s="195">
        <f t="shared" si="136"/>
      </c>
      <c r="O16" s="195">
        <f t="shared" si="137"/>
      </c>
      <c r="P16" s="196">
        <f t="shared" si="3"/>
      </c>
      <c r="Q16" s="192">
        <f t="shared" si="10"/>
      </c>
      <c r="R16" s="197">
        <f t="shared" si="14"/>
      </c>
      <c r="S16" s="197">
        <f t="shared" si="45"/>
      </c>
      <c r="T16" s="198">
        <f t="shared" si="51"/>
      </c>
      <c r="U16" s="199">
        <f t="shared" si="108"/>
      </c>
      <c r="V16" s="200">
        <f t="shared" si="110"/>
      </c>
      <c r="W16" s="199">
        <f t="shared" si="138"/>
      </c>
      <c r="X16" s="199">
        <f t="shared" si="111"/>
      </c>
      <c r="Y16" s="199">
        <f t="shared" si="7"/>
      </c>
      <c r="Z16" s="204">
        <v>2258</v>
      </c>
      <c r="AA16" s="201">
        <v>183</v>
      </c>
      <c r="AB16" s="204">
        <v>26</v>
      </c>
      <c r="AC16" s="204">
        <v>16</v>
      </c>
      <c r="AD16" s="204">
        <v>1</v>
      </c>
      <c r="AE16" s="202">
        <f t="shared" si="18"/>
      </c>
    </row>
    <row r="17">
      <c r="A17" s="187"/>
      <c r="B17" s="188" t="s">
        <v>136</v>
      </c>
      <c r="C17" s="188" t="s">
        <v>133</v>
      </c>
      <c r="D17" s="203">
        <v>447.21</v>
      </c>
      <c r="E17" s="191">
        <v>1</v>
      </c>
      <c r="F17" s="191">
        <v>0</v>
      </c>
      <c r="G17" s="192">
        <f t="shared" si="46"/>
      </c>
      <c r="H17" s="193">
        <v>1</v>
      </c>
      <c r="I17" s="193">
        <v>0</v>
      </c>
      <c r="J17" s="193">
        <v>0</v>
      </c>
      <c r="K17" s="193">
        <v>0</v>
      </c>
      <c r="L17" s="193">
        <v>0</v>
      </c>
      <c r="M17" s="194">
        <f t="shared" si="81"/>
      </c>
      <c r="N17" s="195">
        <f t="shared" si="136"/>
      </c>
      <c r="O17" s="195">
        <f t="shared" si="137"/>
      </c>
      <c r="P17" s="196">
        <f t="shared" si="3"/>
      </c>
      <c r="Q17" s="192">
        <f t="shared" si="10"/>
      </c>
      <c r="R17" s="197">
        <f t="shared" si="14"/>
      </c>
      <c r="S17" s="197">
        <f t="shared" si="45"/>
      </c>
      <c r="T17" s="198">
        <f t="shared" si="51"/>
      </c>
      <c r="U17" s="199">
        <f t="shared" si="108"/>
      </c>
      <c r="V17" s="200">
        <f t="shared" si="110"/>
      </c>
      <c r="W17" s="199">
        <f t="shared" si="138"/>
      </c>
      <c r="X17" s="199">
        <f t="shared" si="111"/>
      </c>
      <c r="Y17" s="199">
        <f t="shared" si="7"/>
      </c>
      <c r="Z17" s="204">
        <v>2048</v>
      </c>
      <c r="AA17" s="201">
        <v>175</v>
      </c>
      <c r="AB17" s="204">
        <v>20</v>
      </c>
      <c r="AC17" s="204">
        <v>14</v>
      </c>
      <c r="AD17" s="204">
        <v>1</v>
      </c>
      <c r="AE17" s="202">
        <f t="shared" si="18"/>
      </c>
    </row>
    <row r="18">
      <c r="A18" s="187"/>
      <c r="B18" s="205" t="s">
        <v>137</v>
      </c>
      <c r="C18" s="205"/>
      <c r="D18" s="206">
        <f>SUM(D14:D17)</f>
      </c>
      <c r="E18" s="207">
        <f>SUM(E14:E17)</f>
      </c>
      <c r="F18" s="207">
        <f>SUM(F14:F17)</f>
      </c>
      <c r="G18" s="208">
        <f t="shared" si="46"/>
      </c>
      <c r="H18" s="207">
        <f>SUM(H14:H17)</f>
      </c>
      <c r="I18" s="207">
        <f>SUM(I14:I17)</f>
      </c>
      <c r="J18" s="207">
        <f>SUM(J14:J17)</f>
      </c>
      <c r="K18" s="207">
        <f>SUM(K14:K17)</f>
      </c>
      <c r="L18" s="207">
        <f>SUM(L14:L17)</f>
      </c>
      <c r="M18" s="208">
        <f>SUM(M14:M17)</f>
      </c>
      <c r="N18" s="209">
        <f t="shared" si="136"/>
      </c>
      <c r="O18" s="209">
        <f t="shared" si="137"/>
      </c>
      <c r="P18" s="207">
        <f>SUM(P14:P17)</f>
      </c>
      <c r="Q18" s="208">
        <f t="shared" si="10"/>
      </c>
      <c r="R18" s="210">
        <f t="shared" si="14"/>
      </c>
      <c r="S18" s="210">
        <f t="shared" si="45"/>
      </c>
      <c r="T18" s="211">
        <f>(T17+T16+T15+T14)/4</f>
      </c>
      <c r="U18" s="212">
        <f t="shared" si="108"/>
      </c>
      <c r="V18" s="213">
        <f t="shared" si="110"/>
      </c>
      <c r="W18" s="212">
        <f t="shared" si="138"/>
      </c>
      <c r="X18" s="212">
        <f t="shared" si="111"/>
      </c>
      <c r="Y18" s="212">
        <f t="shared" si="7"/>
      </c>
      <c r="Z18" s="209">
        <f>SUM(Z14:Z17)</f>
      </c>
      <c r="AA18" s="209">
        <f>SUM(AA14:AA17)</f>
      </c>
      <c r="AB18" s="209">
        <f>SUM(AB14:AB17)</f>
      </c>
      <c r="AC18" s="209">
        <f>SUM(AC14:AC17)</f>
      </c>
      <c r="AD18" s="209">
        <f>SUM(AD14:AD17)</f>
      </c>
      <c r="AE18" s="209">
        <f>SUM(AE14:AE17)</f>
      </c>
    </row>
    <row r="19">
      <c r="A19" s="187"/>
      <c r="B19" s="188" t="s">
        <v>138</v>
      </c>
      <c r="C19" s="188" t="s">
        <v>139</v>
      </c>
      <c r="D19" s="203">
        <v>505.45</v>
      </c>
      <c r="E19" s="191">
        <v>1</v>
      </c>
      <c r="F19" s="191">
        <v>1</v>
      </c>
      <c r="G19" s="195">
        <f t="shared" si="46"/>
      </c>
      <c r="H19" s="193">
        <v>2</v>
      </c>
      <c r="I19" s="193">
        <v>2</v>
      </c>
      <c r="J19" s="193">
        <v>1716.6</v>
      </c>
      <c r="K19" s="193">
        <v>0</v>
      </c>
      <c r="L19" s="193">
        <v>0</v>
      </c>
      <c r="M19" s="194">
        <f t="shared" ref="M19:M20" si="82">K19+I19</f>
      </c>
      <c r="N19" s="195">
        <f t="shared" si="136"/>
      </c>
      <c r="O19" s="195">
        <f t="shared" si="137"/>
      </c>
      <c r="P19" s="196">
        <f t="shared" ref="P19:P20" si="4">L19+J19</f>
      </c>
      <c r="Q19" s="192">
        <f t="shared" si="10"/>
      </c>
      <c r="R19" s="197">
        <f t="shared" si="14"/>
      </c>
      <c r="S19" s="197">
        <f t="shared" si="45"/>
      </c>
      <c r="T19" s="214">
        <f t="shared" ref="T19:T20" si="52">AA19/60</f>
      </c>
      <c r="U19" s="199">
        <f t="shared" si="108"/>
      </c>
      <c r="V19" s="200">
        <f t="shared" si="110"/>
      </c>
      <c r="W19" s="199">
        <f t="shared" si="138"/>
      </c>
      <c r="X19" s="199">
        <f t="shared" si="111"/>
      </c>
      <c r="Y19" s="199">
        <f t="shared" si="7"/>
      </c>
      <c r="Z19" s="201">
        <v>1790</v>
      </c>
      <c r="AA19" s="201">
        <v>191</v>
      </c>
      <c r="AB19" s="204">
        <v>17</v>
      </c>
      <c r="AC19" s="204">
        <v>15</v>
      </c>
      <c r="AD19" s="204">
        <v>2</v>
      </c>
      <c r="AE19" s="202">
        <f t="shared" ref="AE19:AE20" si="19">COUNT(AD19)</f>
      </c>
    </row>
    <row r="20">
      <c r="A20" s="187"/>
      <c r="B20" s="188" t="s">
        <v>140</v>
      </c>
      <c r="C20" s="188" t="s">
        <v>139</v>
      </c>
      <c r="D20" s="203">
        <v>970</v>
      </c>
      <c r="E20" s="191">
        <v>2</v>
      </c>
      <c r="F20" s="191">
        <v>0</v>
      </c>
      <c r="G20" s="195">
        <f t="shared" si="46"/>
      </c>
      <c r="H20" s="193">
        <v>2</v>
      </c>
      <c r="I20" s="193">
        <v>0</v>
      </c>
      <c r="J20" s="193">
        <v>0</v>
      </c>
      <c r="K20" s="193">
        <v>0</v>
      </c>
      <c r="L20" s="193">
        <v>0</v>
      </c>
      <c r="M20" s="194">
        <f t="shared" si="82"/>
      </c>
      <c r="N20" s="195">
        <f t="shared" si="136"/>
      </c>
      <c r="O20" s="195">
        <f t="shared" si="137"/>
      </c>
      <c r="P20" s="196">
        <f t="shared" si="4"/>
      </c>
      <c r="Q20" s="192">
        <f t="shared" si="10"/>
      </c>
      <c r="R20" s="197">
        <f t="shared" si="14"/>
      </c>
      <c r="S20" s="197">
        <f t="shared" si="45"/>
      </c>
      <c r="T20" s="214">
        <f t="shared" si="52"/>
      </c>
      <c r="U20" s="199">
        <f t="shared" si="108"/>
      </c>
      <c r="V20" s="200">
        <f t="shared" si="110"/>
      </c>
      <c r="W20" s="199">
        <f t="shared" si="138"/>
      </c>
      <c r="X20" s="199">
        <f t="shared" si="111"/>
      </c>
      <c r="Y20" s="199">
        <f t="shared" si="7"/>
      </c>
      <c r="Z20" s="201">
        <v>2674</v>
      </c>
      <c r="AA20" s="201">
        <v>195</v>
      </c>
      <c r="AB20" s="204">
        <v>15</v>
      </c>
      <c r="AC20" s="204">
        <v>31</v>
      </c>
      <c r="AD20" s="204">
        <v>2</v>
      </c>
      <c r="AE20" s="202">
        <f t="shared" si="19"/>
      </c>
    </row>
    <row r="21">
      <c r="A21" s="187"/>
      <c r="B21" s="205" t="s">
        <v>137</v>
      </c>
      <c r="C21" s="205"/>
      <c r="D21" s="206">
        <f>SUM(D19:D20)</f>
      </c>
      <c r="E21" s="207">
        <f>SUM(E19:E20)</f>
      </c>
      <c r="F21" s="207">
        <f>SUM(F19:F20)</f>
      </c>
      <c r="G21" s="209">
        <f t="shared" si="46"/>
      </c>
      <c r="H21" s="207">
        <f>SUM(H19:H20)</f>
      </c>
      <c r="I21" s="207">
        <f>SUM(I19:I20)</f>
      </c>
      <c r="J21" s="207">
        <f>SUM(J19:J20)</f>
      </c>
      <c r="K21" s="207">
        <f>SUM(K19:K20)</f>
      </c>
      <c r="L21" s="207">
        <f>SUM(L19:L20)</f>
      </c>
      <c r="M21" s="208">
        <f>SUM(M19:M20)</f>
      </c>
      <c r="N21" s="209">
        <f t="shared" si="136"/>
      </c>
      <c r="O21" s="209">
        <f t="shared" si="137"/>
      </c>
      <c r="P21" s="207">
        <f>SUM(P19:P20)</f>
      </c>
      <c r="Q21" s="208">
        <f t="shared" si="10"/>
      </c>
      <c r="R21" s="210">
        <f t="shared" si="14"/>
      </c>
      <c r="S21" s="210">
        <f t="shared" si="45"/>
      </c>
      <c r="T21" s="211">
        <f>(T20+T19)/2</f>
      </c>
      <c r="U21" s="215">
        <f t="shared" si="108"/>
      </c>
      <c r="V21" s="215">
        <f t="shared" si="110"/>
      </c>
      <c r="W21" s="215">
        <f t="shared" si="138"/>
      </c>
      <c r="X21" s="215">
        <f t="shared" si="111"/>
      </c>
      <c r="Y21" s="215">
        <f t="shared" si="7"/>
      </c>
      <c r="Z21" s="209">
        <f>SUM(Z19:Z20)</f>
      </c>
      <c r="AA21" s="209">
        <f>SUM(AA19:AA20)</f>
      </c>
      <c r="AB21" s="209">
        <f>SUM(AB19:AB20)</f>
      </c>
      <c r="AC21" s="209">
        <f>SUM(AC19:AC20)</f>
      </c>
      <c r="AD21" s="209">
        <f>SUM(AD19:AD20)</f>
      </c>
      <c r="AE21" s="209">
        <f>SUM(AE19:AE20)</f>
      </c>
    </row>
    <row r="22">
      <c r="A22" s="187"/>
      <c r="B22" s="189" t="s">
        <v>141</v>
      </c>
      <c r="C22" s="189" t="s">
        <v>145</v>
      </c>
      <c r="D22" s="203">
        <v>1653.17</v>
      </c>
      <c r="E22" s="191">
        <v>5</v>
      </c>
      <c r="F22" s="191">
        <v>2</v>
      </c>
      <c r="G22" s="192">
        <f t="shared" si="46"/>
      </c>
      <c r="H22" s="216">
        <v>5</v>
      </c>
      <c r="I22" s="216">
        <v>1</v>
      </c>
      <c r="J22" s="193">
        <v>1546.8000000000002</v>
      </c>
      <c r="K22" s="216">
        <v>1</v>
      </c>
      <c r="L22" s="193">
        <v>2712</v>
      </c>
      <c r="M22" s="194">
        <f t="shared" ref="M22:M23" si="83">K22+I22</f>
      </c>
      <c r="N22" s="195">
        <f t="shared" si="136"/>
      </c>
      <c r="O22" s="195">
        <f t="shared" si="137"/>
      </c>
      <c r="P22" s="196">
        <f t="shared" ref="P22:P23" si="5">L22+J22</f>
      </c>
      <c r="Q22" s="192">
        <f t="shared" si="10"/>
      </c>
      <c r="R22" s="197">
        <f t="shared" si="14"/>
      </c>
      <c r="S22" s="197">
        <f t="shared" si="45"/>
      </c>
      <c r="T22" s="214">
        <f t="shared" ref="T22:T23" si="53">AA22/60</f>
      </c>
      <c r="U22" s="199">
        <f t="shared" si="108"/>
      </c>
      <c r="V22" s="200">
        <f t="shared" si="110"/>
      </c>
      <c r="W22" s="199">
        <f t="shared" si="138"/>
      </c>
      <c r="X22" s="199">
        <f t="shared" si="111"/>
      </c>
      <c r="Y22" s="199">
        <f t="shared" si="7"/>
      </c>
      <c r="Z22" s="217">
        <v>4336</v>
      </c>
      <c r="AA22" s="217">
        <v>307</v>
      </c>
      <c r="AB22" s="198">
        <v>47</v>
      </c>
      <c r="AC22" s="198">
        <v>35</v>
      </c>
      <c r="AD22" s="204">
        <v>5</v>
      </c>
      <c r="AE22" s="202">
        <f t="shared" ref="AE22:AE23" si="20">COUNT(AD22)</f>
      </c>
    </row>
    <row r="23">
      <c r="A23" s="187"/>
      <c r="B23" s="188" t="s">
        <v>143</v>
      </c>
      <c r="C23" s="189" t="s">
        <v>145</v>
      </c>
      <c r="D23" s="203">
        <v>823.81</v>
      </c>
      <c r="E23" s="191">
        <v>0</v>
      </c>
      <c r="F23" s="191">
        <v>0</v>
      </c>
      <c r="G23" s="192">
        <f t="shared" si="46"/>
      </c>
      <c r="H23" s="216">
        <v>0</v>
      </c>
      <c r="I23" s="216">
        <v>0</v>
      </c>
      <c r="J23" s="216">
        <v>0</v>
      </c>
      <c r="K23" s="216">
        <v>0</v>
      </c>
      <c r="L23" s="216">
        <v>0</v>
      </c>
      <c r="M23" s="194">
        <f t="shared" si="83"/>
      </c>
      <c r="N23" s="195">
        <f t="shared" si="136"/>
      </c>
      <c r="O23" s="195">
        <f t="shared" si="137"/>
      </c>
      <c r="P23" s="196">
        <f t="shared" si="5"/>
      </c>
      <c r="Q23" s="192">
        <f t="shared" si="10"/>
      </c>
      <c r="R23" s="197">
        <f t="shared" si="14"/>
      </c>
      <c r="S23" s="197">
        <f t="shared" si="45"/>
      </c>
      <c r="T23" s="214">
        <f t="shared" si="53"/>
      </c>
      <c r="U23" s="199">
        <f t="shared" si="108"/>
      </c>
      <c r="V23" s="200">
        <f t="shared" si="110"/>
      </c>
      <c r="W23" s="199">
        <f t="shared" si="138"/>
      </c>
      <c r="X23" s="199">
        <f t="shared" si="111"/>
      </c>
      <c r="Y23" s="199">
        <f t="shared" si="7"/>
      </c>
      <c r="Z23" s="198">
        <v>2655</v>
      </c>
      <c r="AA23" s="217">
        <v>214</v>
      </c>
      <c r="AB23" s="198">
        <v>2</v>
      </c>
      <c r="AC23" s="198">
        <v>28</v>
      </c>
      <c r="AD23" s="204">
        <v>0</v>
      </c>
      <c r="AE23" s="202">
        <f t="shared" si="20"/>
      </c>
    </row>
    <row r="24">
      <c r="A24" s="187"/>
      <c r="B24" s="205" t="s">
        <v>137</v>
      </c>
      <c r="C24" s="205"/>
      <c r="D24" s="206">
        <f>SUM(D22:D23)</f>
      </c>
      <c r="E24" s="207">
        <f>SUM(E22:E23)</f>
      </c>
      <c r="F24" s="207">
        <f>SUM(F22:F23)</f>
      </c>
      <c r="G24" s="208">
        <f t="shared" si="46"/>
      </c>
      <c r="H24" s="207">
        <f>SUM(H22:H23)</f>
      </c>
      <c r="I24" s="207">
        <f>SUM(I22:I23)</f>
      </c>
      <c r="J24" s="207">
        <f>SUM(J22:J23)</f>
      </c>
      <c r="K24" s="207">
        <f>SUM(K22:K23)</f>
      </c>
      <c r="L24" s="207">
        <f>SUM(L22:L23)</f>
      </c>
      <c r="M24" s="208">
        <f>SUM(M22:M23)</f>
      </c>
      <c r="N24" s="209">
        <f t="shared" si="136"/>
      </c>
      <c r="O24" s="209">
        <f t="shared" si="137"/>
      </c>
      <c r="P24" s="207">
        <f>SUM(P22:P23)</f>
      </c>
      <c r="Q24" s="208">
        <f t="shared" si="10"/>
      </c>
      <c r="R24" s="210">
        <f t="shared" si="14"/>
      </c>
      <c r="S24" s="210">
        <f t="shared" si="45"/>
      </c>
      <c r="T24" s="211">
        <f>(T23+T22)/2</f>
      </c>
      <c r="U24" s="212">
        <f t="shared" si="108"/>
      </c>
      <c r="V24" s="213">
        <f t="shared" si="110"/>
      </c>
      <c r="W24" s="212">
        <f t="shared" si="138"/>
      </c>
      <c r="X24" s="212">
        <f t="shared" si="111"/>
      </c>
      <c r="Y24" s="212">
        <f t="shared" si="7"/>
      </c>
      <c r="Z24" s="209">
        <f>SUM(Z22:Z23)</f>
      </c>
      <c r="AA24" s="209">
        <f>SUM(AA22:AA23)</f>
      </c>
      <c r="AB24" s="209">
        <f>SUM(AB22:AB23)</f>
      </c>
      <c r="AC24" s="209">
        <f>SUM(AC22:AC23)</f>
      </c>
      <c r="AD24" s="209">
        <f>SUM(AD22:AD23)</f>
      </c>
      <c r="AE24" s="209">
        <f>SUM(AE22:AE23)</f>
      </c>
    </row>
    <row r="25">
      <c r="A25" s="187"/>
      <c r="B25" s="218" t="s">
        <v>144</v>
      </c>
      <c r="C25" s="218"/>
      <c r="D25" s="219">
        <f>D24+D21+D18</f>
      </c>
      <c r="E25" s="220">
        <f>E24+E21+E18</f>
      </c>
      <c r="F25" s="220">
        <f>F24+F21+F18</f>
      </c>
      <c r="G25" s="221">
        <f t="shared" si="46"/>
      </c>
      <c r="H25" s="220">
        <f>H24+H21+H18</f>
      </c>
      <c r="I25" s="220">
        <f>I24+I21+I18</f>
      </c>
      <c r="J25" s="220">
        <f>J24+J21+J18</f>
      </c>
      <c r="K25" s="220">
        <f>K24+K21+K18</f>
      </c>
      <c r="L25" s="220">
        <f>L24+L21+L18</f>
      </c>
      <c r="M25" s="222">
        <f>M24+M21+M18</f>
      </c>
      <c r="N25" s="221">
        <f t="shared" si="136"/>
      </c>
      <c r="O25" s="221">
        <f t="shared" si="137"/>
      </c>
      <c r="P25" s="220">
        <f>P24+P21+P18</f>
      </c>
      <c r="Q25" s="218">
        <f t="shared" si="10"/>
      </c>
      <c r="R25" s="223">
        <f t="shared" si="14"/>
      </c>
      <c r="S25" s="223">
        <f t="shared" si="45"/>
      </c>
      <c r="T25" s="224">
        <f>(T24+T21+T18)/3</f>
      </c>
      <c r="U25" s="225">
        <f t="shared" si="108"/>
      </c>
      <c r="V25" s="226">
        <f t="shared" si="110"/>
      </c>
      <c r="W25" s="225">
        <f t="shared" si="138"/>
      </c>
      <c r="X25" s="225">
        <f t="shared" si="111"/>
      </c>
      <c r="Y25" s="225">
        <f t="shared" si="7"/>
      </c>
      <c r="Z25" s="222">
        <f>Z24+Z21+Z18</f>
      </c>
      <c r="AA25" s="222">
        <f>AA24+AA21+AA18</f>
      </c>
      <c r="AB25" s="222">
        <f>AB24+AB21+AB18</f>
      </c>
      <c r="AC25" s="222">
        <f>AC24+AC21+AC18</f>
      </c>
      <c r="AD25" s="222">
        <f>AD24+AD21+AD18</f>
      </c>
      <c r="AE25" s="222">
        <f>AE24+AE21+AE18</f>
      </c>
    </row>
    <row r="26">
      <c r="A26" s="187">
        <v>46225</v>
      </c>
      <c r="B26" s="188" t="s">
        <v>135</v>
      </c>
      <c r="C26" s="188" t="s">
        <v>142</v>
      </c>
      <c r="D26" s="190">
        <v>470.14</v>
      </c>
      <c r="E26" s="191">
        <v>0</v>
      </c>
      <c r="F26" s="191">
        <v>0</v>
      </c>
      <c r="G26" s="192">
        <f t="shared" si="46"/>
      </c>
      <c r="H26" s="193">
        <v>0</v>
      </c>
      <c r="I26" s="193">
        <v>0</v>
      </c>
      <c r="J26" s="193">
        <v>0</v>
      </c>
      <c r="K26" s="193">
        <v>0</v>
      </c>
      <c r="L26" s="193">
        <v>0</v>
      </c>
      <c r="M26" s="194">
        <f t="shared" ref="M26:M28" si="84">K26+I26</f>
      </c>
      <c r="N26" s="195">
        <f t="shared" si="136"/>
      </c>
      <c r="O26" s="195">
        <f t="shared" si="137"/>
      </c>
      <c r="P26" s="196">
        <f t="shared" ref="P26:P28" si="6">L26+J26</f>
      </c>
      <c r="Q26" s="192">
        <f t="shared" si="10"/>
      </c>
      <c r="R26" s="197">
        <f t="shared" si="14"/>
      </c>
      <c r="S26" s="197">
        <f t="shared" si="45"/>
      </c>
      <c r="T26" s="198">
        <f t="shared" ref="T26:T28" si="54">AA26/60</f>
      </c>
      <c r="U26" s="199">
        <f t="shared" si="108"/>
      </c>
      <c r="V26" s="200">
        <f t="shared" si="110"/>
      </c>
      <c r="W26" s="199">
        <f t="shared" si="138"/>
      </c>
      <c r="X26" s="199">
        <f t="shared" si="111"/>
      </c>
      <c r="Y26" s="227">
        <f t="shared" si="7"/>
      </c>
      <c r="Z26" s="217">
        <v>1680</v>
      </c>
      <c r="AA26" s="198">
        <v>80</v>
      </c>
      <c r="AB26" s="198">
        <v>6</v>
      </c>
      <c r="AC26" s="198">
        <v>13</v>
      </c>
      <c r="AD26" s="198">
        <v>0</v>
      </c>
      <c r="AE26" s="228">
        <f t="shared" ref="AE26:AE28" si="21">COUNT(AD26)</f>
      </c>
    </row>
    <row customHeight="true" ht="16.071428571428573" r="27">
      <c r="A27" s="187"/>
      <c r="B27" s="188" t="s">
        <v>136</v>
      </c>
      <c r="C27" s="188" t="s">
        <v>142</v>
      </c>
      <c r="D27" s="203">
        <v>493.78</v>
      </c>
      <c r="E27" s="191">
        <v>0</v>
      </c>
      <c r="F27" s="191">
        <v>0</v>
      </c>
      <c r="G27" s="192">
        <f t="shared" si="46"/>
      </c>
      <c r="H27" s="193">
        <v>0</v>
      </c>
      <c r="I27" s="193">
        <v>0</v>
      </c>
      <c r="J27" s="193">
        <v>0</v>
      </c>
      <c r="K27" s="193">
        <v>0</v>
      </c>
      <c r="L27" s="193">
        <v>0</v>
      </c>
      <c r="M27" s="194">
        <f t="shared" si="84"/>
      </c>
      <c r="N27" s="195">
        <f t="shared" si="136"/>
      </c>
      <c r="O27" s="195">
        <f t="shared" si="137"/>
      </c>
      <c r="P27" s="196">
        <f t="shared" si="6"/>
      </c>
      <c r="Q27" s="192">
        <f t="shared" si="10"/>
      </c>
      <c r="R27" s="197">
        <f t="shared" si="14"/>
      </c>
      <c r="S27" s="197">
        <f t="shared" si="45"/>
      </c>
      <c r="T27" s="198">
        <f t="shared" si="54"/>
      </c>
      <c r="U27" s="199">
        <f t="shared" si="108"/>
      </c>
      <c r="V27" s="200">
        <f t="shared" si="110"/>
      </c>
      <c r="W27" s="199">
        <f t="shared" si="138"/>
      </c>
      <c r="X27" s="199">
        <f t="shared" si="111"/>
      </c>
      <c r="Y27" s="227">
        <f t="shared" si="7"/>
      </c>
      <c r="Z27" s="198">
        <v>2254</v>
      </c>
      <c r="AA27" s="198">
        <v>172</v>
      </c>
      <c r="AB27" s="198">
        <v>8</v>
      </c>
      <c r="AC27" s="198">
        <v>18</v>
      </c>
      <c r="AD27" s="198">
        <v>0</v>
      </c>
      <c r="AE27" s="228">
        <f t="shared" si="21"/>
      </c>
    </row>
    <row r="28">
      <c r="A28" s="187"/>
      <c r="B28" s="188" t="s">
        <v>138</v>
      </c>
      <c r="C28" s="188" t="s">
        <v>142</v>
      </c>
      <c r="D28" s="203">
        <f>652.34+2.26</f>
      </c>
      <c r="E28" s="191">
        <v>2</v>
      </c>
      <c r="F28" s="191">
        <v>1</v>
      </c>
      <c r="G28" s="192">
        <f t="shared" si="46"/>
      </c>
      <c r="H28" s="193">
        <v>2</v>
      </c>
      <c r="I28" s="193">
        <v>1</v>
      </c>
      <c r="J28" s="193">
        <v>1525.1999999999998</v>
      </c>
      <c r="K28" s="193">
        <v>0</v>
      </c>
      <c r="L28" s="193">
        <v>0</v>
      </c>
      <c r="M28" s="194">
        <f t="shared" si="84"/>
      </c>
      <c r="N28" s="195">
        <f t="shared" si="136"/>
      </c>
      <c r="O28" s="195">
        <f t="shared" si="137"/>
      </c>
      <c r="P28" s="196">
        <f t="shared" si="6"/>
      </c>
      <c r="Q28" s="192">
        <f t="shared" si="10"/>
      </c>
      <c r="R28" s="197">
        <f t="shared" si="14"/>
      </c>
      <c r="S28" s="197">
        <f t="shared" si="45"/>
      </c>
      <c r="T28" s="198">
        <f t="shared" si="54"/>
      </c>
      <c r="U28" s="199">
        <f t="shared" si="108"/>
      </c>
      <c r="V28" s="200">
        <f t="shared" si="110"/>
      </c>
      <c r="W28" s="199">
        <f t="shared" si="138"/>
      </c>
      <c r="X28" s="199">
        <f t="shared" si="111"/>
      </c>
      <c r="Y28" s="227">
        <f t="shared" si="7"/>
      </c>
      <c r="Z28" s="217">
        <v>3149</v>
      </c>
      <c r="AA28" s="198">
        <v>190</v>
      </c>
      <c r="AB28" s="198">
        <v>58</v>
      </c>
      <c r="AC28" s="198">
        <v>27</v>
      </c>
      <c r="AD28" s="198">
        <v>2</v>
      </c>
      <c r="AE28" s="228">
        <f t="shared" si="21"/>
      </c>
    </row>
    <row r="29">
      <c r="A29" s="187"/>
      <c r="B29" s="205" t="s">
        <v>137</v>
      </c>
      <c r="C29" s="205"/>
      <c r="D29" s="206">
        <f>SUM(D26:D28)</f>
      </c>
      <c r="E29" s="207">
        <f>SUM(E26:E28)</f>
      </c>
      <c r="F29" s="207">
        <f>SUM(F26:F28)</f>
      </c>
      <c r="G29" s="208">
        <f t="shared" si="46"/>
      </c>
      <c r="H29" s="207">
        <f>SUM(H26:H28)</f>
      </c>
      <c r="I29" s="207">
        <f>SUM(I26:I28)</f>
      </c>
      <c r="J29" s="207">
        <f>SUM(J26:J28)</f>
      </c>
      <c r="K29" s="207">
        <f>SUM(K26:K28)</f>
      </c>
      <c r="L29" s="207">
        <f>SUM(L26:L28)</f>
      </c>
      <c r="M29" s="208">
        <f>SUM(M26:M28)</f>
      </c>
      <c r="N29" s="209">
        <f t="shared" si="136"/>
      </c>
      <c r="O29" s="209">
        <f t="shared" si="137"/>
      </c>
      <c r="P29" s="207">
        <f>SUM(P26:P28)</f>
      </c>
      <c r="Q29" s="208">
        <f t="shared" si="10"/>
      </c>
      <c r="R29" s="210">
        <f t="shared" si="14"/>
      </c>
      <c r="S29" s="210">
        <f t="shared" si="45"/>
      </c>
      <c r="T29" s="211">
        <f>(T28++T27+T26)/3</f>
      </c>
      <c r="U29" s="212">
        <f t="shared" si="108"/>
      </c>
      <c r="V29" s="213">
        <f t="shared" si="110"/>
      </c>
      <c r="W29" s="212">
        <f t="shared" si="138"/>
      </c>
      <c r="X29" s="212">
        <f t="shared" si="111"/>
      </c>
      <c r="Y29" s="212">
        <f t="shared" si="7"/>
      </c>
      <c r="Z29" s="229">
        <f>SUM(Z26:Z28)</f>
      </c>
      <c r="AA29" s="229">
        <f>SUM(AA26:AA28)</f>
      </c>
      <c r="AB29" s="229">
        <f>SUM(AB26:AB28)</f>
      </c>
      <c r="AC29" s="229">
        <f>SUM(AC26:AC28)</f>
      </c>
      <c r="AD29" s="229">
        <f>SUM(AD26:AD28)</f>
      </c>
      <c r="AE29" s="209">
        <f>SUM(AE26:AE28)</f>
      </c>
    </row>
    <row r="30">
      <c r="A30" s="187"/>
      <c r="B30" s="218" t="s">
        <v>144</v>
      </c>
      <c r="C30" s="218"/>
      <c r="D30" s="219">
        <f>D29</f>
      </c>
      <c r="E30" s="222">
        <f>E29</f>
      </c>
      <c r="F30" s="222">
        <f>F29</f>
      </c>
      <c r="G30" s="221">
        <f t="shared" si="46"/>
      </c>
      <c r="H30" s="222">
        <f>H29</f>
      </c>
      <c r="I30" s="222">
        <f>I29</f>
      </c>
      <c r="J30" s="219">
        <f>J29</f>
      </c>
      <c r="K30" s="219">
        <f>K29</f>
      </c>
      <c r="L30" s="219">
        <f>L29</f>
      </c>
      <c r="M30" s="222">
        <f>M29</f>
      </c>
      <c r="N30" s="221">
        <f t="shared" si="136"/>
      </c>
      <c r="O30" s="221">
        <f t="shared" si="137"/>
      </c>
      <c r="P30" s="220">
        <f>P29</f>
      </c>
      <c r="Q30" s="218">
        <f t="shared" si="10"/>
      </c>
      <c r="R30" s="223">
        <f t="shared" si="14"/>
      </c>
      <c r="S30" s="223">
        <f t="shared" si="45"/>
      </c>
      <c r="T30" s="222">
        <f>T29</f>
      </c>
      <c r="U30" s="225">
        <f t="shared" si="108"/>
      </c>
      <c r="V30" s="226">
        <f t="shared" si="110"/>
      </c>
      <c r="W30" s="225">
        <f t="shared" si="138"/>
      </c>
      <c r="X30" s="225">
        <f t="shared" si="111"/>
      </c>
      <c r="Y30" s="225">
        <f t="shared" si="7"/>
      </c>
      <c r="Z30" s="219">
        <f>Z29</f>
      </c>
      <c r="AA30" s="219">
        <f>AA29</f>
      </c>
      <c r="AB30" s="219">
        <f>AB29</f>
      </c>
      <c r="AC30" s="219">
        <f>AC29</f>
      </c>
      <c r="AD30" s="219">
        <f>AD29</f>
      </c>
      <c r="AE30" s="219">
        <f>AE29</f>
      </c>
    </row>
    <row r="31">
      <c r="A31" s="187">
        <v>46226</v>
      </c>
      <c r="B31" s="188" t="s">
        <v>135</v>
      </c>
      <c r="C31" s="189" t="s">
        <v>142</v>
      </c>
      <c r="D31" s="190">
        <v>1201.04</v>
      </c>
      <c r="E31" s="191">
        <v>1</v>
      </c>
      <c r="F31" s="191">
        <v>0</v>
      </c>
      <c r="G31" s="192">
        <f t="shared" si="46"/>
      </c>
      <c r="H31" s="193">
        <v>1</v>
      </c>
      <c r="I31" s="193">
        <v>0</v>
      </c>
      <c r="J31" s="193">
        <v>0</v>
      </c>
      <c r="K31" s="193">
        <v>0</v>
      </c>
      <c r="L31" s="193">
        <v>0</v>
      </c>
      <c r="M31" s="194">
        <f t="shared" ref="M31:M32" si="85">K31+I31</f>
      </c>
      <c r="N31" s="195">
        <f t="shared" si="136"/>
      </c>
      <c r="O31" s="195">
        <f t="shared" si="137"/>
      </c>
      <c r="P31" s="196">
        <f t="shared" ref="P31:P32" si="113">J31+L31</f>
      </c>
      <c r="Q31" s="192">
        <f t="shared" si="10"/>
      </c>
      <c r="R31" s="197">
        <f t="shared" si="14"/>
      </c>
      <c r="S31" s="197">
        <f t="shared" si="45"/>
      </c>
      <c r="T31" s="198">
        <f t="shared" ref="T31:T32" si="55">AA31/60</f>
      </c>
      <c r="U31" s="199">
        <f t="shared" si="108"/>
      </c>
      <c r="V31" s="200">
        <f t="shared" si="110"/>
      </c>
      <c r="W31" s="199">
        <f t="shared" si="138"/>
      </c>
      <c r="X31" s="199">
        <f t="shared" si="111"/>
      </c>
      <c r="Y31" s="227">
        <f t="shared" si="7"/>
      </c>
      <c r="Z31" s="217">
        <v>6280</v>
      </c>
      <c r="AA31" s="198">
        <v>179</v>
      </c>
      <c r="AB31" s="198">
        <v>22</v>
      </c>
      <c r="AC31" s="198">
        <v>31</v>
      </c>
      <c r="AD31" s="198">
        <v>1</v>
      </c>
      <c r="AE31" s="228">
        <f t="shared" ref="AE31:AE32" si="22">COUNT(AD31)</f>
      </c>
    </row>
    <row r="32">
      <c r="A32" s="187"/>
      <c r="B32" s="188" t="s">
        <v>136</v>
      </c>
      <c r="C32" s="189" t="s">
        <v>142</v>
      </c>
      <c r="D32" s="203">
        <v>2714.93</v>
      </c>
      <c r="E32" s="191">
        <v>0</v>
      </c>
      <c r="F32" s="191">
        <v>0</v>
      </c>
      <c r="G32" s="192">
        <f t="shared" si="46"/>
      </c>
      <c r="H32" s="193">
        <v>0</v>
      </c>
      <c r="I32" s="193">
        <v>0</v>
      </c>
      <c r="J32" s="193">
        <v>0</v>
      </c>
      <c r="K32" s="193">
        <v>0</v>
      </c>
      <c r="L32" s="193">
        <v>0</v>
      </c>
      <c r="M32" s="194">
        <f t="shared" si="85"/>
      </c>
      <c r="N32" s="195">
        <f t="shared" si="136"/>
      </c>
      <c r="O32" s="195">
        <f t="shared" si="137"/>
      </c>
      <c r="P32" s="196">
        <f t="shared" si="113"/>
      </c>
      <c r="Q32" s="192">
        <f t="shared" si="10"/>
      </c>
      <c r="R32" s="197">
        <f t="shared" si="14"/>
      </c>
      <c r="S32" s="197">
        <f t="shared" si="45"/>
      </c>
      <c r="T32" s="198">
        <f t="shared" si="55"/>
      </c>
      <c r="U32" s="199">
        <f t="shared" si="108"/>
      </c>
      <c r="V32" s="200">
        <f t="shared" si="110"/>
      </c>
      <c r="W32" s="199">
        <f t="shared" si="138"/>
      </c>
      <c r="X32" s="199">
        <f t="shared" si="111"/>
      </c>
      <c r="Y32" s="227">
        <f t="shared" si="7"/>
      </c>
      <c r="Z32" s="217">
        <v>9484</v>
      </c>
      <c r="AA32" s="217">
        <v>351</v>
      </c>
      <c r="AB32" s="198">
        <v>49</v>
      </c>
      <c r="AC32" s="198">
        <v>67</v>
      </c>
      <c r="AD32" s="198">
        <v>0</v>
      </c>
      <c r="AE32" s="228">
        <f t="shared" si="22"/>
      </c>
    </row>
    <row r="33">
      <c r="A33" s="187"/>
      <c r="B33" s="205" t="s">
        <v>137</v>
      </c>
      <c r="C33" s="205"/>
      <c r="D33" s="206">
        <f>SUM(D31:D32)</f>
      </c>
      <c r="E33" s="207">
        <f>SUM(E31:E32)</f>
      </c>
      <c r="F33" s="207">
        <f>SUM(F31:F32)</f>
      </c>
      <c r="G33" s="208">
        <f t="shared" si="46"/>
      </c>
      <c r="H33" s="207">
        <f>SUM(H31:H32)</f>
      </c>
      <c r="I33" s="207">
        <f>SUM(I31:I32)</f>
      </c>
      <c r="J33" s="207">
        <f>SUM(J31:J32)</f>
      </c>
      <c r="K33" s="207">
        <f>SUM(K31:K32)</f>
      </c>
      <c r="L33" s="207">
        <f>SUM(L31:L32)</f>
      </c>
      <c r="M33" s="208">
        <f>SUM(M31:M32)</f>
      </c>
      <c r="N33" s="209">
        <f t="shared" si="136"/>
      </c>
      <c r="O33" s="209">
        <f t="shared" si="137"/>
      </c>
      <c r="P33" s="207">
        <f>SUM(P31:P32)</f>
      </c>
      <c r="Q33" s="208">
        <f t="shared" si="10"/>
      </c>
      <c r="R33" s="210">
        <f t="shared" si="14"/>
      </c>
      <c r="S33" s="210">
        <f t="shared" si="45"/>
      </c>
      <c r="T33" s="211">
        <f>(T32+T31)/2</f>
      </c>
      <c r="U33" s="212">
        <f t="shared" si="108"/>
      </c>
      <c r="V33" s="213">
        <f t="shared" si="110"/>
      </c>
      <c r="W33" s="212">
        <f t="shared" si="138"/>
      </c>
      <c r="X33" s="212">
        <f t="shared" si="111"/>
      </c>
      <c r="Y33" s="212">
        <f t="shared" si="7"/>
      </c>
      <c r="Z33" s="229">
        <f>SUM(Z31:Z32)</f>
      </c>
      <c r="AA33" s="229">
        <f>SUM(AA31:AA32)</f>
      </c>
      <c r="AB33" s="229">
        <f>SUM(AB31:AB32)</f>
      </c>
      <c r="AC33" s="229">
        <f>SUM(AC31:AC32)</f>
      </c>
      <c r="AD33" s="229">
        <f>SUM(AD31:AD32)</f>
      </c>
      <c r="AE33" s="209">
        <f>SUM(AE31:AE32)</f>
      </c>
    </row>
    <row r="34">
      <c r="A34" s="187"/>
      <c r="B34" s="188" t="s">
        <v>138</v>
      </c>
      <c r="C34" s="189" t="s">
        <v>145</v>
      </c>
      <c r="D34" s="203">
        <v>2547.42</v>
      </c>
      <c r="E34" s="191">
        <v>5</v>
      </c>
      <c r="F34" s="191">
        <v>4</v>
      </c>
      <c r="G34" s="195">
        <f t="shared" si="46"/>
      </c>
      <c r="H34" s="193">
        <v>6</v>
      </c>
      <c r="I34" s="193">
        <v>2</v>
      </c>
      <c r="J34" s="193">
        <v>1647.6000000000001</v>
      </c>
      <c r="K34" s="193">
        <v>2</v>
      </c>
      <c r="L34" s="193">
        <v>5424</v>
      </c>
      <c r="M34" s="194">
        <f t="shared" ref="M34:M35" si="86">K34+I34</f>
      </c>
      <c r="N34" s="195">
        <f t="shared" si="136"/>
      </c>
      <c r="O34" s="195">
        <f t="shared" si="137"/>
      </c>
      <c r="P34" s="196">
        <f t="shared" ref="P34:P35" si="114">J34+L34</f>
      </c>
      <c r="Q34" s="192">
        <f t="shared" si="10"/>
      </c>
      <c r="R34" s="197">
        <f t="shared" si="14"/>
      </c>
      <c r="S34" s="197">
        <f t="shared" si="45"/>
      </c>
      <c r="T34" s="214">
        <f t="shared" ref="T34:T35" si="56">AA34/60</f>
      </c>
      <c r="U34" s="199">
        <f t="shared" si="108"/>
      </c>
      <c r="V34" s="200">
        <f t="shared" si="110"/>
      </c>
      <c r="W34" s="199">
        <f t="shared" si="138"/>
      </c>
      <c r="X34" s="199">
        <f t="shared" si="111"/>
      </c>
      <c r="Y34" s="227">
        <f t="shared" si="7"/>
      </c>
      <c r="Z34" s="217">
        <v>8297</v>
      </c>
      <c r="AA34" s="217">
        <v>410</v>
      </c>
      <c r="AB34" s="198">
        <v>67</v>
      </c>
      <c r="AC34" s="198">
        <v>44</v>
      </c>
      <c r="AD34" s="198">
        <v>6</v>
      </c>
      <c r="AE34" s="228">
        <f t="shared" ref="AE34:AE35" si="23">COUNT(AD34)</f>
      </c>
    </row>
    <row r="35">
      <c r="A35" s="187"/>
      <c r="B35" s="188" t="s">
        <v>140</v>
      </c>
      <c r="C35" s="189" t="s">
        <v>145</v>
      </c>
      <c r="D35" s="203">
        <v>4178.82</v>
      </c>
      <c r="E35" s="191">
        <v>4</v>
      </c>
      <c r="F35" s="191">
        <v>2</v>
      </c>
      <c r="G35" s="195">
        <f t="shared" si="46"/>
      </c>
      <c r="H35" s="193">
        <v>4</v>
      </c>
      <c r="I35" s="193">
        <v>1</v>
      </c>
      <c r="J35" s="193">
        <v>720.0000000000002</v>
      </c>
      <c r="K35" s="193">
        <v>1</v>
      </c>
      <c r="L35" s="193">
        <v>1419.5999999999995</v>
      </c>
      <c r="M35" s="194">
        <f t="shared" si="86"/>
      </c>
      <c r="N35" s="195">
        <f t="shared" si="136"/>
      </c>
      <c r="O35" s="195">
        <f t="shared" si="137"/>
      </c>
      <c r="P35" s="196">
        <f t="shared" si="114"/>
      </c>
      <c r="Q35" s="192">
        <f t="shared" si="10"/>
      </c>
      <c r="R35" s="197">
        <f t="shared" si="14"/>
      </c>
      <c r="S35" s="197">
        <f t="shared" si="45"/>
      </c>
      <c r="T35" s="214">
        <f t="shared" si="56"/>
      </c>
      <c r="U35" s="199">
        <f t="shared" si="108"/>
      </c>
      <c r="V35" s="200">
        <f t="shared" si="110"/>
      </c>
      <c r="W35" s="199">
        <f t="shared" si="138"/>
      </c>
      <c r="X35" s="199">
        <f t="shared" si="111"/>
      </c>
      <c r="Y35" s="227">
        <f t="shared" si="7"/>
      </c>
      <c r="Z35" s="217">
        <v>17395</v>
      </c>
      <c r="AA35" s="198">
        <v>647</v>
      </c>
      <c r="AB35" s="198">
        <v>73</v>
      </c>
      <c r="AC35" s="198">
        <v>83</v>
      </c>
      <c r="AD35" s="198">
        <v>4</v>
      </c>
      <c r="AE35" s="228">
        <f t="shared" si="23"/>
      </c>
    </row>
    <row r="36">
      <c r="A36" s="187"/>
      <c r="B36" s="205" t="s">
        <v>137</v>
      </c>
      <c r="C36" s="205"/>
      <c r="D36" s="206">
        <f>SUM(D34:D35)</f>
      </c>
      <c r="E36" s="207">
        <f>SUM(E34:E35)</f>
      </c>
      <c r="F36" s="207">
        <f>SUM(F34:F35)</f>
      </c>
      <c r="G36" s="209">
        <f t="shared" si="46"/>
      </c>
      <c r="H36" s="207">
        <f>SUM(H34:H35)</f>
      </c>
      <c r="I36" s="207">
        <f>SUM(I34:I35)</f>
      </c>
      <c r="J36" s="207">
        <f>SUM(J34:J35)</f>
      </c>
      <c r="K36" s="207">
        <f>SUM(K34:K35)</f>
      </c>
      <c r="L36" s="207">
        <f>SUM(L34:L35)</f>
      </c>
      <c r="M36" s="208">
        <f>SUM(M34:M35)</f>
      </c>
      <c r="N36" s="209">
        <f t="shared" si="136"/>
      </c>
      <c r="O36" s="209">
        <f t="shared" si="137"/>
      </c>
      <c r="P36" s="207">
        <f>SUM(P34:P35)</f>
      </c>
      <c r="Q36" s="208">
        <f t="shared" si="10"/>
      </c>
      <c r="R36" s="210">
        <f t="shared" si="14"/>
      </c>
      <c r="S36" s="210">
        <f t="shared" si="45"/>
      </c>
      <c r="T36" s="211">
        <f>(T35+T34)/2</f>
      </c>
      <c r="U36" s="215">
        <f t="shared" si="108"/>
      </c>
      <c r="V36" s="215">
        <f t="shared" si="110"/>
      </c>
      <c r="W36" s="215">
        <f t="shared" si="138"/>
      </c>
      <c r="X36" s="215">
        <f t="shared" si="111"/>
      </c>
      <c r="Y36" s="215">
        <f t="shared" si="7"/>
      </c>
      <c r="Z36" s="230">
        <f>SUM(Z34:Z35)</f>
      </c>
      <c r="AA36" s="230">
        <f>SUM(AA34:AA35)</f>
      </c>
      <c r="AB36" s="230">
        <f>SUM(AB34:AB35)</f>
      </c>
      <c r="AC36" s="230">
        <f>SUM(AC34:AC35)</f>
      </c>
      <c r="AD36" s="230">
        <f>SUM(AD34:AD35)</f>
      </c>
      <c r="AE36" s="209">
        <f>SUM(AE34:AE35)</f>
      </c>
    </row>
    <row r="37">
      <c r="A37" s="187"/>
      <c r="B37" s="189" t="s">
        <v>141</v>
      </c>
      <c r="C37" s="189" t="s">
        <v>139</v>
      </c>
      <c r="D37" s="203">
        <v>3570.36</v>
      </c>
      <c r="E37" s="191">
        <v>2</v>
      </c>
      <c r="F37" s="191">
        <v>1</v>
      </c>
      <c r="G37" s="192">
        <f t="shared" si="46"/>
      </c>
      <c r="H37" s="216">
        <v>2</v>
      </c>
      <c r="I37" s="216">
        <v>1</v>
      </c>
      <c r="J37" s="193">
        <v>1101.6</v>
      </c>
      <c r="K37" s="216">
        <v>0</v>
      </c>
      <c r="L37" s="193">
        <v>0</v>
      </c>
      <c r="M37" s="194">
        <f t="shared" ref="M37:M40" si="87">K37+I37</f>
      </c>
      <c r="N37" s="195">
        <f t="shared" si="136"/>
      </c>
      <c r="O37" s="195">
        <f t="shared" si="137"/>
      </c>
      <c r="P37" s="196">
        <f t="shared" ref="P37:P40" si="115">J37+L37</f>
      </c>
      <c r="Q37" s="192">
        <f t="shared" si="10"/>
      </c>
      <c r="R37" s="197">
        <f t="shared" si="14"/>
      </c>
      <c r="S37" s="197">
        <f t="shared" si="45"/>
      </c>
      <c r="T37" s="214">
        <f t="shared" ref="T37:T40" si="57">AA37/60</f>
      </c>
      <c r="U37" s="199">
        <f t="shared" si="108"/>
      </c>
      <c r="V37" s="200">
        <f t="shared" si="110"/>
      </c>
      <c r="W37" s="199">
        <f t="shared" si="138"/>
      </c>
      <c r="X37" s="199">
        <f t="shared" si="111"/>
      </c>
      <c r="Y37" s="199">
        <f t="shared" si="7"/>
      </c>
      <c r="Z37" s="198">
        <v>17800</v>
      </c>
      <c r="AA37" s="217">
        <v>671</v>
      </c>
      <c r="AB37" s="198">
        <v>27</v>
      </c>
      <c r="AC37" s="198">
        <v>68</v>
      </c>
      <c r="AD37" s="204">
        <v>2</v>
      </c>
      <c r="AE37" s="202">
        <f t="shared" ref="AE37:AE40" si="24">COUNT(AD37)</f>
      </c>
    </row>
    <row customHeight="true" ht="16.071428571428573" r="38">
      <c r="A38" s="187"/>
      <c r="B38" s="189" t="s">
        <v>143</v>
      </c>
      <c r="C38" s="189" t="s">
        <v>139</v>
      </c>
      <c r="D38" s="203">
        <v>2618.13</v>
      </c>
      <c r="E38" s="191">
        <v>0</v>
      </c>
      <c r="F38" s="191">
        <v>0</v>
      </c>
      <c r="G38" s="192">
        <f t="shared" si="46"/>
      </c>
      <c r="H38" s="216">
        <v>0</v>
      </c>
      <c r="I38" s="216">
        <v>0</v>
      </c>
      <c r="J38" s="193">
        <v>0</v>
      </c>
      <c r="K38" s="216">
        <v>0</v>
      </c>
      <c r="L38" s="193">
        <v>0</v>
      </c>
      <c r="M38" s="194">
        <f t="shared" si="87"/>
      </c>
      <c r="N38" s="195">
        <f t="shared" si="136"/>
      </c>
      <c r="O38" s="195">
        <f t="shared" si="137"/>
      </c>
      <c r="P38" s="196">
        <f t="shared" si="115"/>
      </c>
      <c r="Q38" s="192">
        <f t="shared" si="10"/>
      </c>
      <c r="R38" s="197">
        <f t="shared" si="14"/>
      </c>
      <c r="S38" s="197">
        <f t="shared" si="45"/>
      </c>
      <c r="T38" s="214">
        <f t="shared" si="57"/>
      </c>
      <c r="U38" s="199">
        <f t="shared" si="108"/>
      </c>
      <c r="V38" s="200">
        <f t="shared" si="110"/>
      </c>
      <c r="W38" s="199">
        <f t="shared" si="138"/>
      </c>
      <c r="X38" s="199">
        <f t="shared" si="111"/>
      </c>
      <c r="Y38" s="199">
        <f t="shared" si="7"/>
      </c>
      <c r="Z38" s="217">
        <v>13088</v>
      </c>
      <c r="AA38" s="217">
        <v>689</v>
      </c>
      <c r="AB38" s="198">
        <v>20</v>
      </c>
      <c r="AC38" s="231">
        <v>29</v>
      </c>
      <c r="AD38" s="198">
        <v>0</v>
      </c>
      <c r="AE38" s="228">
        <f t="shared" si="24"/>
      </c>
    </row>
    <row customHeight="true" ht="16.071428571428573" r="39">
      <c r="A39" s="187"/>
      <c r="B39" s="189" t="s">
        <v>146</v>
      </c>
      <c r="C39" s="189" t="s">
        <v>139</v>
      </c>
      <c r="D39" s="203">
        <v>1956.78</v>
      </c>
      <c r="E39" s="191">
        <v>4</v>
      </c>
      <c r="F39" s="191">
        <v>1</v>
      </c>
      <c r="G39" s="192">
        <f t="shared" si="46"/>
      </c>
      <c r="H39" s="216">
        <v>5</v>
      </c>
      <c r="I39" s="216">
        <v>0</v>
      </c>
      <c r="J39" s="193">
        <v>0</v>
      </c>
      <c r="K39" s="216">
        <v>1</v>
      </c>
      <c r="L39" s="193">
        <v>1586.4000000000005</v>
      </c>
      <c r="M39" s="194">
        <f t="shared" si="87"/>
      </c>
      <c r="N39" s="195">
        <f t="shared" si="136"/>
      </c>
      <c r="O39" s="195">
        <f t="shared" si="137"/>
      </c>
      <c r="P39" s="196">
        <f t="shared" si="115"/>
      </c>
      <c r="Q39" s="192">
        <f t="shared" si="10"/>
      </c>
      <c r="R39" s="197">
        <f t="shared" si="14"/>
      </c>
      <c r="S39" s="197">
        <f t="shared" si="45"/>
      </c>
      <c r="T39" s="214">
        <f t="shared" si="57"/>
      </c>
      <c r="U39" s="199">
        <f t="shared" si="108"/>
      </c>
      <c r="V39" s="200">
        <f t="shared" si="110"/>
      </c>
      <c r="W39" s="199">
        <f t="shared" si="138"/>
      </c>
      <c r="X39" s="199">
        <f t="shared" si="111"/>
      </c>
      <c r="Y39" s="199">
        <f t="shared" si="7"/>
      </c>
      <c r="Z39" s="217">
        <v>8414</v>
      </c>
      <c r="AA39" s="217">
        <v>793</v>
      </c>
      <c r="AB39" s="198">
        <v>57</v>
      </c>
      <c r="AC39" s="231">
        <v>48</v>
      </c>
      <c r="AD39" s="198">
        <v>5</v>
      </c>
      <c r="AE39" s="228">
        <f t="shared" si="24"/>
      </c>
    </row>
    <row r="40">
      <c r="A40" s="187"/>
      <c r="B40" s="188" t="s">
        <v>147</v>
      </c>
      <c r="C40" s="189" t="s">
        <v>139</v>
      </c>
      <c r="D40" s="203">
        <v>1367.13</v>
      </c>
      <c r="E40" s="191">
        <v>3</v>
      </c>
      <c r="F40" s="191">
        <v>2</v>
      </c>
      <c r="G40" s="192">
        <f t="shared" si="46"/>
      </c>
      <c r="H40" s="216">
        <v>3</v>
      </c>
      <c r="I40" s="216">
        <v>2</v>
      </c>
      <c r="J40" s="216">
        <v>1369.2000000000003</v>
      </c>
      <c r="K40" s="216">
        <v>0</v>
      </c>
      <c r="L40" s="216">
        <v>0</v>
      </c>
      <c r="M40" s="194">
        <f t="shared" si="87"/>
      </c>
      <c r="N40" s="195">
        <f t="shared" si="136"/>
      </c>
      <c r="O40" s="195">
        <f t="shared" si="137"/>
      </c>
      <c r="P40" s="196">
        <f t="shared" si="115"/>
      </c>
      <c r="Q40" s="192">
        <f t="shared" si="10"/>
      </c>
      <c r="R40" s="197">
        <f t="shared" si="14"/>
      </c>
      <c r="S40" s="197">
        <f t="shared" si="45"/>
      </c>
      <c r="T40" s="214">
        <f t="shared" si="57"/>
      </c>
      <c r="U40" s="199">
        <f t="shared" si="108"/>
      </c>
      <c r="V40" s="200">
        <f t="shared" si="110"/>
      </c>
      <c r="W40" s="199">
        <f t="shared" si="138"/>
      </c>
      <c r="X40" s="199">
        <f t="shared" si="111"/>
      </c>
      <c r="Y40" s="199">
        <f t="shared" si="7"/>
      </c>
      <c r="Z40" s="217">
        <v>8169</v>
      </c>
      <c r="AA40" s="217">
        <v>806</v>
      </c>
      <c r="AB40" s="198">
        <v>31</v>
      </c>
      <c r="AC40" s="231">
        <v>51</v>
      </c>
      <c r="AD40" s="198">
        <v>3</v>
      </c>
      <c r="AE40" s="228">
        <f t="shared" si="24"/>
      </c>
    </row>
    <row r="41">
      <c r="A41" s="187"/>
      <c r="B41" s="205" t="s">
        <v>137</v>
      </c>
      <c r="C41" s="205"/>
      <c r="D41" s="206">
        <f>SUM(D37:D40)</f>
      </c>
      <c r="E41" s="207">
        <f>SUM(E37:E40)</f>
      </c>
      <c r="F41" s="207">
        <f>SUM(F37:F40)</f>
      </c>
      <c r="G41" s="208">
        <f t="shared" si="46"/>
      </c>
      <c r="H41" s="207">
        <f>SUM(H37:H40)</f>
      </c>
      <c r="I41" s="207">
        <f>SUM(I37:I40)</f>
      </c>
      <c r="J41" s="207">
        <f>SUM(J37:J40)</f>
      </c>
      <c r="K41" s="207">
        <f>SUM(K37:K40)</f>
      </c>
      <c r="L41" s="207">
        <f>SUM(L37:L40)</f>
      </c>
      <c r="M41" s="208">
        <f>SUM(M37:M40)</f>
      </c>
      <c r="N41" s="209">
        <f t="shared" si="136"/>
      </c>
      <c r="O41" s="209">
        <f t="shared" si="137"/>
      </c>
      <c r="P41" s="207">
        <f>SUM(P37:P40)</f>
      </c>
      <c r="Q41" s="208">
        <f t="shared" si="10"/>
      </c>
      <c r="R41" s="210">
        <f t="shared" si="14"/>
      </c>
      <c r="S41" s="210">
        <f t="shared" si="45"/>
      </c>
      <c r="T41" s="211">
        <f>(T40+T39+T38+T37)/4</f>
      </c>
      <c r="U41" s="212">
        <f t="shared" si="108"/>
      </c>
      <c r="V41" s="213">
        <f t="shared" si="110"/>
      </c>
      <c r="W41" s="212">
        <f t="shared" si="138"/>
      </c>
      <c r="X41" s="212">
        <f t="shared" si="111"/>
      </c>
      <c r="Y41" s="212">
        <f t="shared" si="7"/>
      </c>
      <c r="Z41" s="209">
        <f>SUM(Z37:Z40)</f>
      </c>
      <c r="AA41" s="209">
        <f>SUM(AA37:AA40)</f>
      </c>
      <c r="AB41" s="209">
        <f>SUM(AB37:AB40)</f>
      </c>
      <c r="AC41" s="209">
        <f>SUM(AC37:AC40)</f>
      </c>
      <c r="AD41" s="230">
        <f>SUM(AD37:AD40)</f>
      </c>
      <c r="AE41" s="209">
        <f>SUM(AE37:AE40)</f>
      </c>
    </row>
    <row r="42">
      <c r="A42" s="187"/>
      <c r="B42" s="218" t="s">
        <v>144</v>
      </c>
      <c r="C42" s="218"/>
      <c r="D42" s="219">
        <f>D41+D36+D33</f>
      </c>
      <c r="E42" s="220">
        <f>E41+E36+E33</f>
      </c>
      <c r="F42" s="220">
        <f>F41+F36+F33</f>
      </c>
      <c r="G42" s="221">
        <f t="shared" si="46"/>
      </c>
      <c r="H42" s="220">
        <f>H41+H36+H33</f>
      </c>
      <c r="I42" s="220">
        <f>I41+I36+I33</f>
      </c>
      <c r="J42" s="220">
        <f>J41+J36+J33</f>
      </c>
      <c r="K42" s="220">
        <f>K41+K36+K33</f>
      </c>
      <c r="L42" s="220">
        <f>L41+L36+L33</f>
      </c>
      <c r="M42" s="222">
        <f>M41+M36+M33</f>
      </c>
      <c r="N42" s="221">
        <f t="shared" si="136"/>
      </c>
      <c r="O42" s="221">
        <f t="shared" si="137"/>
      </c>
      <c r="P42" s="220">
        <f>P41+P36+P33</f>
      </c>
      <c r="Q42" s="221">
        <f t="shared" si="10"/>
      </c>
      <c r="R42" s="223">
        <f t="shared" si="14"/>
      </c>
      <c r="S42" s="223">
        <f t="shared" si="45"/>
      </c>
      <c r="T42" s="224">
        <f>(T41+T36+T33)/3</f>
      </c>
      <c r="U42" s="225">
        <f t="shared" si="108"/>
      </c>
      <c r="V42" s="226">
        <f t="shared" si="110"/>
      </c>
      <c r="W42" s="225">
        <f t="shared" si="138"/>
      </c>
      <c r="X42" s="225">
        <f t="shared" si="111"/>
      </c>
      <c r="Y42" s="225">
        <f t="shared" si="7"/>
      </c>
      <c r="Z42" s="222">
        <f>Z41+Z36+Z33</f>
      </c>
      <c r="AA42" s="222">
        <f>AA41+AA36+AA33</f>
      </c>
      <c r="AB42" s="222">
        <f>AB41+AB36+AB33</f>
      </c>
      <c r="AC42" s="222">
        <f>AC41+AC36+AC33</f>
      </c>
      <c r="AD42" s="222">
        <f>AD41+AD36+AD33</f>
      </c>
      <c r="AE42" s="222">
        <f>AE41+AE36+AE33</f>
      </c>
    </row>
    <row r="43">
      <c r="A43" s="187">
        <v>46227</v>
      </c>
      <c r="B43" s="188" t="s">
        <v>135</v>
      </c>
      <c r="C43" s="189" t="s">
        <v>145</v>
      </c>
      <c r="D43" s="203">
        <v>2804.16</v>
      </c>
      <c r="E43" s="191">
        <v>6</v>
      </c>
      <c r="F43" s="191">
        <v>3</v>
      </c>
      <c r="G43" s="195">
        <f t="shared" si="46"/>
      </c>
      <c r="H43" s="193">
        <v>6</v>
      </c>
      <c r="I43" s="193">
        <v>1</v>
      </c>
      <c r="J43" s="193">
        <v>720</v>
      </c>
      <c r="K43" s="193">
        <v>2</v>
      </c>
      <c r="L43" s="193">
        <v>1453.1999999999998</v>
      </c>
      <c r="M43" s="194">
        <f t="shared" ref="M43:M46" si="88">K43+I43</f>
      </c>
      <c r="N43" s="195">
        <f t="shared" si="136"/>
      </c>
      <c r="O43" s="195">
        <f t="shared" si="137"/>
      </c>
      <c r="P43" s="196">
        <f t="shared" ref="P43:P46" si="116">J43+L43</f>
      </c>
      <c r="Q43" s="192">
        <f t="shared" si="10"/>
      </c>
      <c r="R43" s="197">
        <f t="shared" si="14"/>
      </c>
      <c r="S43" s="197">
        <f t="shared" si="45"/>
      </c>
      <c r="T43" s="214">
        <f t="shared" ref="T43:T46" si="58">AA43/60</f>
      </c>
      <c r="U43" s="199">
        <f t="shared" si="108"/>
      </c>
      <c r="V43" s="200">
        <f t="shared" si="110"/>
      </c>
      <c r="W43" s="199">
        <f t="shared" si="138"/>
      </c>
      <c r="X43" s="199">
        <f t="shared" si="111"/>
      </c>
      <c r="Y43" s="227">
        <f t="shared" si="7"/>
      </c>
      <c r="Z43" s="217">
        <v>11908</v>
      </c>
      <c r="AA43" s="217">
        <v>426</v>
      </c>
      <c r="AB43" s="198">
        <v>59</v>
      </c>
      <c r="AC43" s="198">
        <v>65</v>
      </c>
      <c r="AD43" s="198">
        <v>6</v>
      </c>
      <c r="AE43" s="228">
        <f t="shared" ref="AE43:AE46" si="25">COUNT(AD43)</f>
      </c>
    </row>
    <row customHeight="true" ht="16.071428571428573" r="44">
      <c r="A44" s="187"/>
      <c r="B44" s="188" t="s">
        <v>136</v>
      </c>
      <c r="C44" s="189" t="s">
        <v>145</v>
      </c>
      <c r="D44" s="232">
        <v>2359.34</v>
      </c>
      <c r="E44" s="233">
        <v>1</v>
      </c>
      <c r="F44" s="233">
        <v>1</v>
      </c>
      <c r="G44" s="234">
        <f t="shared" si="46"/>
      </c>
      <c r="H44" s="235">
        <v>3</v>
      </c>
      <c r="I44" s="235">
        <v>2</v>
      </c>
      <c r="J44" s="235">
        <v>2648.3999999999996</v>
      </c>
      <c r="K44" s="235">
        <v>0</v>
      </c>
      <c r="L44" s="235">
        <v>0</v>
      </c>
      <c r="M44" s="236">
        <f t="shared" si="88"/>
      </c>
      <c r="N44" s="234">
        <f t="shared" si="136"/>
      </c>
      <c r="O44" s="234">
        <f t="shared" si="137"/>
      </c>
      <c r="P44" s="237">
        <f t="shared" si="116"/>
      </c>
      <c r="Q44" s="237">
        <f t="shared" si="10"/>
      </c>
      <c r="R44" s="238">
        <f t="shared" si="14"/>
      </c>
      <c r="S44" s="238">
        <f t="shared" si="45"/>
      </c>
      <c r="T44" s="239">
        <f t="shared" si="58"/>
      </c>
      <c r="U44" s="240">
        <f t="shared" si="108"/>
      </c>
      <c r="V44" s="240">
        <f t="shared" si="110"/>
      </c>
      <c r="W44" s="240">
        <f t="shared" si="138"/>
      </c>
      <c r="X44" s="240">
        <f t="shared" si="111"/>
      </c>
      <c r="Y44" s="241">
        <f t="shared" si="7"/>
      </c>
      <c r="Z44" s="202">
        <v>7514</v>
      </c>
      <c r="AA44" s="202">
        <v>308</v>
      </c>
      <c r="AB44" s="242">
        <v>46</v>
      </c>
      <c r="AC44" s="242">
        <v>50</v>
      </c>
      <c r="AD44" s="242">
        <v>3</v>
      </c>
      <c r="AE44" s="228">
        <f t="shared" si="25"/>
      </c>
    </row>
    <row customHeight="true" ht="16.071428571428573" r="45">
      <c r="A45" s="187"/>
      <c r="B45" s="188" t="s">
        <v>138</v>
      </c>
      <c r="C45" s="189" t="s">
        <v>145</v>
      </c>
      <c r="D45" s="190">
        <v>2683.08</v>
      </c>
      <c r="E45" s="191">
        <v>6</v>
      </c>
      <c r="F45" s="191">
        <v>1</v>
      </c>
      <c r="G45" s="195">
        <f t="shared" si="46"/>
      </c>
      <c r="H45" s="193">
        <v>7</v>
      </c>
      <c r="I45" s="193">
        <v>2</v>
      </c>
      <c r="J45" s="193">
        <v>3375.6000000000004</v>
      </c>
      <c r="K45" s="193">
        <v>1</v>
      </c>
      <c r="L45" s="193">
        <v>2712.000000000001</v>
      </c>
      <c r="M45" s="194">
        <f t="shared" si="88"/>
      </c>
      <c r="N45" s="195">
        <f t="shared" si="136"/>
      </c>
      <c r="O45" s="195">
        <f t="shared" si="137"/>
      </c>
      <c r="P45" s="196">
        <f t="shared" si="116"/>
      </c>
      <c r="Q45" s="192">
        <f t="shared" si="10"/>
      </c>
      <c r="R45" s="197">
        <f t="shared" si="14"/>
      </c>
      <c r="S45" s="197">
        <f t="shared" si="45"/>
      </c>
      <c r="T45" s="214">
        <f t="shared" si="58"/>
      </c>
      <c r="U45" s="199">
        <f t="shared" si="108"/>
      </c>
      <c r="V45" s="200">
        <f t="shared" si="110"/>
      </c>
      <c r="W45" s="199">
        <f t="shared" si="138"/>
      </c>
      <c r="X45" s="199">
        <f t="shared" si="111"/>
      </c>
      <c r="Y45" s="227">
        <f t="shared" si="7"/>
      </c>
      <c r="Z45" s="217">
        <v>10480</v>
      </c>
      <c r="AA45" s="198">
        <v>315</v>
      </c>
      <c r="AB45" s="198">
        <v>66</v>
      </c>
      <c r="AC45" s="198">
        <v>64</v>
      </c>
      <c r="AD45" s="198">
        <v>7</v>
      </c>
      <c r="AE45" s="228">
        <f t="shared" si="25"/>
      </c>
    </row>
    <row r="46">
      <c r="A46" s="187"/>
      <c r="B46" s="188" t="s">
        <v>140</v>
      </c>
      <c r="C46" s="189" t="s">
        <v>145</v>
      </c>
      <c r="D46" s="203">
        <v>2865.19</v>
      </c>
      <c r="E46" s="191">
        <v>5</v>
      </c>
      <c r="F46" s="191">
        <v>3</v>
      </c>
      <c r="G46" s="195">
        <f t="shared" si="46"/>
      </c>
      <c r="H46" s="193">
        <v>6</v>
      </c>
      <c r="I46" s="193">
        <v>4</v>
      </c>
      <c r="J46" s="193">
        <v>3063</v>
      </c>
      <c r="K46" s="193">
        <v>0</v>
      </c>
      <c r="L46" s="193">
        <v>0</v>
      </c>
      <c r="M46" s="194">
        <f t="shared" si="88"/>
      </c>
      <c r="N46" s="195">
        <f t="shared" si="136"/>
      </c>
      <c r="O46" s="195">
        <f t="shared" si="137"/>
      </c>
      <c r="P46" s="196">
        <f t="shared" si="116"/>
      </c>
      <c r="Q46" s="192">
        <f t="shared" si="10"/>
      </c>
      <c r="R46" s="197">
        <f t="shared" si="14"/>
      </c>
      <c r="S46" s="197">
        <f t="shared" si="45"/>
      </c>
      <c r="T46" s="214">
        <f t="shared" si="58"/>
      </c>
      <c r="U46" s="199">
        <f t="shared" si="108"/>
      </c>
      <c r="V46" s="200">
        <f t="shared" si="110"/>
      </c>
      <c r="W46" s="199">
        <f t="shared" si="138"/>
      </c>
      <c r="X46" s="199">
        <f t="shared" si="111"/>
      </c>
      <c r="Y46" s="227">
        <f t="shared" si="7"/>
      </c>
      <c r="Z46" s="217">
        <v>10251</v>
      </c>
      <c r="AA46" s="198">
        <v>366</v>
      </c>
      <c r="AB46" s="198">
        <v>72</v>
      </c>
      <c r="AC46" s="198">
        <v>66</v>
      </c>
      <c r="AD46" s="198">
        <v>6</v>
      </c>
      <c r="AE46" s="228">
        <f t="shared" si="25"/>
      </c>
    </row>
    <row r="47">
      <c r="A47" s="187"/>
      <c r="B47" s="205" t="s">
        <v>137</v>
      </c>
      <c r="C47" s="205"/>
      <c r="D47" s="206">
        <f>SUM(D43:D46)</f>
      </c>
      <c r="E47" s="207">
        <f>SUM(E43:E46)</f>
      </c>
      <c r="F47" s="207">
        <f>SUM(F43:F46)</f>
      </c>
      <c r="G47" s="209">
        <f t="shared" si="46"/>
      </c>
      <c r="H47" s="207">
        <f>SUM(H43:H46)</f>
      </c>
      <c r="I47" s="207">
        <f>SUM(I43:I46)</f>
      </c>
      <c r="J47" s="207">
        <f>SUM(J43:J46)</f>
      </c>
      <c r="K47" s="207">
        <f>SUM(K43:K46)</f>
      </c>
      <c r="L47" s="207">
        <f>SUM(L43:L46)</f>
      </c>
      <c r="M47" s="208">
        <f>SUM(M43:M46)</f>
      </c>
      <c r="N47" s="209">
        <f t="shared" si="136"/>
      </c>
      <c r="O47" s="209">
        <f t="shared" si="137"/>
      </c>
      <c r="P47" s="207">
        <f>SUM(P43:P46)</f>
      </c>
      <c r="Q47" s="208">
        <f t="shared" si="10"/>
      </c>
      <c r="R47" s="210">
        <f t="shared" si="14"/>
      </c>
      <c r="S47" s="210">
        <f t="shared" si="45"/>
      </c>
      <c r="T47" s="211">
        <f>(T46+T43)/2</f>
      </c>
      <c r="U47" s="215">
        <f t="shared" si="108"/>
      </c>
      <c r="V47" s="215">
        <f t="shared" si="110"/>
      </c>
      <c r="W47" s="215">
        <f t="shared" si="138"/>
      </c>
      <c r="X47" s="215">
        <f t="shared" si="111"/>
      </c>
      <c r="Y47" s="215">
        <f t="shared" si="7"/>
      </c>
      <c r="Z47" s="230">
        <f>SUM(Z43:Z46)</f>
      </c>
      <c r="AA47" s="230">
        <f>SUM(AA43:AA46)</f>
      </c>
      <c r="AB47" s="230">
        <f>SUM(AB43:AB46)</f>
      </c>
      <c r="AC47" s="230">
        <f>SUM(AC43:AC46)</f>
      </c>
      <c r="AD47" s="230">
        <f>SUM(AD43:AD46)</f>
      </c>
      <c r="AE47" s="209">
        <f>SUM(AE43:AE46)</f>
      </c>
    </row>
    <row r="48">
      <c r="A48" s="187"/>
      <c r="B48" s="189" t="s">
        <v>141</v>
      </c>
      <c r="C48" s="189" t="s">
        <v>139</v>
      </c>
      <c r="D48" s="190">
        <v>3366.49</v>
      </c>
      <c r="E48" s="191">
        <v>8</v>
      </c>
      <c r="F48" s="191">
        <v>5</v>
      </c>
      <c r="G48" s="192">
        <f t="shared" si="46"/>
      </c>
      <c r="H48" s="216">
        <v>9</v>
      </c>
      <c r="I48" s="216">
        <v>4</v>
      </c>
      <c r="J48" s="193">
        <v>3932.4000000000015</v>
      </c>
      <c r="K48" s="216">
        <v>2</v>
      </c>
      <c r="L48" s="193">
        <v>3727.2000000000007</v>
      </c>
      <c r="M48" s="194">
        <f t="shared" ref="M48:M51" si="89">K48+I48</f>
      </c>
      <c r="N48" s="195">
        <f t="shared" si="136"/>
      </c>
      <c r="O48" s="195">
        <f t="shared" si="137"/>
      </c>
      <c r="P48" s="196">
        <f t="shared" ref="P48:P51" si="117">J48+L48</f>
      </c>
      <c r="Q48" s="192">
        <f t="shared" si="10"/>
      </c>
      <c r="R48" s="197">
        <f t="shared" si="14"/>
      </c>
      <c r="S48" s="197">
        <f t="shared" si="45"/>
      </c>
      <c r="T48" s="214">
        <f t="shared" ref="T48:T51" si="59">AA48/60</f>
      </c>
      <c r="U48" s="199">
        <f t="shared" si="108"/>
      </c>
      <c r="V48" s="200">
        <f t="shared" si="110"/>
      </c>
      <c r="W48" s="199">
        <f t="shared" si="138"/>
      </c>
      <c r="X48" s="199">
        <f t="shared" si="111"/>
      </c>
      <c r="Y48" s="199">
        <f t="shared" si="7"/>
      </c>
      <c r="Z48" s="198">
        <v>14390</v>
      </c>
      <c r="AA48" s="217">
        <v>561</v>
      </c>
      <c r="AB48" s="198">
        <v>35</v>
      </c>
      <c r="AC48" s="198">
        <v>59</v>
      </c>
      <c r="AD48" s="204">
        <v>9</v>
      </c>
      <c r="AE48" s="202">
        <f t="shared" ref="AE48:AE51" si="26">COUNT(AD48)</f>
      </c>
    </row>
    <row r="49">
      <c r="A49" s="187"/>
      <c r="B49" s="189" t="s">
        <v>143</v>
      </c>
      <c r="C49" s="189" t="s">
        <v>139</v>
      </c>
      <c r="D49" s="203">
        <v>3920.4</v>
      </c>
      <c r="E49" s="191">
        <v>2</v>
      </c>
      <c r="F49" s="191">
        <v>0</v>
      </c>
      <c r="G49" s="192">
        <f t="shared" si="46"/>
      </c>
      <c r="H49" s="216">
        <v>2</v>
      </c>
      <c r="I49" s="216">
        <v>0</v>
      </c>
      <c r="J49" s="193">
        <v>0</v>
      </c>
      <c r="K49" s="216">
        <v>0</v>
      </c>
      <c r="L49" s="193">
        <v>0</v>
      </c>
      <c r="M49" s="194">
        <f t="shared" si="89"/>
      </c>
      <c r="N49" s="195">
        <f t="shared" si="136"/>
      </c>
      <c r="O49" s="195">
        <f t="shared" si="137"/>
      </c>
      <c r="P49" s="196">
        <f t="shared" si="117"/>
      </c>
      <c r="Q49" s="192">
        <f t="shared" si="10"/>
      </c>
      <c r="R49" s="197">
        <f t="shared" si="14"/>
      </c>
      <c r="S49" s="197">
        <f t="shared" si="45"/>
      </c>
      <c r="T49" s="214">
        <f t="shared" si="59"/>
      </c>
      <c r="U49" s="199">
        <f t="shared" si="108"/>
      </c>
      <c r="V49" s="200">
        <f t="shared" si="110"/>
      </c>
      <c r="W49" s="199">
        <f t="shared" si="138"/>
      </c>
      <c r="X49" s="199">
        <f t="shared" si="111"/>
      </c>
      <c r="Y49" s="199">
        <f t="shared" si="7"/>
      </c>
      <c r="Z49" s="217">
        <v>18563</v>
      </c>
      <c r="AA49" s="217">
        <v>621</v>
      </c>
      <c r="AB49" s="198">
        <v>61</v>
      </c>
      <c r="AC49" s="231">
        <v>67</v>
      </c>
      <c r="AD49" s="198">
        <v>2</v>
      </c>
      <c r="AE49" s="228">
        <f t="shared" si="26"/>
      </c>
    </row>
    <row r="50">
      <c r="A50" s="187"/>
      <c r="B50" s="189" t="s">
        <v>146</v>
      </c>
      <c r="C50" s="189" t="s">
        <v>139</v>
      </c>
      <c r="D50" s="190">
        <v>3466.85</v>
      </c>
      <c r="E50" s="191">
        <v>5</v>
      </c>
      <c r="F50" s="191">
        <v>2</v>
      </c>
      <c r="G50" s="192">
        <f t="shared" si="46"/>
      </c>
      <c r="H50" s="216">
        <v>5</v>
      </c>
      <c r="I50" s="216">
        <v>2</v>
      </c>
      <c r="J50" s="193">
        <v>1440</v>
      </c>
      <c r="K50" s="216">
        <v>0</v>
      </c>
      <c r="L50" s="193">
        <v>0</v>
      </c>
      <c r="M50" s="194">
        <f t="shared" si="89"/>
      </c>
      <c r="N50" s="195">
        <f t="shared" si="136"/>
      </c>
      <c r="O50" s="195">
        <f t="shared" si="137"/>
      </c>
      <c r="P50" s="196">
        <f t="shared" si="117"/>
      </c>
      <c r="Q50" s="192">
        <f t="shared" si="10"/>
      </c>
      <c r="R50" s="197">
        <f t="shared" si="14"/>
      </c>
      <c r="S50" s="197">
        <f t="shared" si="45"/>
      </c>
      <c r="T50" s="214">
        <f t="shared" si="59"/>
      </c>
      <c r="U50" s="199">
        <f t="shared" si="108"/>
      </c>
      <c r="V50" s="200">
        <f t="shared" si="110"/>
      </c>
      <c r="W50" s="199">
        <f t="shared" si="138"/>
      </c>
      <c r="X50" s="199">
        <f t="shared" si="111"/>
      </c>
      <c r="Y50" s="199">
        <f t="shared" si="7"/>
      </c>
      <c r="Z50" s="217">
        <v>19604</v>
      </c>
      <c r="AA50" s="217">
        <v>1057</v>
      </c>
      <c r="AB50" s="198">
        <v>80</v>
      </c>
      <c r="AC50" s="231">
        <v>93</v>
      </c>
      <c r="AD50" s="198">
        <v>5</v>
      </c>
      <c r="AE50" s="228">
        <f t="shared" si="26"/>
      </c>
    </row>
    <row r="51">
      <c r="A51" s="187"/>
      <c r="B51" s="188" t="s">
        <v>147</v>
      </c>
      <c r="C51" s="189" t="s">
        <v>139</v>
      </c>
      <c r="D51" s="203">
        <v>2053.21</v>
      </c>
      <c r="E51" s="191">
        <v>6</v>
      </c>
      <c r="F51" s="191">
        <v>4</v>
      </c>
      <c r="G51" s="192">
        <f t="shared" si="46"/>
      </c>
      <c r="H51" s="216">
        <v>7</v>
      </c>
      <c r="I51" s="216">
        <v>4</v>
      </c>
      <c r="J51" s="216">
        <v>5800.799999999999</v>
      </c>
      <c r="K51" s="216">
        <v>0</v>
      </c>
      <c r="L51" s="216">
        <v>0</v>
      </c>
      <c r="M51" s="194">
        <f t="shared" si="89"/>
      </c>
      <c r="N51" s="195">
        <f t="shared" si="136"/>
      </c>
      <c r="O51" s="195">
        <f t="shared" si="137"/>
      </c>
      <c r="P51" s="196">
        <f t="shared" si="117"/>
      </c>
      <c r="Q51" s="192">
        <f t="shared" si="10"/>
      </c>
      <c r="R51" s="197">
        <f t="shared" si="14"/>
      </c>
      <c r="S51" s="197">
        <f t="shared" si="45"/>
      </c>
      <c r="T51" s="214">
        <f t="shared" si="59"/>
      </c>
      <c r="U51" s="199">
        <f t="shared" si="108"/>
      </c>
      <c r="V51" s="200">
        <f t="shared" si="110"/>
      </c>
      <c r="W51" s="199">
        <f t="shared" si="138"/>
      </c>
      <c r="X51" s="199">
        <f t="shared" si="111"/>
      </c>
      <c r="Y51" s="199">
        <f t="shared" si="7"/>
      </c>
      <c r="Z51" s="198">
        <v>12901</v>
      </c>
      <c r="AA51" s="217">
        <v>902</v>
      </c>
      <c r="AB51" s="198">
        <v>85</v>
      </c>
      <c r="AC51" s="231">
        <v>60</v>
      </c>
      <c r="AD51" s="198">
        <v>7</v>
      </c>
      <c r="AE51" s="228">
        <f t="shared" si="26"/>
      </c>
    </row>
    <row r="52">
      <c r="A52" s="187"/>
      <c r="B52" s="205" t="s">
        <v>137</v>
      </c>
      <c r="C52" s="205"/>
      <c r="D52" s="206">
        <f>SUM(D48:D51)</f>
      </c>
      <c r="E52" s="207">
        <f>SUM(E48:E51)</f>
      </c>
      <c r="F52" s="207">
        <f>SUM(F48:F51)</f>
      </c>
      <c r="G52" s="208">
        <f t="shared" si="46"/>
      </c>
      <c r="H52" s="207">
        <f>SUM(H48:H51)</f>
      </c>
      <c r="I52" s="207">
        <f>SUM(I48:I51)</f>
      </c>
      <c r="J52" s="207">
        <f>SUM(J48:J51)</f>
      </c>
      <c r="K52" s="207">
        <f>SUM(K48:K51)</f>
      </c>
      <c r="L52" s="207">
        <f>SUM(L48:L51)</f>
      </c>
      <c r="M52" s="208">
        <f>SUM(M48:M51)</f>
      </c>
      <c r="N52" s="209">
        <f t="shared" si="136"/>
      </c>
      <c r="O52" s="209">
        <f t="shared" si="137"/>
      </c>
      <c r="P52" s="207">
        <f>SUM(P48:P51)</f>
      </c>
      <c r="Q52" s="208">
        <f t="shared" si="10"/>
      </c>
      <c r="R52" s="210">
        <f t="shared" si="14"/>
      </c>
      <c r="S52" s="210">
        <f t="shared" si="45"/>
      </c>
      <c r="T52" s="211">
        <f>(T51+T50+T49+T48)/4</f>
      </c>
      <c r="U52" s="212">
        <f t="shared" si="108"/>
      </c>
      <c r="V52" s="213">
        <f t="shared" si="110"/>
      </c>
      <c r="W52" s="212">
        <f t="shared" si="138"/>
      </c>
      <c r="X52" s="212">
        <f t="shared" si="111"/>
      </c>
      <c r="Y52" s="212">
        <f t="shared" si="7"/>
      </c>
      <c r="Z52" s="209">
        <f>SUM(Z48:Z51)</f>
      </c>
      <c r="AA52" s="209">
        <f>SUM(AA48:AA51)</f>
      </c>
      <c r="AB52" s="209">
        <f>SUM(AB48:AB51)</f>
      </c>
      <c r="AC52" s="209">
        <f>SUM(AC48:AC51)</f>
      </c>
      <c r="AD52" s="230">
        <f>SUM(AD48:AD51)</f>
      </c>
      <c r="AE52" s="209">
        <f>SUM(AE48:AE51)</f>
      </c>
    </row>
    <row r="53">
      <c r="A53" s="187"/>
      <c r="B53" s="218" t="s">
        <v>144</v>
      </c>
      <c r="C53" s="218"/>
      <c r="D53" s="219">
        <f>D52+D47</f>
      </c>
      <c r="E53" s="222">
        <f>E52+E47</f>
      </c>
      <c r="F53" s="222">
        <f>F52+F47</f>
      </c>
      <c r="G53" s="221">
        <f t="shared" si="46"/>
      </c>
      <c r="H53" s="222">
        <f>H52+H47</f>
      </c>
      <c r="I53" s="222">
        <f>I52+I47</f>
      </c>
      <c r="J53" s="219">
        <f>J52+J47</f>
      </c>
      <c r="K53" s="219">
        <f>K52+K47</f>
      </c>
      <c r="L53" s="219">
        <f>L52+L47</f>
      </c>
      <c r="M53" s="222">
        <f>M52+M47</f>
      </c>
      <c r="N53" s="221">
        <f t="shared" si="136"/>
      </c>
      <c r="O53" s="221">
        <f t="shared" si="137"/>
      </c>
      <c r="P53" s="220">
        <f>P52+P47</f>
      </c>
      <c r="Q53" s="221">
        <f t="shared" si="10"/>
      </c>
      <c r="R53" s="223">
        <f t="shared" si="14"/>
      </c>
      <c r="S53" s="223">
        <f t="shared" si="45"/>
      </c>
      <c r="T53" s="224">
        <f>(T52+T47)/2</f>
      </c>
      <c r="U53" s="225">
        <f t="shared" si="108"/>
      </c>
      <c r="V53" s="226">
        <f t="shared" si="110"/>
      </c>
      <c r="W53" s="225">
        <f t="shared" si="138"/>
      </c>
      <c r="X53" s="225">
        <f t="shared" si="111"/>
      </c>
      <c r="Y53" s="225">
        <f t="shared" si="7"/>
      </c>
      <c r="Z53" s="219">
        <f>Z52+Z47</f>
      </c>
      <c r="AA53" s="219">
        <f>AA52+AA47</f>
      </c>
      <c r="AB53" s="219">
        <f>AB52+AB47</f>
      </c>
      <c r="AC53" s="219">
        <f>AC52+AC47</f>
      </c>
      <c r="AD53" s="219">
        <f>AD52+AD47</f>
      </c>
      <c r="AE53" s="219">
        <f>AE52+AE47</f>
      </c>
    </row>
    <row r="54">
      <c r="A54" s="187">
        <v>46228</v>
      </c>
      <c r="B54" s="188" t="s">
        <v>135</v>
      </c>
      <c r="C54" s="189" t="s">
        <v>145</v>
      </c>
      <c r="D54" s="203">
        <v>2703.17</v>
      </c>
      <c r="E54" s="191">
        <v>4</v>
      </c>
      <c r="F54" s="191">
        <v>1</v>
      </c>
      <c r="G54" s="195">
        <f t="shared" si="46"/>
      </c>
      <c r="H54" s="193">
        <v>5</v>
      </c>
      <c r="I54" s="193">
        <v>2</v>
      </c>
      <c r="J54" s="193">
        <v>2474.3999999999996</v>
      </c>
      <c r="K54" s="193">
        <v>0</v>
      </c>
      <c r="L54" s="193">
        <v>0</v>
      </c>
      <c r="M54" s="194">
        <f t="shared" ref="M54:M57" si="90">K54+I54</f>
      </c>
      <c r="N54" s="195">
        <f t="shared" si="136"/>
      </c>
      <c r="O54" s="195">
        <f t="shared" si="137"/>
      </c>
      <c r="P54" s="196">
        <f t="shared" ref="P54:P57" si="118">J54+L54</f>
      </c>
      <c r="Q54" s="195">
        <f t="shared" si="10"/>
      </c>
      <c r="R54" s="197">
        <f t="shared" si="14"/>
      </c>
      <c r="S54" s="197">
        <f t="shared" si="45"/>
      </c>
      <c r="T54" s="214">
        <f t="shared" ref="T54:T57" si="60">AA54/60</f>
      </c>
      <c r="U54" s="199">
        <f t="shared" si="108"/>
      </c>
      <c r="V54" s="200">
        <f t="shared" si="110"/>
      </c>
      <c r="W54" s="199">
        <f t="shared" si="138"/>
      </c>
      <c r="X54" s="199">
        <f t="shared" si="111"/>
      </c>
      <c r="Y54" s="227">
        <f t="shared" si="7"/>
      </c>
      <c r="Z54" s="217">
        <v>15959</v>
      </c>
      <c r="AA54" s="198">
        <v>526</v>
      </c>
      <c r="AB54" s="198">
        <v>57</v>
      </c>
      <c r="AC54" s="198">
        <v>55</v>
      </c>
      <c r="AD54" s="198">
        <v>5</v>
      </c>
      <c r="AE54" s="228">
        <f t="shared" ref="AE54:AE57" si="27">COUNT(AD54)</f>
      </c>
    </row>
    <row r="55">
      <c r="A55" s="187"/>
      <c r="B55" s="188" t="s">
        <v>136</v>
      </c>
      <c r="C55" s="189" t="s">
        <v>145</v>
      </c>
      <c r="D55" s="232">
        <v>2957.69</v>
      </c>
      <c r="E55" s="233">
        <v>1</v>
      </c>
      <c r="F55" s="233">
        <v>0</v>
      </c>
      <c r="G55" s="234">
        <f t="shared" si="46"/>
      </c>
      <c r="H55" s="235">
        <v>3</v>
      </c>
      <c r="I55" s="235">
        <v>0</v>
      </c>
      <c r="J55" s="235">
        <v>0</v>
      </c>
      <c r="K55" s="235">
        <v>0</v>
      </c>
      <c r="L55" s="235">
        <v>0</v>
      </c>
      <c r="M55" s="236">
        <f t="shared" si="90"/>
      </c>
      <c r="N55" s="234">
        <f t="shared" si="136"/>
      </c>
      <c r="O55" s="234">
        <f t="shared" si="137"/>
      </c>
      <c r="P55" s="237">
        <f t="shared" si="118"/>
      </c>
      <c r="Q55" s="234">
        <f t="shared" si="10"/>
      </c>
      <c r="R55" s="238">
        <f t="shared" si="14"/>
      </c>
      <c r="S55" s="238">
        <f t="shared" si="45"/>
      </c>
      <c r="T55" s="239">
        <f t="shared" si="60"/>
      </c>
      <c r="U55" s="240">
        <f t="shared" si="108"/>
      </c>
      <c r="V55" s="240">
        <f t="shared" si="110"/>
      </c>
      <c r="W55" s="240">
        <f t="shared" si="138"/>
      </c>
      <c r="X55" s="240">
        <f t="shared" si="111"/>
      </c>
      <c r="Y55" s="241">
        <f t="shared" si="7"/>
      </c>
      <c r="Z55" s="202">
        <v>12372</v>
      </c>
      <c r="AA55" s="202">
        <v>467</v>
      </c>
      <c r="AB55" s="242">
        <v>39</v>
      </c>
      <c r="AC55" s="242">
        <v>47</v>
      </c>
      <c r="AD55" s="242">
        <v>3</v>
      </c>
      <c r="AE55" s="228">
        <f t="shared" si="27"/>
      </c>
    </row>
    <row r="56">
      <c r="A56" s="187"/>
      <c r="B56" s="188" t="s">
        <v>138</v>
      </c>
      <c r="C56" s="189" t="s">
        <v>145</v>
      </c>
      <c r="D56" s="190">
        <v>2174.43</v>
      </c>
      <c r="E56" s="191">
        <v>4</v>
      </c>
      <c r="F56" s="191">
        <v>3</v>
      </c>
      <c r="G56" s="195">
        <f t="shared" si="46"/>
      </c>
      <c r="H56" s="193">
        <v>7</v>
      </c>
      <c r="I56" s="193">
        <v>6</v>
      </c>
      <c r="J56" s="193">
        <v>6099.199999999999</v>
      </c>
      <c r="K56" s="193">
        <v>1</v>
      </c>
      <c r="L56" s="193">
        <v>573.5999999999999</v>
      </c>
      <c r="M56" s="194">
        <f t="shared" si="90"/>
      </c>
      <c r="N56" s="195">
        <f t="shared" si="136"/>
      </c>
      <c r="O56" s="195">
        <f t="shared" si="137"/>
      </c>
      <c r="P56" s="196">
        <f t="shared" si="118"/>
      </c>
      <c r="Q56" s="195">
        <f t="shared" si="10"/>
      </c>
      <c r="R56" s="197">
        <f t="shared" si="14"/>
      </c>
      <c r="S56" s="197">
        <f t="shared" si="45"/>
      </c>
      <c r="T56" s="214">
        <f t="shared" si="60"/>
      </c>
      <c r="U56" s="199">
        <f t="shared" si="108"/>
      </c>
      <c r="V56" s="200">
        <f t="shared" si="110"/>
      </c>
      <c r="W56" s="199">
        <f t="shared" si="138"/>
      </c>
      <c r="X56" s="199">
        <f t="shared" si="111"/>
      </c>
      <c r="Y56" s="227">
        <f t="shared" si="7"/>
      </c>
      <c r="Z56" s="217">
        <v>8513</v>
      </c>
      <c r="AA56" s="198">
        <v>408</v>
      </c>
      <c r="AB56" s="198">
        <v>44</v>
      </c>
      <c r="AC56" s="198">
        <v>57</v>
      </c>
      <c r="AD56" s="198">
        <v>7</v>
      </c>
      <c r="AE56" s="228">
        <f t="shared" si="27"/>
      </c>
    </row>
    <row r="57">
      <c r="A57" s="187"/>
      <c r="B57" s="188" t="s">
        <v>140</v>
      </c>
      <c r="C57" s="189" t="s">
        <v>145</v>
      </c>
      <c r="D57" s="190">
        <v>3925.67</v>
      </c>
      <c r="E57" s="191">
        <v>4</v>
      </c>
      <c r="F57" s="191">
        <v>2</v>
      </c>
      <c r="G57" s="195">
        <f t="shared" si="46"/>
      </c>
      <c r="H57" s="193">
        <v>3</v>
      </c>
      <c r="I57" s="193">
        <v>1</v>
      </c>
      <c r="J57" s="193">
        <v>1546.800000000001</v>
      </c>
      <c r="K57" s="193">
        <v>0</v>
      </c>
      <c r="L57" s="193">
        <v>0</v>
      </c>
      <c r="M57" s="194">
        <f t="shared" si="90"/>
      </c>
      <c r="N57" s="195">
        <f t="shared" si="136"/>
      </c>
      <c r="O57" s="195">
        <f t="shared" si="137"/>
      </c>
      <c r="P57" s="196">
        <f t="shared" si="118"/>
      </c>
      <c r="Q57" s="195">
        <f t="shared" si="10"/>
      </c>
      <c r="R57" s="197">
        <f t="shared" si="14"/>
      </c>
      <c r="S57" s="197">
        <f t="shared" si="45"/>
      </c>
      <c r="T57" s="214">
        <f t="shared" si="60"/>
      </c>
      <c r="U57" s="199">
        <f t="shared" si="108"/>
      </c>
      <c r="V57" s="200">
        <f t="shared" si="110"/>
      </c>
      <c r="W57" s="199">
        <f t="shared" si="138"/>
      </c>
      <c r="X57" s="199">
        <f t="shared" si="111"/>
      </c>
      <c r="Y57" s="227">
        <f t="shared" si="7"/>
      </c>
      <c r="Z57" s="217">
        <v>16064</v>
      </c>
      <c r="AA57" s="198">
        <v>675</v>
      </c>
      <c r="AB57" s="198">
        <v>59</v>
      </c>
      <c r="AC57" s="198">
        <v>82</v>
      </c>
      <c r="AD57" s="198">
        <v>3</v>
      </c>
      <c r="AE57" s="228">
        <f t="shared" si="27"/>
      </c>
    </row>
    <row r="58">
      <c r="A58" s="187"/>
      <c r="B58" s="205" t="s">
        <v>137</v>
      </c>
      <c r="C58" s="205"/>
      <c r="D58" s="206">
        <f>SUM(D54:D57)</f>
      </c>
      <c r="E58" s="207">
        <f>SUM(E54:E57)</f>
      </c>
      <c r="F58" s="207">
        <f>SUM(F54:F57)</f>
      </c>
      <c r="G58" s="209">
        <f t="shared" si="46"/>
      </c>
      <c r="H58" s="207">
        <f>SUM(H54:H57)</f>
      </c>
      <c r="I58" s="207">
        <f>SUM(I54:I57)</f>
      </c>
      <c r="J58" s="207">
        <f>SUM(J54:J57)</f>
      </c>
      <c r="K58" s="207">
        <f>SUM(K54:K57)</f>
      </c>
      <c r="L58" s="207">
        <f>SUM(L54:L57)</f>
      </c>
      <c r="M58" s="208">
        <f>SUM(M54:M57)</f>
      </c>
      <c r="N58" s="209">
        <f t="shared" si="136"/>
      </c>
      <c r="O58" s="209">
        <f t="shared" si="137"/>
      </c>
      <c r="P58" s="207">
        <f>SUM(P54:P57)</f>
      </c>
      <c r="Q58" s="209">
        <f t="shared" si="10"/>
      </c>
      <c r="R58" s="210">
        <f t="shared" si="14"/>
      </c>
      <c r="S58" s="210">
        <f t="shared" si="45"/>
      </c>
      <c r="T58" s="211">
        <f>(T57+T54)/2</f>
      </c>
      <c r="U58" s="215">
        <f t="shared" si="108"/>
      </c>
      <c r="V58" s="215">
        <f t="shared" si="110"/>
      </c>
      <c r="W58" s="215">
        <f t="shared" si="138"/>
      </c>
      <c r="X58" s="215">
        <f t="shared" si="111"/>
      </c>
      <c r="Y58" s="215">
        <f t="shared" si="7"/>
      </c>
      <c r="Z58" s="230">
        <f>SUM(Z54:Z57)</f>
      </c>
      <c r="AA58" s="230">
        <f>SUM(AA54:AA57)</f>
      </c>
      <c r="AB58" s="230">
        <f>SUM(AB54:AB57)</f>
      </c>
      <c r="AC58" s="230">
        <f>SUM(AC54:AC57)</f>
      </c>
      <c r="AD58" s="230">
        <f>SUM(AD54:AD57)</f>
      </c>
      <c r="AE58" s="209">
        <f>SUM(AE54:AE57)</f>
      </c>
    </row>
    <row r="59">
      <c r="A59" s="187"/>
      <c r="B59" s="189" t="s">
        <v>141</v>
      </c>
      <c r="C59" s="189" t="s">
        <v>139</v>
      </c>
      <c r="D59" s="190">
        <v>3242.07</v>
      </c>
      <c r="E59" s="191">
        <v>6</v>
      </c>
      <c r="F59" s="191">
        <v>3</v>
      </c>
      <c r="G59" s="195">
        <f t="shared" si="46"/>
      </c>
      <c r="H59" s="216">
        <v>6</v>
      </c>
      <c r="I59" s="216">
        <v>3</v>
      </c>
      <c r="J59" s="193">
        <v>4219.200000000001</v>
      </c>
      <c r="K59" s="216">
        <v>0</v>
      </c>
      <c r="L59" s="193">
        <v>0</v>
      </c>
      <c r="M59" s="194">
        <f t="shared" ref="M59:M62" si="91">K59+I59</f>
      </c>
      <c r="N59" s="195">
        <f t="shared" si="136"/>
      </c>
      <c r="O59" s="195">
        <f t="shared" si="137"/>
      </c>
      <c r="P59" s="196">
        <f t="shared" ref="P59:P62" si="119">J59+L59</f>
      </c>
      <c r="Q59" s="195">
        <f t="shared" si="10"/>
      </c>
      <c r="R59" s="197">
        <f t="shared" si="14"/>
      </c>
      <c r="S59" s="197">
        <f t="shared" si="45"/>
      </c>
      <c r="T59" s="214">
        <f t="shared" ref="T59:T62" si="61">AA59/60</f>
      </c>
      <c r="U59" s="199">
        <f t="shared" si="108"/>
      </c>
      <c r="V59" s="200">
        <f t="shared" si="110"/>
      </c>
      <c r="W59" s="199">
        <f t="shared" si="138"/>
      </c>
      <c r="X59" s="199">
        <f t="shared" si="111"/>
      </c>
      <c r="Y59" s="199">
        <f t="shared" si="7"/>
      </c>
      <c r="Z59" s="198">
        <v>14201</v>
      </c>
      <c r="AA59" s="198">
        <v>720</v>
      </c>
      <c r="AB59" s="198">
        <v>94</v>
      </c>
      <c r="AC59" s="198">
        <v>73</v>
      </c>
      <c r="AD59" s="204">
        <v>6</v>
      </c>
      <c r="AE59" s="202">
        <f t="shared" ref="AE59:AE62" si="28">COUNT(AD59)</f>
      </c>
    </row>
    <row r="60">
      <c r="A60" s="187"/>
      <c r="B60" s="189" t="s">
        <v>143</v>
      </c>
      <c r="C60" s="189" t="s">
        <v>139</v>
      </c>
      <c r="D60" s="203">
        <v>4383.42</v>
      </c>
      <c r="E60" s="191">
        <v>7</v>
      </c>
      <c r="F60" s="191">
        <v>4</v>
      </c>
      <c r="G60" s="195">
        <f t="shared" si="46"/>
      </c>
      <c r="H60" s="193">
        <v>9</v>
      </c>
      <c r="I60" s="216">
        <v>3</v>
      </c>
      <c r="J60" s="193">
        <v>3524.199999999999</v>
      </c>
      <c r="K60" s="216">
        <v>1</v>
      </c>
      <c r="L60" s="193">
        <v>664.8</v>
      </c>
      <c r="M60" s="194">
        <f t="shared" si="91"/>
      </c>
      <c r="N60" s="195">
        <f t="shared" si="136"/>
      </c>
      <c r="O60" s="195">
        <f t="shared" si="137"/>
      </c>
      <c r="P60" s="196">
        <f t="shared" si="119"/>
      </c>
      <c r="Q60" s="195">
        <f t="shared" si="10"/>
      </c>
      <c r="R60" s="197">
        <f t="shared" si="14"/>
      </c>
      <c r="S60" s="197">
        <f t="shared" si="45"/>
      </c>
      <c r="T60" s="214">
        <f t="shared" si="61"/>
      </c>
      <c r="U60" s="199">
        <f t="shared" si="108"/>
      </c>
      <c r="V60" s="200">
        <f t="shared" si="110"/>
      </c>
      <c r="W60" s="199">
        <f t="shared" si="138"/>
      </c>
      <c r="X60" s="199">
        <f t="shared" si="111"/>
      </c>
      <c r="Y60" s="199">
        <f t="shared" si="7"/>
      </c>
      <c r="Z60" s="217">
        <v>20527</v>
      </c>
      <c r="AA60" s="217">
        <v>850</v>
      </c>
      <c r="AB60" s="198">
        <v>52</v>
      </c>
      <c r="AC60" s="231">
        <v>89</v>
      </c>
      <c r="AD60" s="198">
        <v>9</v>
      </c>
      <c r="AE60" s="228">
        <f t="shared" si="28"/>
      </c>
    </row>
    <row r="61">
      <c r="A61" s="187"/>
      <c r="B61" s="189" t="s">
        <v>146</v>
      </c>
      <c r="C61" s="189" t="s">
        <v>139</v>
      </c>
      <c r="D61" s="190">
        <v>2880.71</v>
      </c>
      <c r="E61" s="191">
        <v>7</v>
      </c>
      <c r="F61" s="191">
        <v>3</v>
      </c>
      <c r="G61" s="195">
        <f t="shared" si="46"/>
      </c>
      <c r="H61" s="216">
        <v>8</v>
      </c>
      <c r="I61" s="216">
        <v>1</v>
      </c>
      <c r="J61" s="193">
        <v>904.7999999999993</v>
      </c>
      <c r="K61" s="216">
        <v>2</v>
      </c>
      <c r="L61" s="193">
        <v>6102</v>
      </c>
      <c r="M61" s="194">
        <f t="shared" si="91"/>
      </c>
      <c r="N61" s="195">
        <f t="shared" si="136"/>
      </c>
      <c r="O61" s="195">
        <f t="shared" si="137"/>
      </c>
      <c r="P61" s="196">
        <f t="shared" si="119"/>
      </c>
      <c r="Q61" s="195">
        <f t="shared" si="10"/>
      </c>
      <c r="R61" s="197">
        <f t="shared" si="14"/>
      </c>
      <c r="S61" s="197">
        <f t="shared" si="45"/>
      </c>
      <c r="T61" s="214">
        <f t="shared" si="61"/>
      </c>
      <c r="U61" s="199">
        <f t="shared" si="108"/>
      </c>
      <c r="V61" s="200">
        <f t="shared" si="110"/>
      </c>
      <c r="W61" s="199">
        <f t="shared" si="138"/>
      </c>
      <c r="X61" s="199">
        <f t="shared" si="111"/>
      </c>
      <c r="Y61" s="199">
        <f t="shared" si="7"/>
      </c>
      <c r="Z61" s="198">
        <v>16169</v>
      </c>
      <c r="AA61" s="198">
        <v>739</v>
      </c>
      <c r="AB61" s="198">
        <v>101</v>
      </c>
      <c r="AC61" s="231">
        <v>66</v>
      </c>
      <c r="AD61" s="198">
        <v>8</v>
      </c>
      <c r="AE61" s="228">
        <f t="shared" si="28"/>
      </c>
    </row>
    <row r="62">
      <c r="A62" s="187"/>
      <c r="B62" s="188" t="s">
        <v>147</v>
      </c>
      <c r="C62" s="189" t="s">
        <v>139</v>
      </c>
      <c r="D62" s="203">
        <v>2416.42</v>
      </c>
      <c r="E62" s="243">
        <v>4</v>
      </c>
      <c r="F62" s="191">
        <v>1</v>
      </c>
      <c r="G62" s="195">
        <f t="shared" si="46"/>
      </c>
      <c r="H62" s="216">
        <v>3</v>
      </c>
      <c r="I62" s="216">
        <v>0</v>
      </c>
      <c r="J62" s="216">
        <v>0</v>
      </c>
      <c r="K62" s="216">
        <v>2</v>
      </c>
      <c r="L62" s="216">
        <v>1544.3999999999996</v>
      </c>
      <c r="M62" s="194">
        <f t="shared" si="91"/>
      </c>
      <c r="N62" s="195">
        <f t="shared" si="136"/>
      </c>
      <c r="O62" s="195">
        <f t="shared" si="137"/>
      </c>
      <c r="P62" s="196">
        <f t="shared" si="119"/>
      </c>
      <c r="Q62" s="195">
        <f t="shared" si="10"/>
      </c>
      <c r="R62" s="197">
        <f t="shared" si="14"/>
      </c>
      <c r="S62" s="197">
        <f t="shared" si="45"/>
      </c>
      <c r="T62" s="214">
        <f t="shared" si="61"/>
      </c>
      <c r="U62" s="199">
        <f t="shared" si="108"/>
      </c>
      <c r="V62" s="200">
        <f t="shared" si="110"/>
      </c>
      <c r="W62" s="199">
        <f t="shared" si="138"/>
      </c>
      <c r="X62" s="199">
        <f t="shared" si="111"/>
      </c>
      <c r="Y62" s="199">
        <f t="shared" si="7"/>
      </c>
      <c r="Z62" s="198">
        <v>13592</v>
      </c>
      <c r="AA62" s="217">
        <v>708</v>
      </c>
      <c r="AB62" s="198">
        <v>93</v>
      </c>
      <c r="AC62" s="231">
        <v>55</v>
      </c>
      <c r="AD62" s="198">
        <v>3</v>
      </c>
      <c r="AE62" s="228">
        <f t="shared" si="28"/>
      </c>
    </row>
    <row r="63">
      <c r="A63" s="187"/>
      <c r="B63" s="205" t="s">
        <v>137</v>
      </c>
      <c r="C63" s="205"/>
      <c r="D63" s="206">
        <f>SUM(D59:D62)</f>
      </c>
      <c r="E63" s="207">
        <f>SUM(E59:E62)</f>
      </c>
      <c r="F63" s="207">
        <f>SUM(F59:F62)</f>
      </c>
      <c r="G63" s="208">
        <f t="shared" si="46"/>
      </c>
      <c r="H63" s="207">
        <f>SUM(H59:H62)</f>
      </c>
      <c r="I63" s="207">
        <f>SUM(I59:I62)</f>
      </c>
      <c r="J63" s="207">
        <f>SUM(J59:J62)</f>
      </c>
      <c r="K63" s="207">
        <f>SUM(K59:K62)</f>
      </c>
      <c r="L63" s="207">
        <f>SUM(L59:L62)</f>
      </c>
      <c r="M63" s="208">
        <f>SUM(M59:M62)</f>
      </c>
      <c r="N63" s="209">
        <f t="shared" si="136"/>
      </c>
      <c r="O63" s="209">
        <f t="shared" si="137"/>
      </c>
      <c r="P63" s="207">
        <f>SUM(P59:P62)</f>
      </c>
      <c r="Q63" s="209">
        <f t="shared" si="10"/>
      </c>
      <c r="R63" s="210">
        <f t="shared" si="14"/>
      </c>
      <c r="S63" s="210">
        <f t="shared" si="45"/>
      </c>
      <c r="T63" s="211">
        <f>(T62+T61+T60+T59)/4</f>
      </c>
      <c r="U63" s="212">
        <f t="shared" si="108"/>
      </c>
      <c r="V63" s="213">
        <f t="shared" si="110"/>
      </c>
      <c r="W63" s="212">
        <f t="shared" si="138"/>
      </c>
      <c r="X63" s="212">
        <f t="shared" si="111"/>
      </c>
      <c r="Y63" s="212">
        <f t="shared" si="7"/>
      </c>
      <c r="Z63" s="209">
        <f>SUM(Z59:Z62)</f>
      </c>
      <c r="AA63" s="209">
        <f>SUM(AA59:AA62)</f>
      </c>
      <c r="AB63" s="209">
        <f>SUM(AB59:AB62)</f>
      </c>
      <c r="AC63" s="209">
        <f>SUM(AC59:AC62)</f>
      </c>
      <c r="AD63" s="230">
        <f>SUM(AD59:AD62)</f>
      </c>
      <c r="AE63" s="209">
        <f>SUM(AE59:AE62)</f>
      </c>
    </row>
    <row r="64">
      <c r="A64" s="187"/>
      <c r="B64" s="218" t="s">
        <v>144</v>
      </c>
      <c r="C64" s="218"/>
      <c r="D64" s="219">
        <f>D63+D58</f>
      </c>
      <c r="E64" s="222">
        <f>E63+E58</f>
      </c>
      <c r="F64" s="222">
        <f>F63+F58</f>
      </c>
      <c r="G64" s="221">
        <f t="shared" si="46"/>
      </c>
      <c r="H64" s="222">
        <f>H63+H58</f>
      </c>
      <c r="I64" s="222">
        <f>I63+I58</f>
      </c>
      <c r="J64" s="219">
        <f>J63+J58</f>
      </c>
      <c r="K64" s="219">
        <f>K63+K58</f>
      </c>
      <c r="L64" s="219">
        <f>L63+L58</f>
      </c>
      <c r="M64" s="222">
        <f>M63+M58</f>
      </c>
      <c r="N64" s="221">
        <f t="shared" si="136"/>
      </c>
      <c r="O64" s="221">
        <f t="shared" si="137"/>
      </c>
      <c r="P64" s="220">
        <f>P63+P58</f>
      </c>
      <c r="Q64" s="221">
        <f t="shared" si="10"/>
      </c>
      <c r="R64" s="223">
        <f t="shared" si="14"/>
      </c>
      <c r="S64" s="223">
        <f t="shared" si="45"/>
      </c>
      <c r="T64" s="224">
        <f>(T63+T58)/2</f>
      </c>
      <c r="U64" s="225">
        <f t="shared" si="108"/>
      </c>
      <c r="V64" s="226">
        <f t="shared" si="110"/>
      </c>
      <c r="W64" s="225">
        <f t="shared" si="138"/>
      </c>
      <c r="X64" s="225">
        <f t="shared" si="111"/>
      </c>
      <c r="Y64" s="225">
        <f t="shared" si="7"/>
      </c>
      <c r="Z64" s="219">
        <f>Z63+Z58</f>
      </c>
      <c r="AA64" s="219">
        <f>AA63+AA58</f>
      </c>
      <c r="AB64" s="219">
        <f>AB63+AB58</f>
      </c>
      <c r="AC64" s="219">
        <f>AC63+AC58</f>
      </c>
      <c r="AD64" s="219">
        <f>AD63+AD58</f>
      </c>
      <c r="AE64" s="219">
        <f>AE63+AE58</f>
      </c>
    </row>
    <row r="65">
      <c r="A65" s="187">
        <v>46229</v>
      </c>
      <c r="B65" s="188" t="s">
        <v>135</v>
      </c>
      <c r="C65" s="189" t="s">
        <v>139</v>
      </c>
      <c r="D65" s="190">
        <v>2705.45</v>
      </c>
      <c r="E65" s="191">
        <v>3</v>
      </c>
      <c r="F65" s="191">
        <v>1</v>
      </c>
      <c r="G65" s="195">
        <f t="shared" si="46"/>
      </c>
      <c r="H65" s="193">
        <v>3</v>
      </c>
      <c r="I65" s="193">
        <v>1</v>
      </c>
      <c r="J65" s="193">
        <v>2997.6000000000004</v>
      </c>
      <c r="K65" s="193">
        <v>0</v>
      </c>
      <c r="L65" s="193">
        <v>0</v>
      </c>
      <c r="M65" s="194">
        <f t="shared" ref="M65:M68" si="92">K65+I65</f>
      </c>
      <c r="N65" s="195">
        <f t="shared" si="136"/>
      </c>
      <c r="O65" s="195">
        <f t="shared" si="137"/>
      </c>
      <c r="P65" s="196">
        <f t="shared" ref="P65:P68" si="120">J65+L65</f>
      </c>
      <c r="Q65" s="195">
        <f t="shared" si="10"/>
      </c>
      <c r="R65" s="197">
        <f t="shared" si="14"/>
      </c>
      <c r="S65" s="197">
        <f t="shared" si="45"/>
      </c>
      <c r="T65" s="214">
        <f t="shared" ref="T65:T68" si="62">AA65/60</f>
      </c>
      <c r="U65" s="199">
        <f t="shared" si="108"/>
      </c>
      <c r="V65" s="200">
        <f t="shared" si="110"/>
      </c>
      <c r="W65" s="199">
        <f t="shared" si="138"/>
      </c>
      <c r="X65" s="199">
        <f t="shared" si="111"/>
      </c>
      <c r="Y65" s="227">
        <f t="shared" si="7"/>
      </c>
      <c r="Z65" s="217">
        <v>11705</v>
      </c>
      <c r="AA65" s="198">
        <v>441</v>
      </c>
      <c r="AB65" s="198">
        <v>57</v>
      </c>
      <c r="AC65" s="198">
        <v>48</v>
      </c>
      <c r="AD65" s="198">
        <v>3</v>
      </c>
      <c r="AE65" s="228">
        <f t="shared" ref="AE65:AE68" si="29">COUNT(AD65)</f>
      </c>
    </row>
    <row r="66">
      <c r="A66" s="187"/>
      <c r="B66" s="188" t="s">
        <v>136</v>
      </c>
      <c r="C66" s="189" t="s">
        <v>139</v>
      </c>
      <c r="D66" s="232">
        <v>2273.93</v>
      </c>
      <c r="E66" s="233">
        <v>4</v>
      </c>
      <c r="F66" s="233">
        <v>1</v>
      </c>
      <c r="G66" s="195">
        <f t="shared" si="46"/>
      </c>
      <c r="H66" s="235">
        <v>5</v>
      </c>
      <c r="I66" s="235">
        <v>1</v>
      </c>
      <c r="J66" s="235">
        <v>2997.6000000000004</v>
      </c>
      <c r="K66" s="235">
        <v>0</v>
      </c>
      <c r="L66" s="235">
        <v>0</v>
      </c>
      <c r="M66" s="236">
        <f t="shared" si="92"/>
      </c>
      <c r="N66" s="234">
        <f t="shared" si="136"/>
      </c>
      <c r="O66" s="234">
        <f t="shared" si="137"/>
      </c>
      <c r="P66" s="237">
        <f t="shared" si="120"/>
      </c>
      <c r="Q66" s="234">
        <f t="shared" si="10"/>
      </c>
      <c r="R66" s="238">
        <f t="shared" si="14"/>
      </c>
      <c r="S66" s="238">
        <f t="shared" si="45"/>
      </c>
      <c r="T66" s="239">
        <f t="shared" si="62"/>
      </c>
      <c r="U66" s="240">
        <f t="shared" si="108"/>
      </c>
      <c r="V66" s="240">
        <f t="shared" si="110"/>
      </c>
      <c r="W66" s="240">
        <f t="shared" si="138"/>
      </c>
      <c r="X66" s="240">
        <f t="shared" si="111"/>
      </c>
      <c r="Y66" s="241">
        <f t="shared" si="7"/>
      </c>
      <c r="Z66" s="242">
        <v>9763</v>
      </c>
      <c r="AA66" s="242">
        <v>521</v>
      </c>
      <c r="AB66" s="242">
        <v>32</v>
      </c>
      <c r="AC66" s="242">
        <v>53</v>
      </c>
      <c r="AD66" s="242">
        <v>5</v>
      </c>
      <c r="AE66" s="228">
        <f t="shared" si="29"/>
      </c>
    </row>
    <row r="67">
      <c r="A67" s="187"/>
      <c r="B67" s="188" t="s">
        <v>138</v>
      </c>
      <c r="C67" s="189" t="s">
        <v>139</v>
      </c>
      <c r="D67" s="190">
        <v>2122.73</v>
      </c>
      <c r="E67" s="191">
        <v>2</v>
      </c>
      <c r="F67" s="191">
        <v>2</v>
      </c>
      <c r="G67" s="195">
        <f t="shared" si="46"/>
      </c>
      <c r="H67" s="193">
        <v>2</v>
      </c>
      <c r="I67" s="193">
        <v>1</v>
      </c>
      <c r="J67" s="193">
        <v>720</v>
      </c>
      <c r="K67" s="193">
        <v>1</v>
      </c>
      <c r="L67" s="193">
        <v>1669.1999999999998</v>
      </c>
      <c r="M67" s="194">
        <f t="shared" si="92"/>
      </c>
      <c r="N67" s="195">
        <f t="shared" si="136"/>
      </c>
      <c r="O67" s="195">
        <f t="shared" si="137"/>
      </c>
      <c r="P67" s="196">
        <f t="shared" si="120"/>
      </c>
      <c r="Q67" s="195">
        <f t="shared" si="10"/>
      </c>
      <c r="R67" s="197">
        <f t="shared" si="14"/>
      </c>
      <c r="S67" s="197">
        <f t="shared" si="45"/>
      </c>
      <c r="T67" s="214">
        <f t="shared" si="62"/>
      </c>
      <c r="U67" s="199">
        <f t="shared" si="108"/>
      </c>
      <c r="V67" s="200">
        <f t="shared" si="110"/>
      </c>
      <c r="W67" s="199">
        <f t="shared" si="138"/>
      </c>
      <c r="X67" s="199">
        <f t="shared" si="111"/>
      </c>
      <c r="Y67" s="227">
        <f t="shared" si="7"/>
      </c>
      <c r="Z67" s="198">
        <v>8358</v>
      </c>
      <c r="AA67" s="198">
        <v>577</v>
      </c>
      <c r="AB67" s="198">
        <v>32</v>
      </c>
      <c r="AC67" s="198">
        <v>42</v>
      </c>
      <c r="AD67" s="198">
        <v>2</v>
      </c>
      <c r="AE67" s="228">
        <f t="shared" si="29"/>
      </c>
    </row>
    <row r="68">
      <c r="A68" s="187"/>
      <c r="B68" s="188" t="s">
        <v>140</v>
      </c>
      <c r="C68" s="189" t="s">
        <v>139</v>
      </c>
      <c r="D68" s="190">
        <v>3781.48</v>
      </c>
      <c r="E68" s="191">
        <v>7</v>
      </c>
      <c r="F68" s="191">
        <v>5</v>
      </c>
      <c r="G68" s="195">
        <f t="shared" si="46"/>
      </c>
      <c r="H68" s="193">
        <v>10</v>
      </c>
      <c r="I68" s="193">
        <v>4</v>
      </c>
      <c r="J68" s="193">
        <v>4166.399999999998</v>
      </c>
      <c r="K68" s="193">
        <v>3</v>
      </c>
      <c r="L68" s="193">
        <v>7459.200000000002</v>
      </c>
      <c r="M68" s="194">
        <f t="shared" si="92"/>
      </c>
      <c r="N68" s="195">
        <f t="shared" si="136"/>
      </c>
      <c r="O68" s="195">
        <f t="shared" si="137"/>
      </c>
      <c r="P68" s="196">
        <f t="shared" si="120"/>
      </c>
      <c r="Q68" s="195">
        <f t="shared" si="10"/>
      </c>
      <c r="R68" s="197">
        <f t="shared" si="14"/>
      </c>
      <c r="S68" s="197">
        <f t="shared" si="45"/>
      </c>
      <c r="T68" s="214">
        <f t="shared" si="62"/>
      </c>
      <c r="U68" s="199">
        <f t="shared" si="108"/>
      </c>
      <c r="V68" s="200">
        <f t="shared" si="110"/>
      </c>
      <c r="W68" s="199">
        <f t="shared" si="138"/>
      </c>
      <c r="X68" s="199">
        <f t="shared" si="111"/>
      </c>
      <c r="Y68" s="227">
        <f t="shared" si="7"/>
      </c>
      <c r="Z68" s="198">
        <v>11945</v>
      </c>
      <c r="AA68" s="198">
        <v>687</v>
      </c>
      <c r="AB68" s="198">
        <v>97</v>
      </c>
      <c r="AC68" s="198">
        <v>82</v>
      </c>
      <c r="AD68" s="198">
        <v>10</v>
      </c>
      <c r="AE68" s="228">
        <f t="shared" si="29"/>
      </c>
    </row>
    <row r="69">
      <c r="A69" s="187"/>
      <c r="B69" s="205" t="s">
        <v>137</v>
      </c>
      <c r="C69" s="205"/>
      <c r="D69" s="206">
        <f>SUM(D65:D68)</f>
      </c>
      <c r="E69" s="207">
        <f>SUM(E65:E68)</f>
      </c>
      <c r="F69" s="207">
        <f>SUM(F65:F68)</f>
      </c>
      <c r="G69" s="209">
        <f t="shared" si="46"/>
      </c>
      <c r="H69" s="207">
        <f>SUM(H65:H68)</f>
      </c>
      <c r="I69" s="207">
        <f>SUM(I65:I68)</f>
      </c>
      <c r="J69" s="207">
        <f>SUM(J65:J68)</f>
      </c>
      <c r="K69" s="207">
        <f>SUM(K65:K68)</f>
      </c>
      <c r="L69" s="207">
        <f>SUM(L65:L68)</f>
      </c>
      <c r="M69" s="208">
        <f>SUM(M65:M68)</f>
      </c>
      <c r="N69" s="209">
        <f t="shared" si="136"/>
      </c>
      <c r="O69" s="209">
        <f t="shared" si="137"/>
      </c>
      <c r="P69" s="207">
        <f>SUM(P65:P68)</f>
      </c>
      <c r="Q69" s="209">
        <f t="shared" si="10"/>
      </c>
      <c r="R69" s="210">
        <f t="shared" si="14"/>
      </c>
      <c r="S69" s="210">
        <f t="shared" si="45"/>
      </c>
      <c r="T69" s="211">
        <f>(T68+T66+T67+T65)/4</f>
      </c>
      <c r="U69" s="215">
        <f t="shared" si="108"/>
      </c>
      <c r="V69" s="215">
        <f t="shared" si="110"/>
      </c>
      <c r="W69" s="215">
        <f t="shared" si="138"/>
      </c>
      <c r="X69" s="215">
        <f t="shared" si="111"/>
      </c>
      <c r="Y69" s="215">
        <f t="shared" si="7"/>
      </c>
      <c r="Z69" s="230">
        <f>SUM(Z65:Z68)</f>
      </c>
      <c r="AA69" s="230">
        <f>SUM(AA65:AA68)</f>
      </c>
      <c r="AB69" s="230">
        <f>SUM(AB65:AB68)</f>
      </c>
      <c r="AC69" s="230">
        <f>SUM(AC65:AC68)</f>
      </c>
      <c r="AD69" s="230">
        <f>SUM(AD65:AD68)</f>
      </c>
      <c r="AE69" s="209">
        <f>SUM(AE65:AE68)</f>
      </c>
    </row>
    <row r="70">
      <c r="A70" s="187"/>
      <c r="B70" s="189" t="s">
        <v>141</v>
      </c>
      <c r="C70" s="189" t="s">
        <v>145</v>
      </c>
      <c r="D70" s="190">
        <v>5347.27</v>
      </c>
      <c r="E70" s="191">
        <v>8</v>
      </c>
      <c r="F70" s="191">
        <v>6</v>
      </c>
      <c r="G70" s="195">
        <f t="shared" si="46"/>
      </c>
      <c r="H70" s="216">
        <v>9</v>
      </c>
      <c r="I70" s="216">
        <v>4</v>
      </c>
      <c r="J70" s="193">
        <v>3261.6000000000004</v>
      </c>
      <c r="K70" s="216">
        <v>1</v>
      </c>
      <c r="L70" s="193">
        <v>4239.6</v>
      </c>
      <c r="M70" s="194">
        <f t="shared" ref="M70:M73" si="93">K70+I70</f>
      </c>
      <c r="N70" s="195">
        <f t="shared" si="136"/>
      </c>
      <c r="O70" s="195">
        <f t="shared" si="137"/>
      </c>
      <c r="P70" s="196">
        <f t="shared" ref="P70:P73" si="121">J70+L70</f>
      </c>
      <c r="Q70" s="195">
        <f t="shared" si="10"/>
      </c>
      <c r="R70" s="197">
        <f t="shared" si="14"/>
      </c>
      <c r="S70" s="197">
        <f t="shared" si="45"/>
      </c>
      <c r="T70" s="214">
        <f t="shared" ref="T70:T73" si="63">AA70/60</f>
      </c>
      <c r="U70" s="199">
        <f t="shared" si="108"/>
      </c>
      <c r="V70" s="200">
        <f t="shared" si="110"/>
      </c>
      <c r="W70" s="199">
        <f t="shared" si="138"/>
      </c>
      <c r="X70" s="199">
        <f t="shared" si="111"/>
      </c>
      <c r="Y70" s="199">
        <f t="shared" si="7"/>
      </c>
      <c r="Z70" s="198">
        <v>19970</v>
      </c>
      <c r="AA70" s="198">
        <v>996</v>
      </c>
      <c r="AB70" s="198">
        <v>80</v>
      </c>
      <c r="AC70" s="198">
        <v>102</v>
      </c>
      <c r="AD70" s="204">
        <v>9</v>
      </c>
      <c r="AE70" s="202">
        <f t="shared" ref="AE70:AE73" si="30">COUNT(AD70)</f>
      </c>
    </row>
    <row r="71">
      <c r="A71" s="187"/>
      <c r="B71" s="189" t="s">
        <v>143</v>
      </c>
      <c r="C71" s="189" t="s">
        <v>145</v>
      </c>
      <c r="D71" s="203">
        <v>3398.97</v>
      </c>
      <c r="E71" s="191">
        <v>3</v>
      </c>
      <c r="F71" s="191">
        <v>1</v>
      </c>
      <c r="G71" s="195">
        <f t="shared" si="46"/>
      </c>
      <c r="H71" s="193">
        <v>6</v>
      </c>
      <c r="I71" s="193">
        <v>3</v>
      </c>
      <c r="J71" s="193">
        <v>3368.3999999999996</v>
      </c>
      <c r="K71" s="216">
        <v>0</v>
      </c>
      <c r="L71" s="193">
        <v>0</v>
      </c>
      <c r="M71" s="194">
        <f t="shared" si="93"/>
      </c>
      <c r="N71" s="195">
        <f t="shared" si="136"/>
      </c>
      <c r="O71" s="195">
        <f t="shared" si="137"/>
      </c>
      <c r="P71" s="196">
        <f t="shared" si="121"/>
      </c>
      <c r="Q71" s="195">
        <f t="shared" si="10"/>
      </c>
      <c r="R71" s="197">
        <f t="shared" si="14"/>
      </c>
      <c r="S71" s="197">
        <f t="shared" si="45"/>
      </c>
      <c r="T71" s="214">
        <f t="shared" si="63"/>
      </c>
      <c r="U71" s="199">
        <f t="shared" si="108"/>
      </c>
      <c r="V71" s="200">
        <f t="shared" si="110"/>
      </c>
      <c r="W71" s="199">
        <f t="shared" si="138"/>
      </c>
      <c r="X71" s="199">
        <f t="shared" si="111"/>
      </c>
      <c r="Y71" s="199">
        <f t="shared" si="7"/>
      </c>
      <c r="Z71" s="217">
        <v>14132</v>
      </c>
      <c r="AA71" s="217">
        <v>645</v>
      </c>
      <c r="AB71" s="198">
        <v>43</v>
      </c>
      <c r="AC71" s="231">
        <v>79</v>
      </c>
      <c r="AD71" s="198">
        <v>6</v>
      </c>
      <c r="AE71" s="228">
        <f t="shared" si="30"/>
      </c>
    </row>
    <row r="72">
      <c r="A72" s="187"/>
      <c r="B72" s="189" t="s">
        <v>146</v>
      </c>
      <c r="C72" s="189" t="s">
        <v>145</v>
      </c>
      <c r="D72" s="190">
        <v>3778.25</v>
      </c>
      <c r="E72" s="191">
        <v>8</v>
      </c>
      <c r="F72" s="191">
        <v>4</v>
      </c>
      <c r="G72" s="195">
        <f t="shared" si="46"/>
      </c>
      <c r="H72" s="193">
        <v>7</v>
      </c>
      <c r="I72" s="193">
        <v>3</v>
      </c>
      <c r="J72" s="193">
        <v>3350.3999999999996</v>
      </c>
      <c r="K72" s="193">
        <v>1</v>
      </c>
      <c r="L72" s="193">
        <v>1669.1999999999998</v>
      </c>
      <c r="M72" s="194">
        <f t="shared" si="93"/>
      </c>
      <c r="N72" s="195">
        <f t="shared" si="136"/>
      </c>
      <c r="O72" s="195">
        <f t="shared" si="137"/>
      </c>
      <c r="P72" s="196">
        <f t="shared" si="121"/>
      </c>
      <c r="Q72" s="195">
        <f t="shared" si="10"/>
      </c>
      <c r="R72" s="197">
        <f t="shared" si="14"/>
      </c>
      <c r="S72" s="197">
        <f t="shared" si="45"/>
      </c>
      <c r="T72" s="214">
        <f t="shared" si="63"/>
      </c>
      <c r="U72" s="199">
        <f t="shared" si="108"/>
      </c>
      <c r="V72" s="200">
        <f t="shared" si="110"/>
      </c>
      <c r="W72" s="199">
        <f t="shared" si="138"/>
      </c>
      <c r="X72" s="199">
        <f t="shared" si="111"/>
      </c>
      <c r="Y72" s="199">
        <f t="shared" si="7"/>
      </c>
      <c r="Z72" s="198">
        <v>18221</v>
      </c>
      <c r="AA72" s="198">
        <v>866</v>
      </c>
      <c r="AB72" s="198">
        <v>110</v>
      </c>
      <c r="AC72" s="231">
        <v>125</v>
      </c>
      <c r="AD72" s="198">
        <v>7</v>
      </c>
      <c r="AE72" s="228">
        <f t="shared" si="30"/>
      </c>
    </row>
    <row r="73">
      <c r="A73" s="187"/>
      <c r="B73" s="188" t="s">
        <v>147</v>
      </c>
      <c r="C73" s="189" t="s">
        <v>145</v>
      </c>
      <c r="D73" s="190">
        <v>3248.25</v>
      </c>
      <c r="E73" s="243">
        <v>4</v>
      </c>
      <c r="F73" s="191">
        <v>2</v>
      </c>
      <c r="G73" s="195">
        <f t="shared" si="46"/>
      </c>
      <c r="H73" s="193">
        <v>5</v>
      </c>
      <c r="I73" s="193">
        <v>1</v>
      </c>
      <c r="J73" s="216">
        <v>168</v>
      </c>
      <c r="K73" s="193">
        <v>1</v>
      </c>
      <c r="L73" s="216">
        <v>1186.8000000000002</v>
      </c>
      <c r="M73" s="194">
        <f t="shared" si="93"/>
      </c>
      <c r="N73" s="195">
        <f t="shared" si="136"/>
      </c>
      <c r="O73" s="195">
        <f t="shared" si="137"/>
      </c>
      <c r="P73" s="196">
        <f t="shared" si="121"/>
      </c>
      <c r="Q73" s="195">
        <f t="shared" si="10"/>
      </c>
      <c r="R73" s="197">
        <f t="shared" si="14"/>
      </c>
      <c r="S73" s="197">
        <f t="shared" si="45"/>
      </c>
      <c r="T73" s="214">
        <f t="shared" si="63"/>
      </c>
      <c r="U73" s="199">
        <f t="shared" si="108"/>
      </c>
      <c r="V73" s="200">
        <f t="shared" si="110"/>
      </c>
      <c r="W73" s="199">
        <f t="shared" si="138"/>
      </c>
      <c r="X73" s="199">
        <f t="shared" si="111"/>
      </c>
      <c r="Y73" s="199">
        <f t="shared" si="7"/>
      </c>
      <c r="Z73" s="198">
        <v>18763</v>
      </c>
      <c r="AA73" s="217">
        <v>926</v>
      </c>
      <c r="AB73" s="198">
        <v>102</v>
      </c>
      <c r="AC73" s="231">
        <v>67</v>
      </c>
      <c r="AD73" s="198">
        <v>5</v>
      </c>
      <c r="AE73" s="228">
        <f t="shared" si="30"/>
      </c>
    </row>
    <row r="74">
      <c r="A74" s="187"/>
      <c r="B74" s="205" t="s">
        <v>137</v>
      </c>
      <c r="C74" s="205"/>
      <c r="D74" s="206">
        <f>SUM(D70:D73)</f>
      </c>
      <c r="E74" s="207">
        <f>SUM(E70:E73)</f>
      </c>
      <c r="F74" s="207">
        <f>SUM(F70:F73)</f>
      </c>
      <c r="G74" s="209">
        <f t="shared" si="46"/>
      </c>
      <c r="H74" s="207">
        <f>SUM(H70:H73)</f>
      </c>
      <c r="I74" s="207">
        <f>SUM(I70:I73)</f>
      </c>
      <c r="J74" s="207">
        <f>SUM(J70:J73)</f>
      </c>
      <c r="K74" s="207">
        <f>SUM(K70:K73)</f>
      </c>
      <c r="L74" s="207">
        <f>SUM(L70:L73)</f>
      </c>
      <c r="M74" s="208">
        <f>SUM(M70:M73)</f>
      </c>
      <c r="N74" s="209">
        <f t="shared" si="136"/>
      </c>
      <c r="O74" s="209">
        <f t="shared" si="137"/>
      </c>
      <c r="P74" s="207">
        <f>SUM(P70:P73)</f>
      </c>
      <c r="Q74" s="209">
        <f t="shared" si="10"/>
      </c>
      <c r="R74" s="210">
        <f t="shared" si="14"/>
      </c>
      <c r="S74" s="210">
        <f t="shared" si="45"/>
      </c>
      <c r="T74" s="211">
        <f>(T73+T72+T71+T70)/4</f>
      </c>
      <c r="U74" s="212">
        <f t="shared" si="108"/>
      </c>
      <c r="V74" s="213">
        <f t="shared" si="110"/>
      </c>
      <c r="W74" s="212">
        <f t="shared" si="138"/>
      </c>
      <c r="X74" s="212">
        <f t="shared" si="111"/>
      </c>
      <c r="Y74" s="212">
        <f t="shared" si="7"/>
      </c>
      <c r="Z74" s="209">
        <f>SUM(Z70:Z73)</f>
      </c>
      <c r="AA74" s="209">
        <f>SUM(AA70:AA73)</f>
      </c>
      <c r="AB74" s="209">
        <f>SUM(AB70:AB73)</f>
      </c>
      <c r="AC74" s="209">
        <f>SUM(AC70:AC73)</f>
      </c>
      <c r="AD74" s="230">
        <f>SUM(AD70:AD73)</f>
      </c>
      <c r="AE74" s="209">
        <f>SUM(AE70:AE73)</f>
      </c>
    </row>
    <row r="75">
      <c r="A75" s="187"/>
      <c r="B75" s="218" t="s">
        <v>144</v>
      </c>
      <c r="C75" s="218"/>
      <c r="D75" s="219">
        <f>D74+D69</f>
      </c>
      <c r="E75" s="222">
        <f>E74+E69</f>
      </c>
      <c r="F75" s="222">
        <f>F74+F69</f>
      </c>
      <c r="G75" s="221">
        <f t="shared" si="46"/>
      </c>
      <c r="H75" s="222">
        <f>H74+H69</f>
      </c>
      <c r="I75" s="222">
        <f>I74+I69</f>
      </c>
      <c r="J75" s="219">
        <f>J74+J69</f>
      </c>
      <c r="K75" s="219">
        <f>K74+K69</f>
      </c>
      <c r="L75" s="219">
        <f>L74+L69</f>
      </c>
      <c r="M75" s="222">
        <f>M74+M69</f>
      </c>
      <c r="N75" s="221">
        <f t="shared" si="136"/>
      </c>
      <c r="O75" s="221">
        <f t="shared" si="137"/>
      </c>
      <c r="P75" s="220">
        <f>P74+P69</f>
      </c>
      <c r="Q75" s="221">
        <f t="shared" si="10"/>
      </c>
      <c r="R75" s="223">
        <f t="shared" si="14"/>
      </c>
      <c r="S75" s="223">
        <f t="shared" si="45"/>
      </c>
      <c r="T75" s="224">
        <f>(T74+T69)/2</f>
      </c>
      <c r="U75" s="225">
        <f t="shared" si="108"/>
      </c>
      <c r="V75" s="226">
        <f t="shared" si="110"/>
      </c>
      <c r="W75" s="225">
        <f t="shared" si="138"/>
      </c>
      <c r="X75" s="225">
        <f t="shared" si="111"/>
      </c>
      <c r="Y75" s="225">
        <f t="shared" si="7"/>
      </c>
      <c r="Z75" s="219">
        <f>Z74+Z69</f>
      </c>
      <c r="AA75" s="219">
        <f>AA74+AA69</f>
      </c>
      <c r="AB75" s="219">
        <f>AB74+AB69</f>
      </c>
      <c r="AC75" s="219">
        <f>AC74+AC69</f>
      </c>
      <c r="AD75" s="219">
        <f>AD74+AD69</f>
      </c>
      <c r="AE75" s="219">
        <f>AE74+AE69</f>
      </c>
    </row>
    <row r="76">
      <c r="A76" s="187">
        <v>46230</v>
      </c>
      <c r="B76" s="188" t="s">
        <v>135</v>
      </c>
      <c r="C76" s="189" t="s">
        <v>139</v>
      </c>
      <c r="D76" s="190">
        <v>2424.99</v>
      </c>
      <c r="E76" s="244">
        <v>3</v>
      </c>
      <c r="F76" s="244">
        <v>0</v>
      </c>
      <c r="G76" s="195">
        <f t="shared" si="46"/>
      </c>
      <c r="H76" s="198">
        <v>3</v>
      </c>
      <c r="I76" s="198">
        <v>0</v>
      </c>
      <c r="J76" s="193">
        <v>0</v>
      </c>
      <c r="K76" s="198">
        <v>0</v>
      </c>
      <c r="L76" s="193">
        <v>0</v>
      </c>
      <c r="M76" s="198">
        <f t="shared" ref="M76:M78" si="94">K76+I76</f>
      </c>
      <c r="N76" s="195">
        <f t="shared" si="136"/>
      </c>
      <c r="O76" s="195">
        <f t="shared" si="137"/>
      </c>
      <c r="P76" s="196">
        <f t="shared" ref="P76:P78" si="122">J76+L76</f>
      </c>
      <c r="Q76" s="195">
        <f t="shared" si="10"/>
      </c>
      <c r="R76" s="197">
        <f t="shared" si="14"/>
      </c>
      <c r="S76" s="197">
        <f t="shared" si="45"/>
      </c>
      <c r="T76" s="214">
        <f t="shared" ref="T76:T78" si="64">AA76/60</f>
      </c>
      <c r="U76" s="199">
        <f t="shared" si="108"/>
      </c>
      <c r="V76" s="200">
        <f t="shared" si="110"/>
      </c>
      <c r="W76" s="199">
        <f t="shared" si="138"/>
      </c>
      <c r="X76" s="199">
        <f t="shared" si="111"/>
      </c>
      <c r="Y76" s="227">
        <f t="shared" si="7"/>
      </c>
      <c r="Z76" s="198">
        <v>9974</v>
      </c>
      <c r="AA76" s="198">
        <v>354</v>
      </c>
      <c r="AB76" s="198">
        <v>17</v>
      </c>
      <c r="AC76" s="198">
        <v>50</v>
      </c>
      <c r="AD76" s="198">
        <v>3</v>
      </c>
      <c r="AE76" s="228">
        <f t="shared" ref="AE76:AE78" si="31">COUNT(AD76)</f>
      </c>
    </row>
    <row r="77">
      <c r="A77" s="187"/>
      <c r="B77" s="188" t="s">
        <v>136</v>
      </c>
      <c r="C77" s="189" t="s">
        <v>139</v>
      </c>
      <c r="D77" s="232">
        <v>2313.25</v>
      </c>
      <c r="E77" s="245">
        <v>1</v>
      </c>
      <c r="F77" s="245">
        <v>0</v>
      </c>
      <c r="G77" s="195">
        <f t="shared" si="46"/>
      </c>
      <c r="H77" s="202">
        <v>2</v>
      </c>
      <c r="I77" s="202">
        <v>0</v>
      </c>
      <c r="J77" s="246">
        <v>0</v>
      </c>
      <c r="K77" s="202">
        <v>0</v>
      </c>
      <c r="L77" s="235">
        <v>0</v>
      </c>
      <c r="M77" s="202">
        <f t="shared" si="94"/>
      </c>
      <c r="N77" s="234">
        <f t="shared" si="136"/>
      </c>
      <c r="O77" s="234">
        <f t="shared" si="137"/>
      </c>
      <c r="P77" s="237">
        <f t="shared" si="122"/>
      </c>
      <c r="Q77" s="234">
        <f t="shared" si="10"/>
      </c>
      <c r="R77" s="238">
        <f t="shared" si="14"/>
      </c>
      <c r="S77" s="238">
        <f t="shared" si="45"/>
      </c>
      <c r="T77" s="239">
        <f t="shared" si="64"/>
      </c>
      <c r="U77" s="240">
        <f t="shared" si="108"/>
      </c>
      <c r="V77" s="240">
        <f t="shared" si="110"/>
      </c>
      <c r="W77" s="240">
        <f t="shared" si="138"/>
      </c>
      <c r="X77" s="240">
        <f t="shared" si="111"/>
      </c>
      <c r="Y77" s="241">
        <f t="shared" si="7"/>
      </c>
      <c r="Z77" s="242">
        <v>5942</v>
      </c>
      <c r="AA77" s="242">
        <v>258</v>
      </c>
      <c r="AB77" s="242">
        <v>45</v>
      </c>
      <c r="AC77" s="242">
        <v>55</v>
      </c>
      <c r="AD77" s="242">
        <v>2</v>
      </c>
      <c r="AE77" s="228">
        <f t="shared" si="31"/>
      </c>
    </row>
    <row r="78">
      <c r="A78" s="187"/>
      <c r="B78" s="188" t="s">
        <v>138</v>
      </c>
      <c r="C78" s="189" t="s">
        <v>139</v>
      </c>
      <c r="D78" s="190">
        <v>2689.57</v>
      </c>
      <c r="E78" s="244">
        <v>3</v>
      </c>
      <c r="F78" s="244">
        <v>0</v>
      </c>
      <c r="G78" s="195">
        <f t="shared" si="46"/>
      </c>
      <c r="H78" s="198">
        <v>8</v>
      </c>
      <c r="I78" s="198">
        <v>0</v>
      </c>
      <c r="J78" s="193">
        <v>0</v>
      </c>
      <c r="K78" s="198">
        <v>0</v>
      </c>
      <c r="L78" s="193">
        <v>0</v>
      </c>
      <c r="M78" s="198">
        <f t="shared" si="94"/>
      </c>
      <c r="N78" s="195">
        <f t="shared" si="136"/>
      </c>
      <c r="O78" s="195">
        <f t="shared" si="137"/>
      </c>
      <c r="P78" s="196">
        <f t="shared" si="122"/>
      </c>
      <c r="Q78" s="195">
        <f t="shared" si="10"/>
      </c>
      <c r="R78" s="197">
        <f t="shared" si="14"/>
      </c>
      <c r="S78" s="197">
        <f t="shared" si="45"/>
      </c>
      <c r="T78" s="214">
        <f t="shared" si="64"/>
      </c>
      <c r="U78" s="199">
        <f t="shared" si="108"/>
      </c>
      <c r="V78" s="200">
        <f t="shared" si="110"/>
      </c>
      <c r="W78" s="199">
        <f t="shared" si="138"/>
      </c>
      <c r="X78" s="199">
        <f t="shared" si="111"/>
      </c>
      <c r="Y78" s="227">
        <f t="shared" si="7"/>
      </c>
      <c r="Z78" s="198">
        <v>8232</v>
      </c>
      <c r="AA78" s="198">
        <v>377</v>
      </c>
      <c r="AB78" s="198">
        <v>39</v>
      </c>
      <c r="AC78" s="198">
        <v>68</v>
      </c>
      <c r="AD78" s="198">
        <v>8</v>
      </c>
      <c r="AE78" s="228">
        <f t="shared" si="31"/>
      </c>
    </row>
    <row r="79">
      <c r="A79" s="187"/>
      <c r="B79" s="205" t="s">
        <v>137</v>
      </c>
      <c r="C79" s="205"/>
      <c r="D79" s="206">
        <f>SUM(D76:D78)</f>
      </c>
      <c r="E79" s="209">
        <f>SUM(E76:E78)</f>
      </c>
      <c r="F79" s="209">
        <f>SUM(F76:F78)</f>
      </c>
      <c r="G79" s="209">
        <f t="shared" si="46"/>
      </c>
      <c r="H79" s="209">
        <f>SUM(H76:H78)</f>
      </c>
      <c r="I79" s="209">
        <f>SUM(I76:I78)</f>
      </c>
      <c r="J79" s="207">
        <f>SUM(J76:J78)</f>
      </c>
      <c r="K79" s="209">
        <f>SUM(K76:K78)</f>
      </c>
      <c r="L79" s="207">
        <f>SUM(L76:L78)</f>
      </c>
      <c r="M79" s="209">
        <f>SUM(M76:M78)</f>
      </c>
      <c r="N79" s="209">
        <f t="shared" si="136"/>
      </c>
      <c r="O79" s="209">
        <f t="shared" si="137"/>
      </c>
      <c r="P79" s="207">
        <f>SUM(P76:P78)</f>
      </c>
      <c r="Q79" s="209">
        <f t="shared" si="10"/>
      </c>
      <c r="R79" s="210">
        <f t="shared" si="14"/>
      </c>
      <c r="S79" s="210">
        <f t="shared" si="45"/>
      </c>
      <c r="T79" s="211">
        <f>(T77+T76+T78)/3</f>
      </c>
      <c r="U79" s="215">
        <f t="shared" si="108"/>
      </c>
      <c r="V79" s="215">
        <f t="shared" si="110"/>
      </c>
      <c r="W79" s="215">
        <f t="shared" si="138"/>
      </c>
      <c r="X79" s="215">
        <f t="shared" si="111"/>
      </c>
      <c r="Y79" s="215">
        <f t="shared" si="7"/>
      </c>
      <c r="Z79" s="230">
        <f>SUM(Z76:Z78)</f>
      </c>
      <c r="AA79" s="230">
        <f>SUM(AA76:AA78)</f>
      </c>
      <c r="AB79" s="230">
        <f>SUM(AB76:AB78)</f>
      </c>
      <c r="AC79" s="230">
        <f>SUM(AC76:AC78)</f>
      </c>
      <c r="AD79" s="230">
        <f>SUM(AD76:AD78)</f>
      </c>
      <c r="AE79" s="209">
        <f>SUM(AE76:AE78)</f>
      </c>
    </row>
    <row customHeight="true" ht="16.071428571428573" r="80">
      <c r="A80" s="187"/>
      <c r="B80" s="189" t="s">
        <v>140</v>
      </c>
      <c r="C80" s="189" t="s">
        <v>148</v>
      </c>
      <c r="D80" s="203">
        <v>1871.96</v>
      </c>
      <c r="E80" s="244">
        <v>2</v>
      </c>
      <c r="F80" s="244">
        <v>1</v>
      </c>
      <c r="G80" s="195">
        <f t="shared" si="46"/>
      </c>
      <c r="H80" s="198">
        <v>3</v>
      </c>
      <c r="I80" s="217">
        <v>2</v>
      </c>
      <c r="J80" s="193">
        <v>1404</v>
      </c>
      <c r="K80" s="217">
        <v>0</v>
      </c>
      <c r="L80" s="193">
        <v>0</v>
      </c>
      <c r="M80" s="198">
        <f t="shared" ref="M80:M81" si="95">K80+I80</f>
      </c>
      <c r="N80" s="195">
        <f t="shared" si="136"/>
      </c>
      <c r="O80" s="195">
        <f t="shared" si="137"/>
      </c>
      <c r="P80" s="196">
        <f t="shared" ref="P80:P81" si="123">J80+L80</f>
      </c>
      <c r="Q80" s="195">
        <f t="shared" si="10"/>
      </c>
      <c r="R80" s="197">
        <f t="shared" si="14"/>
      </c>
      <c r="S80" s="197">
        <f t="shared" si="45"/>
      </c>
      <c r="T80" s="214">
        <f t="shared" ref="T80:T81" si="65">AA80/60</f>
      </c>
      <c r="U80" s="199">
        <f t="shared" si="108"/>
      </c>
      <c r="V80" s="200">
        <f t="shared" si="110"/>
      </c>
      <c r="W80" s="199">
        <f t="shared" si="138"/>
      </c>
      <c r="X80" s="199">
        <f t="shared" si="111"/>
      </c>
      <c r="Y80" s="199">
        <f t="shared" si="7"/>
      </c>
      <c r="Z80" s="217">
        <v>7205</v>
      </c>
      <c r="AA80" s="217">
        <v>341</v>
      </c>
      <c r="AB80" s="198">
        <v>19</v>
      </c>
      <c r="AC80" s="231">
        <v>45</v>
      </c>
      <c r="AD80" s="198">
        <v>3</v>
      </c>
      <c r="AE80" s="228">
        <f t="shared" ref="AE80:AE81" si="32">COUNT(AD80)</f>
      </c>
    </row>
    <row customHeight="true" ht="16.071428571428573" r="81">
      <c r="A81" s="187"/>
      <c r="B81" s="189" t="s">
        <v>141</v>
      </c>
      <c r="C81" s="189" t="s">
        <v>148</v>
      </c>
      <c r="D81" s="190">
        <v>3324.07</v>
      </c>
      <c r="E81" s="247">
        <v>9</v>
      </c>
      <c r="F81" s="244">
        <v>3</v>
      </c>
      <c r="G81" s="195">
        <f t="shared" si="46"/>
      </c>
      <c r="H81" s="217">
        <v>12</v>
      </c>
      <c r="I81" s="217">
        <v>3</v>
      </c>
      <c r="J81" s="216">
        <v>2937.6000000000004</v>
      </c>
      <c r="K81" s="217">
        <v>1</v>
      </c>
      <c r="L81" s="216">
        <v>2712</v>
      </c>
      <c r="M81" s="198">
        <f t="shared" si="95"/>
      </c>
      <c r="N81" s="195">
        <f t="shared" si="136"/>
      </c>
      <c r="O81" s="195">
        <f t="shared" si="137"/>
      </c>
      <c r="P81" s="196">
        <f t="shared" si="123"/>
      </c>
      <c r="Q81" s="195">
        <f t="shared" si="10"/>
      </c>
      <c r="R81" s="197">
        <f t="shared" si="14"/>
      </c>
      <c r="S81" s="197">
        <f t="shared" si="45"/>
      </c>
      <c r="T81" s="214">
        <f t="shared" si="65"/>
      </c>
      <c r="U81" s="199">
        <f t="shared" si="108"/>
      </c>
      <c r="V81" s="200">
        <f t="shared" si="110"/>
      </c>
      <c r="W81" s="199">
        <f t="shared" si="138"/>
      </c>
      <c r="X81" s="199">
        <f t="shared" si="111"/>
      </c>
      <c r="Y81" s="199">
        <f t="shared" si="7"/>
      </c>
      <c r="Z81" s="198">
        <v>10131</v>
      </c>
      <c r="AA81" s="198">
        <v>619</v>
      </c>
      <c r="AB81" s="198">
        <v>117</v>
      </c>
      <c r="AC81" s="231">
        <v>89</v>
      </c>
      <c r="AD81" s="198">
        <v>12</v>
      </c>
      <c r="AE81" s="228">
        <f t="shared" si="32"/>
      </c>
    </row>
    <row r="82">
      <c r="A82" s="187"/>
      <c r="B82" s="205" t="s">
        <v>137</v>
      </c>
      <c r="C82" s="205"/>
      <c r="D82" s="206">
        <f>SUM(D80:D81)</f>
      </c>
      <c r="E82" s="209">
        <f>SUM(E80:E81)</f>
      </c>
      <c r="F82" s="209">
        <f>SUM(F80:F81)</f>
      </c>
      <c r="G82" s="209">
        <f t="shared" si="46"/>
      </c>
      <c r="H82" s="209">
        <f>SUM(H80:H81)</f>
      </c>
      <c r="I82" s="209">
        <f>SUM(I80:I81)</f>
      </c>
      <c r="J82" s="206">
        <f>SUM(J80:J81)</f>
      </c>
      <c r="K82" s="209">
        <f>SUM(K80:K81)</f>
      </c>
      <c r="L82" s="206">
        <f>SUM(L80:L81)</f>
      </c>
      <c r="M82" s="209">
        <f>SUM(M80:M81)</f>
      </c>
      <c r="N82" s="209">
        <f t="shared" si="136"/>
      </c>
      <c r="O82" s="209">
        <f t="shared" si="137"/>
      </c>
      <c r="P82" s="206">
        <f>SUM(P80:P81)</f>
      </c>
      <c r="Q82" s="209">
        <f t="shared" si="10"/>
      </c>
      <c r="R82" s="210">
        <f t="shared" si="14"/>
      </c>
      <c r="S82" s="210">
        <f t="shared" si="45"/>
      </c>
      <c r="T82" s="248">
        <f>(T81+T80)/2</f>
      </c>
      <c r="U82" s="212">
        <f t="shared" si="108"/>
      </c>
      <c r="V82" s="213">
        <f t="shared" si="110"/>
      </c>
      <c r="W82" s="212">
        <f t="shared" si="138"/>
      </c>
      <c r="X82" s="212">
        <f t="shared" si="111"/>
      </c>
      <c r="Y82" s="212">
        <f t="shared" si="7"/>
      </c>
      <c r="Z82" s="209">
        <f>SUM(Z80:Z81)</f>
      </c>
      <c r="AA82" s="209">
        <f>SUM(AA80:AA81)</f>
      </c>
      <c r="AB82" s="209">
        <f>SUM(AB80:AB81)</f>
      </c>
      <c r="AC82" s="209">
        <f>SUM(AC80:AC81)</f>
      </c>
      <c r="AD82" s="209">
        <f>SUM(AD80:AD81)</f>
      </c>
      <c r="AE82" s="209">
        <f>SUM(AE80:AE81)</f>
      </c>
    </row>
    <row r="83">
      <c r="A83" s="187"/>
      <c r="B83" s="189" t="s">
        <v>143</v>
      </c>
      <c r="C83" s="189" t="s">
        <v>145</v>
      </c>
      <c r="D83" s="203">
        <v>5841.48</v>
      </c>
      <c r="E83" s="244">
        <v>7</v>
      </c>
      <c r="F83" s="244">
        <v>5</v>
      </c>
      <c r="G83" s="195">
        <f t="shared" si="46"/>
      </c>
      <c r="H83" s="198">
        <v>6</v>
      </c>
      <c r="I83" s="217">
        <v>4</v>
      </c>
      <c r="J83" s="193">
        <v>4218</v>
      </c>
      <c r="K83" s="217">
        <v>0</v>
      </c>
      <c r="L83" s="193">
        <v>0</v>
      </c>
      <c r="M83" s="198">
        <f t="shared" ref="M83:M85" si="96">K83+I83</f>
      </c>
      <c r="N83" s="195">
        <f t="shared" si="136"/>
      </c>
      <c r="O83" s="195">
        <f t="shared" si="137"/>
      </c>
      <c r="P83" s="196">
        <f t="shared" ref="P83:P85" si="124">J83+L83</f>
      </c>
      <c r="Q83" s="195">
        <f t="shared" si="10"/>
      </c>
      <c r="R83" s="197">
        <f t="shared" si="14"/>
      </c>
      <c r="S83" s="197">
        <f t="shared" si="45"/>
      </c>
      <c r="T83" s="214">
        <f t="shared" ref="T83:T85" si="66">AA83/60</f>
      </c>
      <c r="U83" s="199">
        <f t="shared" si="108"/>
      </c>
      <c r="V83" s="200">
        <f t="shared" si="110"/>
      </c>
      <c r="W83" s="199">
        <f t="shared" si="138"/>
      </c>
      <c r="X83" s="199">
        <f t="shared" si="111"/>
      </c>
      <c r="Y83" s="199">
        <f t="shared" si="7"/>
      </c>
      <c r="Z83" s="198">
        <v>19206</v>
      </c>
      <c r="AA83" s="198">
        <v>1031</v>
      </c>
      <c r="AB83" s="198">
        <v>72</v>
      </c>
      <c r="AC83" s="231">
        <v>101</v>
      </c>
      <c r="AD83" s="198">
        <v>6</v>
      </c>
      <c r="AE83" s="228">
        <f t="shared" ref="AE83:AE85" si="33">COUNT(AD83)</f>
      </c>
    </row>
    <row r="84">
      <c r="A84" s="187"/>
      <c r="B84" s="189" t="s">
        <v>146</v>
      </c>
      <c r="C84" s="189" t="s">
        <v>145</v>
      </c>
      <c r="D84" s="190">
        <v>2460.92</v>
      </c>
      <c r="E84" s="244">
        <v>0</v>
      </c>
      <c r="F84" s="244">
        <v>0</v>
      </c>
      <c r="G84" s="195">
        <f t="shared" si="46"/>
      </c>
      <c r="H84" s="217">
        <v>0</v>
      </c>
      <c r="I84" s="217">
        <v>0</v>
      </c>
      <c r="J84" s="193">
        <v>0</v>
      </c>
      <c r="K84" s="217">
        <v>0</v>
      </c>
      <c r="L84" s="193">
        <v>0</v>
      </c>
      <c r="M84" s="198">
        <f t="shared" si="96"/>
      </c>
      <c r="N84" s="195">
        <f t="shared" si="136"/>
      </c>
      <c r="O84" s="195">
        <f t="shared" si="137"/>
      </c>
      <c r="P84" s="196">
        <f t="shared" si="124"/>
      </c>
      <c r="Q84" s="195">
        <f t="shared" si="10"/>
      </c>
      <c r="R84" s="197">
        <f t="shared" si="14"/>
      </c>
      <c r="S84" s="197">
        <f t="shared" si="45"/>
      </c>
      <c r="T84" s="214">
        <f t="shared" si="66"/>
      </c>
      <c r="U84" s="199">
        <f t="shared" si="108"/>
      </c>
      <c r="V84" s="200">
        <f t="shared" si="110"/>
      </c>
      <c r="W84" s="199">
        <f t="shared" si="138"/>
      </c>
      <c r="X84" s="199">
        <f t="shared" si="111"/>
      </c>
      <c r="Y84" s="199">
        <f t="shared" si="7"/>
      </c>
      <c r="Z84" s="198">
        <v>11457</v>
      </c>
      <c r="AA84" s="198">
        <v>901</v>
      </c>
      <c r="AB84" s="198">
        <v>79</v>
      </c>
      <c r="AC84" s="231">
        <v>81</v>
      </c>
      <c r="AD84" s="198">
        <v>0</v>
      </c>
      <c r="AE84" s="228">
        <f t="shared" si="33"/>
      </c>
    </row>
    <row r="85">
      <c r="A85" s="187"/>
      <c r="B85" s="188" t="s">
        <v>147</v>
      </c>
      <c r="C85" s="189" t="s">
        <v>145</v>
      </c>
      <c r="D85" s="190">
        <v>1272.72</v>
      </c>
      <c r="E85" s="247">
        <v>3</v>
      </c>
      <c r="F85" s="244">
        <v>1</v>
      </c>
      <c r="G85" s="195">
        <f t="shared" si="46"/>
      </c>
      <c r="H85" s="198">
        <v>5</v>
      </c>
      <c r="I85" s="217">
        <v>3</v>
      </c>
      <c r="J85" s="216">
        <v>3088.7999999999993</v>
      </c>
      <c r="K85" s="217">
        <v>0</v>
      </c>
      <c r="L85" s="216">
        <v>0</v>
      </c>
      <c r="M85" s="198">
        <f t="shared" si="96"/>
      </c>
      <c r="N85" s="195">
        <f t="shared" si="136"/>
      </c>
      <c r="O85" s="195">
        <f t="shared" si="137"/>
      </c>
      <c r="P85" s="196">
        <f t="shared" si="124"/>
      </c>
      <c r="Q85" s="195">
        <f t="shared" si="10"/>
      </c>
      <c r="R85" s="197">
        <f t="shared" si="14"/>
      </c>
      <c r="S85" s="197">
        <f t="shared" si="45"/>
      </c>
      <c r="T85" s="214">
        <f t="shared" si="66"/>
      </c>
      <c r="U85" s="199">
        <f t="shared" si="108"/>
      </c>
      <c r="V85" s="200">
        <f t="shared" si="110"/>
      </c>
      <c r="W85" s="199">
        <f t="shared" si="138"/>
      </c>
      <c r="X85" s="199">
        <f t="shared" si="111"/>
      </c>
      <c r="Y85" s="199">
        <f t="shared" si="7"/>
      </c>
      <c r="Z85" s="198">
        <v>6351</v>
      </c>
      <c r="AA85" s="198">
        <v>484</v>
      </c>
      <c r="AB85" s="198">
        <v>75</v>
      </c>
      <c r="AC85" s="231">
        <v>40</v>
      </c>
      <c r="AD85" s="198">
        <v>4</v>
      </c>
      <c r="AE85" s="228">
        <f t="shared" si="33"/>
      </c>
    </row>
    <row r="86">
      <c r="A86" s="187"/>
      <c r="B86" s="205" t="s">
        <v>137</v>
      </c>
      <c r="C86" s="205"/>
      <c r="D86" s="206">
        <f>SUM(D83:D85)</f>
      </c>
      <c r="E86" s="209">
        <f>SUM(E83:E85)</f>
      </c>
      <c r="F86" s="209">
        <f>SUM(F83:F85)</f>
      </c>
      <c r="G86" s="209">
        <f t="shared" si="46"/>
      </c>
      <c r="H86" s="209">
        <f>SUM(H83:H85)</f>
      </c>
      <c r="I86" s="209">
        <f>SUM(I83:I85)</f>
      </c>
      <c r="J86" s="206">
        <f>SUM(J83:J85)</f>
      </c>
      <c r="K86" s="209">
        <f>SUM(K83:K85)</f>
      </c>
      <c r="L86" s="206">
        <f>SUM(L83:L85)</f>
      </c>
      <c r="M86" s="209">
        <f>SUM(M83:M85)</f>
      </c>
      <c r="N86" s="209">
        <f t="shared" si="136"/>
      </c>
      <c r="O86" s="209">
        <f t="shared" si="137"/>
      </c>
      <c r="P86" s="206">
        <f>SUM(P83:P85)</f>
      </c>
      <c r="Q86" s="209">
        <f t="shared" si="10"/>
      </c>
      <c r="R86" s="210">
        <f t="shared" si="14"/>
      </c>
      <c r="S86" s="210">
        <f t="shared" si="45"/>
      </c>
      <c r="T86" s="248">
        <f>(T85+T84+T83)/3</f>
      </c>
      <c r="U86" s="212">
        <f t="shared" si="108"/>
      </c>
      <c r="V86" s="213">
        <f t="shared" si="110"/>
      </c>
      <c r="W86" s="212">
        <f t="shared" si="138"/>
      </c>
      <c r="X86" s="212">
        <f t="shared" si="111"/>
      </c>
      <c r="Y86" s="212">
        <f t="shared" si="7"/>
      </c>
      <c r="Z86" s="209">
        <f>SUM(Z83:Z85)</f>
      </c>
      <c r="AA86" s="209">
        <f>SUM(AA83:AA85)</f>
      </c>
      <c r="AB86" s="209">
        <f>SUM(AB83:AB85)</f>
      </c>
      <c r="AC86" s="209">
        <f>SUM(AC83:AC85)</f>
      </c>
      <c r="AD86" s="209">
        <f>SUM(AD83:AD85)</f>
      </c>
      <c r="AE86" s="209">
        <f>SUM(AE83:AE85)</f>
      </c>
    </row>
    <row r="87">
      <c r="A87" s="187"/>
      <c r="B87" s="218" t="s">
        <v>144</v>
      </c>
      <c r="C87" s="218"/>
      <c r="D87" s="249">
        <f>D86+D79+D82</f>
      </c>
      <c r="E87" s="250">
        <f>E86+E79+E82</f>
      </c>
      <c r="F87" s="250">
        <f>F86+F79+F82</f>
      </c>
      <c r="G87" s="221">
        <f t="shared" si="46"/>
      </c>
      <c r="H87" s="250">
        <f>H86+H79+H82</f>
      </c>
      <c r="I87" s="250">
        <f>I86+I79+I82</f>
      </c>
      <c r="J87" s="249">
        <f>J86+J79+J82</f>
      </c>
      <c r="K87" s="250">
        <f>K86+K79+K82</f>
      </c>
      <c r="L87" s="219">
        <f>L86+L79+L82</f>
      </c>
      <c r="M87" s="222">
        <f>M86+M79+M82</f>
      </c>
      <c r="N87" s="221">
        <f t="shared" si="136"/>
      </c>
      <c r="O87" s="221">
        <f t="shared" si="137"/>
      </c>
      <c r="P87" s="219">
        <f>P86+P79+P82</f>
      </c>
      <c r="Q87" s="221">
        <f t="shared" si="10"/>
      </c>
      <c r="R87" s="223">
        <f t="shared" si="14"/>
      </c>
      <c r="S87" s="223">
        <f t="shared" si="45"/>
      </c>
      <c r="T87" s="224">
        <f>(T86+T79+T82)/3</f>
      </c>
      <c r="U87" s="225">
        <f t="shared" si="108"/>
      </c>
      <c r="V87" s="226">
        <f t="shared" si="110"/>
      </c>
      <c r="W87" s="225">
        <f t="shared" si="138"/>
      </c>
      <c r="X87" s="225">
        <f t="shared" si="111"/>
      </c>
      <c r="Y87" s="225">
        <f t="shared" si="7"/>
      </c>
      <c r="Z87" s="222">
        <f>Z86+Z79+Z82</f>
      </c>
      <c r="AA87" s="222">
        <f>AA86+AA79+AA82</f>
      </c>
      <c r="AB87" s="222">
        <f>AB86+AB79+AB82</f>
      </c>
      <c r="AC87" s="222">
        <f>AC86+AC79+AC82</f>
      </c>
      <c r="AD87" s="222">
        <f>AD86+AD79+AD82</f>
      </c>
      <c r="AE87" s="222">
        <f>AE86+AE79+AE82</f>
      </c>
    </row>
    <row r="88">
      <c r="A88" s="187">
        <v>46231</v>
      </c>
      <c r="B88" s="188" t="s">
        <v>135</v>
      </c>
      <c r="C88" s="189" t="s">
        <v>139</v>
      </c>
      <c r="D88" s="190">
        <v>2147.33</v>
      </c>
      <c r="E88" s="244">
        <v>1</v>
      </c>
      <c r="F88" s="244">
        <v>0</v>
      </c>
      <c r="G88" s="195">
        <f t="shared" si="46"/>
      </c>
      <c r="H88" s="198">
        <v>2</v>
      </c>
      <c r="I88" s="198">
        <v>0</v>
      </c>
      <c r="J88" s="193">
        <v>0</v>
      </c>
      <c r="K88" s="198">
        <v>0</v>
      </c>
      <c r="L88" s="193">
        <v>0</v>
      </c>
      <c r="M88" s="198">
        <f t="shared" ref="M88:M90" si="97">K88+I88</f>
      </c>
      <c r="N88" s="195">
        <f t="shared" si="136"/>
      </c>
      <c r="O88" s="195">
        <f t="shared" si="137"/>
      </c>
      <c r="P88" s="196">
        <f t="shared" ref="P88:P90" si="125">J88+L88</f>
      </c>
      <c r="Q88" s="195">
        <f t="shared" si="10"/>
      </c>
      <c r="R88" s="197">
        <f t="shared" si="14"/>
      </c>
      <c r="S88" s="197">
        <f t="shared" si="45"/>
      </c>
      <c r="T88" s="214">
        <f t="shared" ref="T88:T90" si="67">AA88/60</f>
      </c>
      <c r="U88" s="199">
        <f t="shared" si="108"/>
      </c>
      <c r="V88" s="200">
        <f t="shared" si="110"/>
      </c>
      <c r="W88" s="199">
        <f t="shared" si="138"/>
      </c>
      <c r="X88" s="199">
        <f t="shared" si="111"/>
      </c>
      <c r="Y88" s="227">
        <f t="shared" si="7"/>
      </c>
      <c r="Z88" s="198">
        <v>7580</v>
      </c>
      <c r="AA88" s="198">
        <v>325</v>
      </c>
      <c r="AB88" s="198">
        <v>50</v>
      </c>
      <c r="AC88" s="198">
        <v>47</v>
      </c>
      <c r="AD88" s="198">
        <v>2</v>
      </c>
      <c r="AE88" s="228">
        <f t="shared" ref="AE88:AE90" si="34">COUNT(AD88)</f>
      </c>
    </row>
    <row r="89">
      <c r="A89" s="187"/>
      <c r="B89" s="188" t="s">
        <v>136</v>
      </c>
      <c r="C89" s="189" t="s">
        <v>139</v>
      </c>
      <c r="D89" s="232">
        <v>1796.19</v>
      </c>
      <c r="E89" s="245">
        <v>4</v>
      </c>
      <c r="F89" s="245">
        <v>1</v>
      </c>
      <c r="G89" s="195">
        <f t="shared" si="46"/>
      </c>
      <c r="H89" s="202">
        <v>5</v>
      </c>
      <c r="I89" s="202">
        <v>1</v>
      </c>
      <c r="J89" s="246">
        <v>1928.3999999999999</v>
      </c>
      <c r="K89" s="202">
        <v>2</v>
      </c>
      <c r="L89" s="235">
        <v>6610.799999999999</v>
      </c>
      <c r="M89" s="202">
        <f t="shared" si="97"/>
      </c>
      <c r="N89" s="234">
        <f t="shared" si="136"/>
      </c>
      <c r="O89" s="234">
        <f t="shared" si="137"/>
      </c>
      <c r="P89" s="237">
        <f t="shared" si="125"/>
      </c>
      <c r="Q89" s="234">
        <f t="shared" si="10"/>
      </c>
      <c r="R89" s="238">
        <f t="shared" si="14"/>
      </c>
      <c r="S89" s="238">
        <f t="shared" si="45"/>
      </c>
      <c r="T89" s="239">
        <f t="shared" si="67"/>
      </c>
      <c r="U89" s="240">
        <f t="shared" si="108"/>
      </c>
      <c r="V89" s="240">
        <f t="shared" si="110"/>
      </c>
      <c r="W89" s="240">
        <f t="shared" si="138"/>
      </c>
      <c r="X89" s="240">
        <f t="shared" si="111"/>
      </c>
      <c r="Y89" s="241">
        <f t="shared" si="7"/>
      </c>
      <c r="Z89" s="242">
        <v>5824</v>
      </c>
      <c r="AA89" s="242">
        <v>308</v>
      </c>
      <c r="AB89" s="242">
        <v>29</v>
      </c>
      <c r="AC89" s="242">
        <v>46</v>
      </c>
      <c r="AD89" s="242">
        <v>5</v>
      </c>
      <c r="AE89" s="228">
        <f t="shared" si="34"/>
      </c>
    </row>
    <row r="90">
      <c r="A90" s="187"/>
      <c r="B90" s="188" t="s">
        <v>138</v>
      </c>
      <c r="C90" s="189" t="s">
        <v>139</v>
      </c>
      <c r="D90" s="190">
        <v>2799.75</v>
      </c>
      <c r="E90" s="244">
        <v>4</v>
      </c>
      <c r="F90" s="244">
        <v>1</v>
      </c>
      <c r="G90" s="195">
        <f t="shared" si="46"/>
      </c>
      <c r="H90" s="198">
        <v>5</v>
      </c>
      <c r="I90" s="198">
        <v>0</v>
      </c>
      <c r="J90" s="193">
        <v>0</v>
      </c>
      <c r="K90" s="198">
        <v>2</v>
      </c>
      <c r="L90" s="193">
        <v>6102.000000000002</v>
      </c>
      <c r="M90" s="198">
        <f t="shared" si="97"/>
      </c>
      <c r="N90" s="195">
        <f t="shared" si="136"/>
      </c>
      <c r="O90" s="195">
        <f t="shared" si="137"/>
      </c>
      <c r="P90" s="196">
        <f t="shared" si="125"/>
      </c>
      <c r="Q90" s="195">
        <f t="shared" si="10"/>
      </c>
      <c r="R90" s="197">
        <f t="shared" si="14"/>
      </c>
      <c r="S90" s="197">
        <f t="shared" si="45"/>
      </c>
      <c r="T90" s="214">
        <f t="shared" si="67"/>
      </c>
      <c r="U90" s="199">
        <f t="shared" si="108"/>
      </c>
      <c r="V90" s="200">
        <f t="shared" si="110"/>
      </c>
      <c r="W90" s="240">
        <f t="shared" si="138"/>
      </c>
      <c r="X90" s="199">
        <f t="shared" si="111"/>
      </c>
      <c r="Y90" s="227">
        <f t="shared" si="7"/>
      </c>
      <c r="Z90" s="198">
        <v>7346</v>
      </c>
      <c r="AA90" s="198">
        <v>330</v>
      </c>
      <c r="AB90" s="198">
        <v>53</v>
      </c>
      <c r="AC90" s="198">
        <v>57</v>
      </c>
      <c r="AD90" s="198">
        <v>5</v>
      </c>
      <c r="AE90" s="228">
        <f t="shared" si="34"/>
      </c>
    </row>
    <row r="91">
      <c r="A91" s="187"/>
      <c r="B91" s="205" t="s">
        <v>137</v>
      </c>
      <c r="C91" s="205"/>
      <c r="D91" s="206">
        <f>SUM(D88:D90)</f>
      </c>
      <c r="E91" s="209">
        <f>SUM(E88:E90)</f>
      </c>
      <c r="F91" s="209">
        <f>SUM(F88:F90)</f>
      </c>
      <c r="G91" s="209">
        <f t="shared" si="46"/>
      </c>
      <c r="H91" s="209">
        <f>SUM(H88:H90)</f>
      </c>
      <c r="I91" s="209">
        <f>SUM(I88:I90)</f>
      </c>
      <c r="J91" s="207">
        <f>SUM(J88:J90)</f>
      </c>
      <c r="K91" s="209">
        <f>SUM(K88:K90)</f>
      </c>
      <c r="L91" s="207">
        <f>SUM(L88:L90)</f>
      </c>
      <c r="M91" s="209">
        <f>SUM(M88:M90)</f>
      </c>
      <c r="N91" s="209">
        <f t="shared" si="136"/>
      </c>
      <c r="O91" s="209">
        <f t="shared" si="137"/>
      </c>
      <c r="P91" s="207">
        <f>SUM(P88:P90)</f>
      </c>
      <c r="Q91" s="209">
        <f t="shared" si="10"/>
      </c>
      <c r="R91" s="210">
        <f t="shared" si="14"/>
      </c>
      <c r="S91" s="210">
        <f t="shared" si="45"/>
      </c>
      <c r="T91" s="211">
        <f>(T90+T89+T88)/3</f>
      </c>
      <c r="U91" s="215">
        <f t="shared" si="108"/>
      </c>
      <c r="V91" s="215">
        <f t="shared" si="110"/>
      </c>
      <c r="W91" s="215">
        <f t="shared" si="138"/>
      </c>
      <c r="X91" s="215">
        <f t="shared" si="111"/>
      </c>
      <c r="Y91" s="215">
        <f t="shared" si="7"/>
      </c>
      <c r="Z91" s="209">
        <f>SUM(Z88:Z90)</f>
      </c>
      <c r="AA91" s="209">
        <f>SUM(AA88:AA90)</f>
      </c>
      <c r="AB91" s="209">
        <f>SUM(AB88:AB90)</f>
      </c>
      <c r="AC91" s="209">
        <f>SUM(AC88:AC90)</f>
      </c>
      <c r="AD91" s="209">
        <f>SUM(AD88:AD90)</f>
      </c>
      <c r="AE91" s="209">
        <f>SUM(AE88:AE90)</f>
      </c>
    </row>
    <row r="92">
      <c r="A92" s="187"/>
      <c r="B92" s="189" t="s">
        <v>140</v>
      </c>
      <c r="C92" s="189" t="s">
        <v>133</v>
      </c>
      <c r="D92" s="203">
        <v>3676.66</v>
      </c>
      <c r="E92" s="244">
        <v>8</v>
      </c>
      <c r="F92" s="244">
        <v>6</v>
      </c>
      <c r="G92" s="195">
        <f t="shared" si="46"/>
      </c>
      <c r="H92" s="198">
        <v>10</v>
      </c>
      <c r="I92" s="217">
        <v>3</v>
      </c>
      <c r="J92" s="193">
        <v>2712</v>
      </c>
      <c r="K92" s="217">
        <v>2</v>
      </c>
      <c r="L92" s="193">
        <v>1329.6000000000004</v>
      </c>
      <c r="M92" s="198">
        <f t="shared" ref="M92:M93" si="98">K92+I92</f>
      </c>
      <c r="N92" s="195">
        <f t="shared" si="136"/>
      </c>
      <c r="O92" s="195">
        <f t="shared" si="137"/>
      </c>
      <c r="P92" s="196">
        <f t="shared" ref="P92:P93" si="126">J92+L92</f>
      </c>
      <c r="Q92" s="195">
        <f t="shared" si="10"/>
      </c>
      <c r="R92" s="197">
        <f t="shared" si="14"/>
      </c>
      <c r="S92" s="197">
        <f t="shared" si="45"/>
      </c>
      <c r="T92" s="214">
        <f t="shared" ref="T92:T93" si="68">AA92/60</f>
      </c>
      <c r="U92" s="199">
        <f t="shared" si="108"/>
      </c>
      <c r="V92" s="200">
        <f t="shared" si="110"/>
      </c>
      <c r="W92" s="199">
        <f t="shared" si="138"/>
      </c>
      <c r="X92" s="199">
        <f t="shared" si="111"/>
      </c>
      <c r="Y92" s="199">
        <f t="shared" si="7"/>
      </c>
      <c r="Z92" s="198">
        <v>10913</v>
      </c>
      <c r="AA92" s="198">
        <v>494</v>
      </c>
      <c r="AB92" s="198">
        <v>73</v>
      </c>
      <c r="AC92" s="231">
        <v>71</v>
      </c>
      <c r="AD92" s="198">
        <v>10</v>
      </c>
      <c r="AE92" s="228">
        <f t="shared" ref="AE92:AE93" si="35">COUNT(AD92)</f>
      </c>
    </row>
    <row r="93">
      <c r="A93" s="187"/>
      <c r="B93" s="189" t="s">
        <v>141</v>
      </c>
      <c r="C93" s="189" t="s">
        <v>133</v>
      </c>
      <c r="D93" s="190">
        <v>3055.14</v>
      </c>
      <c r="E93" s="247">
        <v>2</v>
      </c>
      <c r="F93" s="244">
        <v>2</v>
      </c>
      <c r="G93" s="195">
        <f t="shared" si="46"/>
      </c>
      <c r="H93" s="217">
        <v>4</v>
      </c>
      <c r="I93" s="217">
        <v>3</v>
      </c>
      <c r="J93" s="216">
        <v>1890</v>
      </c>
      <c r="K93" s="217">
        <v>1</v>
      </c>
      <c r="L93" s="216">
        <v>573.6000000000004</v>
      </c>
      <c r="M93" s="198">
        <f t="shared" si="98"/>
      </c>
      <c r="N93" s="195">
        <f t="shared" si="136"/>
      </c>
      <c r="O93" s="195">
        <f t="shared" si="137"/>
      </c>
      <c r="P93" s="196">
        <f t="shared" si="126"/>
      </c>
      <c r="Q93" s="195">
        <f t="shared" si="10"/>
      </c>
      <c r="R93" s="197">
        <f t="shared" si="14"/>
      </c>
      <c r="S93" s="197">
        <f t="shared" si="45"/>
      </c>
      <c r="T93" s="214">
        <f t="shared" si="68"/>
      </c>
      <c r="U93" s="199">
        <f t="shared" si="108"/>
      </c>
      <c r="V93" s="200">
        <f t="shared" si="110"/>
      </c>
      <c r="W93" s="199">
        <f t="shared" si="138"/>
      </c>
      <c r="X93" s="199">
        <f t="shared" si="111"/>
      </c>
      <c r="Y93" s="199">
        <f t="shared" si="7"/>
      </c>
      <c r="Z93" s="198">
        <v>10745</v>
      </c>
      <c r="AA93" s="198">
        <v>546</v>
      </c>
      <c r="AB93" s="198">
        <v>49</v>
      </c>
      <c r="AC93" s="231">
        <v>71</v>
      </c>
      <c r="AD93" s="198">
        <v>4</v>
      </c>
      <c r="AE93" s="228">
        <f t="shared" si="35"/>
      </c>
    </row>
    <row r="94">
      <c r="A94" s="187"/>
      <c r="B94" s="205" t="s">
        <v>137</v>
      </c>
      <c r="C94" s="205"/>
      <c r="D94" s="206">
        <f>SUM(D92:D93)</f>
      </c>
      <c r="E94" s="209">
        <f>SUM(E92:E93)</f>
      </c>
      <c r="F94" s="209">
        <f>SUM(F92:F93)</f>
      </c>
      <c r="G94" s="208">
        <f t="shared" si="46"/>
      </c>
      <c r="H94" s="209">
        <f>SUM(H92:H93)</f>
      </c>
      <c r="I94" s="209">
        <f>SUM(I92:I93)</f>
      </c>
      <c r="J94" s="206">
        <f>SUM(J92:J93)</f>
      </c>
      <c r="K94" s="209">
        <f>SUM(K92:K93)</f>
      </c>
      <c r="L94" s="206">
        <f>SUM(L92:L93)</f>
      </c>
      <c r="M94" s="209">
        <f>SUM(M92:M93)</f>
      </c>
      <c r="N94" s="209">
        <f t="shared" si="136"/>
      </c>
      <c r="O94" s="209">
        <f t="shared" si="137"/>
      </c>
      <c r="P94" s="206">
        <f>SUM(P92:P93)</f>
      </c>
      <c r="Q94" s="209">
        <f t="shared" si="10"/>
      </c>
      <c r="R94" s="210">
        <f t="shared" si="14"/>
      </c>
      <c r="S94" s="210">
        <f t="shared" si="45"/>
      </c>
      <c r="T94" s="248">
        <f>(T93+T92)/2</f>
      </c>
      <c r="U94" s="212">
        <f t="shared" si="108"/>
      </c>
      <c r="V94" s="213">
        <f t="shared" si="110"/>
      </c>
      <c r="W94" s="212">
        <f t="shared" si="138"/>
      </c>
      <c r="X94" s="212">
        <f t="shared" si="111"/>
      </c>
      <c r="Y94" s="212">
        <f t="shared" si="7"/>
      </c>
      <c r="Z94" s="209">
        <f>SUM(Z92:Z93)</f>
      </c>
      <c r="AA94" s="209">
        <f>SUM(AA92:AA93)</f>
      </c>
      <c r="AB94" s="209">
        <f>SUM(AB92:AB93)</f>
      </c>
      <c r="AC94" s="209">
        <f>SUM(AC92:AC93)</f>
      </c>
      <c r="AD94" s="209">
        <f>SUM(AD92:AD93)</f>
      </c>
      <c r="AE94" s="209">
        <f>SUM(AE92:AE93)</f>
      </c>
    </row>
    <row r="95">
      <c r="A95" s="187"/>
      <c r="B95" s="189" t="s">
        <v>143</v>
      </c>
      <c r="C95" s="189" t="s">
        <v>145</v>
      </c>
      <c r="D95" s="203">
        <v>2775</v>
      </c>
      <c r="E95" s="244">
        <v>4</v>
      </c>
      <c r="F95" s="244">
        <v>3</v>
      </c>
      <c r="G95" s="195">
        <f t="shared" si="46"/>
      </c>
      <c r="H95" s="198">
        <v>5</v>
      </c>
      <c r="I95" s="217">
        <v>2</v>
      </c>
      <c r="J95" s="193">
        <v>2245.199999999999</v>
      </c>
      <c r="K95" s="217">
        <v>0</v>
      </c>
      <c r="L95" s="193">
        <v>0</v>
      </c>
      <c r="M95" s="198">
        <f t="shared" ref="M95:M97" si="99">K95+I95</f>
      </c>
      <c r="N95" s="195">
        <f t="shared" si="136"/>
      </c>
      <c r="O95" s="195">
        <f t="shared" si="137"/>
      </c>
      <c r="P95" s="196">
        <f t="shared" ref="P95:P97" si="127">J95+L95</f>
      </c>
      <c r="Q95" s="195">
        <f t="shared" si="10"/>
      </c>
      <c r="R95" s="197">
        <f t="shared" si="14"/>
      </c>
      <c r="S95" s="197">
        <f t="shared" si="45"/>
      </c>
      <c r="T95" s="214">
        <f t="shared" ref="T95:T97" si="69">AA95/60</f>
      </c>
      <c r="U95" s="199">
        <f t="shared" si="108"/>
      </c>
      <c r="V95" s="200">
        <f t="shared" si="110"/>
      </c>
      <c r="W95" s="199">
        <f t="shared" si="138"/>
      </c>
      <c r="X95" s="199">
        <f t="shared" si="111"/>
      </c>
      <c r="Y95" s="199">
        <f t="shared" si="7"/>
      </c>
      <c r="Z95" s="198">
        <v>12086</v>
      </c>
      <c r="AA95" s="198">
        <v>649</v>
      </c>
      <c r="AB95" s="198">
        <v>77</v>
      </c>
      <c r="AC95" s="231">
        <v>63</v>
      </c>
      <c r="AD95" s="198">
        <v>5</v>
      </c>
      <c r="AE95" s="228">
        <f t="shared" ref="AE95:AE97" si="36">COUNT(AD95)</f>
      </c>
    </row>
    <row r="96">
      <c r="A96" s="187"/>
      <c r="B96" s="189" t="s">
        <v>146</v>
      </c>
      <c r="C96" s="189" t="s">
        <v>145</v>
      </c>
      <c r="D96" s="190">
        <v>2431.76</v>
      </c>
      <c r="E96" s="247">
        <v>4</v>
      </c>
      <c r="F96" s="244">
        <v>0</v>
      </c>
      <c r="G96" s="195">
        <f t="shared" si="46"/>
      </c>
      <c r="H96" s="217">
        <v>5</v>
      </c>
      <c r="I96" s="217">
        <v>2</v>
      </c>
      <c r="J96" s="193">
        <v>1405.2000000000007</v>
      </c>
      <c r="K96" s="217">
        <v>0</v>
      </c>
      <c r="L96" s="193">
        <v>0</v>
      </c>
      <c r="M96" s="198">
        <f t="shared" si="99"/>
      </c>
      <c r="N96" s="195">
        <f t="shared" si="136"/>
      </c>
      <c r="O96" s="195">
        <f t="shared" si="137"/>
      </c>
      <c r="P96" s="196">
        <f t="shared" si="127"/>
      </c>
      <c r="Q96" s="195">
        <f t="shared" si="10"/>
      </c>
      <c r="R96" s="197">
        <f t="shared" si="14"/>
      </c>
      <c r="S96" s="197">
        <f t="shared" si="45"/>
      </c>
      <c r="T96" s="214">
        <f t="shared" si="69"/>
      </c>
      <c r="U96" s="199">
        <f t="shared" si="108"/>
      </c>
      <c r="V96" s="200">
        <f t="shared" si="110"/>
      </c>
      <c r="W96" s="199">
        <f t="shared" si="138"/>
      </c>
      <c r="X96" s="199">
        <f t="shared" si="111"/>
      </c>
      <c r="Y96" s="199">
        <f t="shared" si="7"/>
      </c>
      <c r="Z96" s="198">
        <v>10351</v>
      </c>
      <c r="AA96" s="198">
        <v>602</v>
      </c>
      <c r="AB96" s="198">
        <v>61</v>
      </c>
      <c r="AC96" s="231">
        <v>55</v>
      </c>
      <c r="AD96" s="198">
        <v>5</v>
      </c>
      <c r="AE96" s="228">
        <f t="shared" si="36"/>
      </c>
    </row>
    <row r="97">
      <c r="A97" s="187"/>
      <c r="B97" s="188" t="s">
        <v>147</v>
      </c>
      <c r="C97" s="189" t="s">
        <v>145</v>
      </c>
      <c r="D97" s="190">
        <v>1099.44</v>
      </c>
      <c r="E97" s="247">
        <v>2</v>
      </c>
      <c r="F97" s="244">
        <v>1</v>
      </c>
      <c r="G97" s="195">
        <f t="shared" si="46"/>
      </c>
      <c r="H97" s="217">
        <v>2</v>
      </c>
      <c r="I97" s="217">
        <v>0</v>
      </c>
      <c r="J97" s="216">
        <v>0</v>
      </c>
      <c r="K97" s="217">
        <v>1</v>
      </c>
      <c r="L97" s="216">
        <v>3389.999999999998</v>
      </c>
      <c r="M97" s="198">
        <f t="shared" si="99"/>
      </c>
      <c r="N97" s="195">
        <f t="shared" si="136"/>
      </c>
      <c r="O97" s="195">
        <f t="shared" si="137"/>
      </c>
      <c r="P97" s="196">
        <f t="shared" si="127"/>
      </c>
      <c r="Q97" s="195">
        <f t="shared" si="10"/>
      </c>
      <c r="R97" s="197">
        <f t="shared" si="14"/>
      </c>
      <c r="S97" s="197">
        <f t="shared" si="45"/>
      </c>
      <c r="T97" s="214">
        <f t="shared" si="69"/>
      </c>
      <c r="U97" s="199">
        <f t="shared" si="108"/>
      </c>
      <c r="V97" s="200">
        <f t="shared" si="110"/>
      </c>
      <c r="W97" s="199">
        <f t="shared" si="138"/>
      </c>
      <c r="X97" s="199">
        <f t="shared" si="111"/>
      </c>
      <c r="Y97" s="199">
        <f t="shared" si="7"/>
      </c>
      <c r="Z97" s="198">
        <v>7049</v>
      </c>
      <c r="AA97" s="198">
        <v>392</v>
      </c>
      <c r="AB97" s="198">
        <v>23</v>
      </c>
      <c r="AC97" s="231">
        <v>31</v>
      </c>
      <c r="AD97" s="198">
        <v>2</v>
      </c>
      <c r="AE97" s="228">
        <f t="shared" si="36"/>
      </c>
    </row>
    <row r="98">
      <c r="A98" s="187"/>
      <c r="B98" s="205" t="s">
        <v>137</v>
      </c>
      <c r="C98" s="205"/>
      <c r="D98" s="206">
        <f>SUM(D95:D97)</f>
      </c>
      <c r="E98" s="209">
        <f>SUM(E95:E97)</f>
      </c>
      <c r="F98" s="209">
        <f>SUM(F95:F97)</f>
      </c>
      <c r="G98" s="208">
        <f t="shared" si="46"/>
      </c>
      <c r="H98" s="209">
        <f>SUM(H95:H97)</f>
      </c>
      <c r="I98" s="209">
        <f>SUM(I95:I97)</f>
      </c>
      <c r="J98" s="206">
        <f>SUM(J95:J97)</f>
      </c>
      <c r="K98" s="209">
        <f>SUM(K95:K97)</f>
      </c>
      <c r="L98" s="206">
        <f>SUM(L95:L97)</f>
      </c>
      <c r="M98" s="209">
        <f>SUM(M95:M97)</f>
      </c>
      <c r="N98" s="209">
        <f t="shared" si="136"/>
      </c>
      <c r="O98" s="209">
        <f t="shared" si="137"/>
      </c>
      <c r="P98" s="206">
        <f>SUM(P95:P97)</f>
      </c>
      <c r="Q98" s="209">
        <f t="shared" si="10"/>
      </c>
      <c r="R98" s="210">
        <f t="shared" si="14"/>
      </c>
      <c r="S98" s="210">
        <f t="shared" si="45"/>
      </c>
      <c r="T98" s="248">
        <f>(T97+T96+T95)/3</f>
      </c>
      <c r="U98" s="212">
        <f t="shared" si="108"/>
      </c>
      <c r="V98" s="213">
        <f t="shared" si="110"/>
      </c>
      <c r="W98" s="212">
        <f t="shared" si="138"/>
      </c>
      <c r="X98" s="212">
        <f t="shared" si="111"/>
      </c>
      <c r="Y98" s="212">
        <f t="shared" si="7"/>
      </c>
      <c r="Z98" s="209">
        <f>SUM(Z95:Z97)</f>
      </c>
      <c r="AA98" s="209">
        <f>SUM(AA95:AA97)</f>
      </c>
      <c r="AB98" s="209">
        <f>SUM(AB95:AB97)</f>
      </c>
      <c r="AC98" s="209">
        <f>SUM(AC95:AC97)</f>
      </c>
      <c r="AD98" s="209">
        <f>SUM(AD95:AD97)</f>
      </c>
      <c r="AE98" s="209">
        <f>SUM(AE95:AE97)</f>
      </c>
    </row>
    <row r="99">
      <c r="A99" s="187"/>
      <c r="B99" s="218" t="s">
        <v>144</v>
      </c>
      <c r="C99" s="218"/>
      <c r="D99" s="249">
        <f>D98+D91+D94</f>
      </c>
      <c r="E99" s="250">
        <f>E98+E91+E94</f>
      </c>
      <c r="F99" s="250">
        <f>F98+F91+F94</f>
      </c>
      <c r="G99" s="221">
        <f t="shared" si="46"/>
      </c>
      <c r="H99" s="250">
        <f>H98+H91+H94</f>
      </c>
      <c r="I99" s="250">
        <f>I98+I91+I94</f>
      </c>
      <c r="J99" s="249">
        <f>J98+J91+J94</f>
      </c>
      <c r="K99" s="250">
        <f>K98+K91+K94</f>
      </c>
      <c r="L99" s="219">
        <f>L98+L91+L94</f>
      </c>
      <c r="M99" s="222">
        <f>M98+M91+M94</f>
      </c>
      <c r="N99" s="221">
        <f t="shared" si="136"/>
      </c>
      <c r="O99" s="221">
        <f t="shared" si="137"/>
      </c>
      <c r="P99" s="219">
        <f>P98+P91+P94</f>
      </c>
      <c r="Q99" s="221">
        <f t="shared" si="10"/>
      </c>
      <c r="R99" s="223">
        <f t="shared" si="14"/>
      </c>
      <c r="S99" s="223">
        <f t="shared" si="45"/>
      </c>
      <c r="T99" s="224">
        <f>(T98+T91+T94)/3</f>
      </c>
      <c r="U99" s="225">
        <f t="shared" si="108"/>
      </c>
      <c r="V99" s="226">
        <f t="shared" si="110"/>
      </c>
      <c r="W99" s="225">
        <f t="shared" si="138"/>
      </c>
      <c r="X99" s="225">
        <f t="shared" si="111"/>
      </c>
      <c r="Y99" s="225">
        <f t="shared" si="7"/>
      </c>
      <c r="Z99" s="222">
        <f>Z98+Z91+Z94</f>
      </c>
      <c r="AA99" s="222">
        <f>AA98+AA91+AA94</f>
      </c>
      <c r="AB99" s="222">
        <f>AB98+AB91+AB94</f>
      </c>
      <c r="AC99" s="222">
        <f>AC98+AC91+AC94</f>
      </c>
      <c r="AD99" s="222">
        <f>AD98+AD91+AD94</f>
      </c>
      <c r="AE99" s="222">
        <f>AE98+AE91+AE94</f>
      </c>
    </row>
    <row r="100">
      <c r="A100" s="187">
        <v>46232</v>
      </c>
      <c r="B100" s="188" t="s">
        <v>135</v>
      </c>
      <c r="C100" s="189" t="s">
        <v>145</v>
      </c>
      <c r="D100" s="190">
        <v>1743.53</v>
      </c>
      <c r="E100" s="244">
        <v>3</v>
      </c>
      <c r="F100" s="244">
        <v>3</v>
      </c>
      <c r="G100" s="195">
        <f t="shared" si="46"/>
      </c>
      <c r="H100" s="198">
        <v>3</v>
      </c>
      <c r="I100" s="198">
        <v>1</v>
      </c>
      <c r="J100" s="193">
        <v>850</v>
      </c>
      <c r="K100" s="198">
        <v>2</v>
      </c>
      <c r="L100" s="193">
        <v>4770</v>
      </c>
      <c r="M100" s="198">
        <f t="shared" ref="M100:M102" si="100">K100+I100</f>
      </c>
      <c r="N100" s="195">
        <f t="shared" si="136"/>
      </c>
      <c r="O100" s="195">
        <f t="shared" si="137"/>
      </c>
      <c r="P100" s="196">
        <f t="shared" ref="P100:P102" si="128">J100+L100</f>
      </c>
      <c r="Q100" s="195">
        <f t="shared" si="10"/>
      </c>
      <c r="R100" s="197">
        <f t="shared" si="14"/>
      </c>
      <c r="S100" s="197">
        <f t="shared" si="45"/>
      </c>
      <c r="T100" s="214">
        <f t="shared" ref="T100:T102" si="70">AA100/60</f>
      </c>
      <c r="U100" s="199">
        <f t="shared" si="108"/>
      </c>
      <c r="V100" s="200">
        <f t="shared" si="110"/>
      </c>
      <c r="W100" s="199">
        <f t="shared" si="138"/>
      </c>
      <c r="X100" s="199">
        <f t="shared" si="111"/>
      </c>
      <c r="Y100" s="227">
        <f t="shared" si="7"/>
      </c>
      <c r="Z100" s="198">
        <v>7177</v>
      </c>
      <c r="AA100" s="198">
        <v>262</v>
      </c>
      <c r="AB100" s="198">
        <v>19</v>
      </c>
      <c r="AC100" s="198">
        <v>31</v>
      </c>
      <c r="AD100" s="198">
        <v>3</v>
      </c>
      <c r="AE100" s="228">
        <f t="shared" ref="AE100:AE102" si="37">COUNT(AD100)</f>
      </c>
    </row>
    <row r="101">
      <c r="A101" s="187"/>
      <c r="B101" s="188" t="s">
        <v>136</v>
      </c>
      <c r="C101" s="189" t="s">
        <v>145</v>
      </c>
      <c r="D101" s="232">
        <v>2767.39</v>
      </c>
      <c r="E101" s="245">
        <v>3</v>
      </c>
      <c r="F101" s="245">
        <v>2</v>
      </c>
      <c r="G101" s="195">
        <f t="shared" si="46"/>
      </c>
      <c r="H101" s="202">
        <v>3</v>
      </c>
      <c r="I101" s="202">
        <v>2</v>
      </c>
      <c r="J101" s="246">
        <v>3093.6000000000004</v>
      </c>
      <c r="K101" s="202">
        <v>0</v>
      </c>
      <c r="L101" s="235">
        <v>0</v>
      </c>
      <c r="M101" s="202">
        <f t="shared" si="100"/>
      </c>
      <c r="N101" s="234">
        <f t="shared" si="136"/>
      </c>
      <c r="O101" s="234">
        <f t="shared" si="137"/>
      </c>
      <c r="P101" s="237">
        <f t="shared" si="128"/>
      </c>
      <c r="Q101" s="234">
        <f t="shared" si="10"/>
      </c>
      <c r="R101" s="238">
        <f t="shared" si="14"/>
      </c>
      <c r="S101" s="238">
        <f t="shared" si="45"/>
      </c>
      <c r="T101" s="239">
        <f t="shared" si="70"/>
      </c>
      <c r="U101" s="240">
        <f t="shared" si="108"/>
      </c>
      <c r="V101" s="240">
        <f t="shared" si="110"/>
      </c>
      <c r="W101" s="240">
        <f t="shared" si="138"/>
      </c>
      <c r="X101" s="240">
        <f t="shared" si="111"/>
      </c>
      <c r="Y101" s="241">
        <f t="shared" si="7"/>
      </c>
      <c r="Z101" s="198">
        <v>9127</v>
      </c>
      <c r="AA101" s="242">
        <v>387</v>
      </c>
      <c r="AB101" s="242">
        <v>42</v>
      </c>
      <c r="AC101" s="242">
        <v>50</v>
      </c>
      <c r="AD101" s="242">
        <v>3</v>
      </c>
      <c r="AE101" s="228">
        <f t="shared" si="37"/>
      </c>
    </row>
    <row r="102">
      <c r="A102" s="187"/>
      <c r="B102" s="188" t="s">
        <v>138</v>
      </c>
      <c r="C102" s="189" t="s">
        <v>145</v>
      </c>
      <c r="D102" s="190">
        <v>2632.51</v>
      </c>
      <c r="E102" s="244">
        <v>2</v>
      </c>
      <c r="F102" s="244">
        <v>2</v>
      </c>
      <c r="G102" s="195">
        <f>H102/F102</f>
      </c>
      <c r="H102" s="198">
        <v>2</v>
      </c>
      <c r="I102" s="198">
        <v>2</v>
      </c>
      <c r="J102" s="193">
        <v>3717.6000000000004</v>
      </c>
      <c r="K102" s="198">
        <v>0</v>
      </c>
      <c r="L102" s="193">
        <v>0</v>
      </c>
      <c r="M102" s="198">
        <f t="shared" si="100"/>
      </c>
      <c r="N102" s="195">
        <f t="shared" si="136"/>
      </c>
      <c r="O102" s="195">
        <f t="shared" si="137"/>
      </c>
      <c r="P102" s="196">
        <f t="shared" si="128"/>
      </c>
      <c r="Q102" s="195">
        <f t="shared" si="10"/>
      </c>
      <c r="R102" s="238">
        <f t="shared" si="14"/>
      </c>
      <c r="S102" s="238">
        <f t="shared" si="45"/>
      </c>
      <c r="T102" s="214">
        <f t="shared" si="70"/>
      </c>
      <c r="U102" s="199">
        <f t="shared" si="108"/>
      </c>
      <c r="V102" s="200">
        <f t="shared" si="110"/>
      </c>
      <c r="W102" s="240">
        <f t="shared" si="138"/>
      </c>
      <c r="X102" s="199">
        <f t="shared" si="111"/>
      </c>
      <c r="Y102" s="227">
        <f t="shared" si="7"/>
      </c>
      <c r="Z102" s="198">
        <v>11047</v>
      </c>
      <c r="AA102" s="198">
        <v>442</v>
      </c>
      <c r="AB102" s="198">
        <v>62</v>
      </c>
      <c r="AC102" s="198">
        <v>43</v>
      </c>
      <c r="AD102" s="198">
        <v>2</v>
      </c>
      <c r="AE102" s="228">
        <f t="shared" si="37"/>
      </c>
    </row>
    <row r="103">
      <c r="A103" s="187"/>
      <c r="B103" s="205" t="s">
        <v>137</v>
      </c>
      <c r="C103" s="205"/>
      <c r="D103" s="206">
        <f>SUM(D100:D102)</f>
      </c>
      <c r="E103" s="209">
        <f>SUM(E100:E102)</f>
      </c>
      <c r="F103" s="209">
        <f>SUM(F100:F102)</f>
      </c>
      <c r="G103" s="209">
        <f t="shared" ref="G103:G135" si="47">D103/F103</f>
      </c>
      <c r="H103" s="209">
        <f>SUM(H100:H102)</f>
      </c>
      <c r="I103" s="209">
        <f>SUM(I100:I102)</f>
      </c>
      <c r="J103" s="207">
        <f>SUM(J100:J102)</f>
      </c>
      <c r="K103" s="209">
        <f>SUM(K100:K102)</f>
      </c>
      <c r="L103" s="207">
        <f>SUM(L100:L102)</f>
      </c>
      <c r="M103" s="209">
        <f>SUM(M100:M102)</f>
      </c>
      <c r="N103" s="209">
        <f t="shared" si="136"/>
      </c>
      <c r="O103" s="209">
        <f t="shared" si="137"/>
      </c>
      <c r="P103" s="207">
        <f>SUM(P100:P102)</f>
      </c>
      <c r="Q103" s="209">
        <f t="shared" si="10"/>
      </c>
      <c r="R103" s="210">
        <f t="shared" si="14"/>
      </c>
      <c r="S103" s="210">
        <f t="shared" si="45"/>
      </c>
      <c r="T103" s="211">
        <f>(T102+T101+T100)/3</f>
      </c>
      <c r="U103" s="215">
        <f t="shared" si="108"/>
      </c>
      <c r="V103" s="215">
        <f t="shared" si="110"/>
      </c>
      <c r="W103" s="215">
        <f t="shared" si="138"/>
      </c>
      <c r="X103" s="215">
        <f t="shared" si="111"/>
      </c>
      <c r="Y103" s="215">
        <f t="shared" si="7"/>
      </c>
      <c r="Z103" s="209">
        <f>SUM(Z100:Z102)</f>
      </c>
      <c r="AA103" s="209">
        <f>SUM(AA100:AA102)</f>
      </c>
      <c r="AB103" s="209">
        <f>SUM(AB100:AB102)</f>
      </c>
      <c r="AC103" s="209">
        <f>SUM(AC100:AC102)</f>
      </c>
      <c r="AD103" s="209">
        <f>SUM(AD100:AD102)</f>
      </c>
      <c r="AE103" s="209">
        <f>SUM(AE100:AE102)</f>
      </c>
    </row>
    <row r="104">
      <c r="A104" s="187"/>
      <c r="B104" s="189" t="s">
        <v>140</v>
      </c>
      <c r="C104" s="189" t="s">
        <v>133</v>
      </c>
      <c r="D104" s="203">
        <v>2096.06</v>
      </c>
      <c r="E104" s="244">
        <v>1</v>
      </c>
      <c r="F104" s="244">
        <v>1</v>
      </c>
      <c r="G104" s="195">
        <f t="shared" si="47"/>
      </c>
      <c r="H104" s="198">
        <v>2</v>
      </c>
      <c r="I104" s="217">
        <v>1</v>
      </c>
      <c r="J104" s="193">
        <v>684</v>
      </c>
      <c r="K104" s="217">
        <v>0</v>
      </c>
      <c r="L104" s="193">
        <v>0</v>
      </c>
      <c r="M104" s="198">
        <f t="shared" ref="M104:M105" si="101">K104+I104</f>
      </c>
      <c r="N104" s="195">
        <f t="shared" si="136"/>
      </c>
      <c r="O104" s="195">
        <f t="shared" si="137"/>
      </c>
      <c r="P104" s="196">
        <f t="shared" ref="P104:P105" si="129">J104+L104</f>
      </c>
      <c r="Q104" s="195">
        <f t="shared" si="10"/>
      </c>
      <c r="R104" s="197">
        <f t="shared" si="14"/>
      </c>
      <c r="S104" s="197">
        <f t="shared" si="45"/>
      </c>
      <c r="T104" s="214">
        <f t="shared" ref="T104:T105" si="71">AA104/60</f>
      </c>
      <c r="U104" s="199">
        <f t="shared" si="108"/>
      </c>
      <c r="V104" s="200">
        <f t="shared" si="110"/>
      </c>
      <c r="W104" s="199">
        <f t="shared" si="138"/>
      </c>
      <c r="X104" s="199">
        <f t="shared" si="111"/>
      </c>
      <c r="Y104" s="199">
        <f t="shared" si="7"/>
      </c>
      <c r="Z104" s="198">
        <v>9040</v>
      </c>
      <c r="AA104" s="198">
        <v>382</v>
      </c>
      <c r="AB104" s="198">
        <v>25</v>
      </c>
      <c r="AC104" s="231">
        <v>39</v>
      </c>
      <c r="AD104" s="198">
        <v>2</v>
      </c>
      <c r="AE104" s="228">
        <f t="shared" ref="AE104:AE105" si="38">COUNT(AD104)</f>
      </c>
    </row>
    <row r="105">
      <c r="A105" s="187"/>
      <c r="B105" s="189" t="s">
        <v>141</v>
      </c>
      <c r="C105" s="189" t="s">
        <v>133</v>
      </c>
      <c r="D105" s="190">
        <v>2424.39</v>
      </c>
      <c r="E105" s="247">
        <v>4</v>
      </c>
      <c r="F105" s="244">
        <v>2</v>
      </c>
      <c r="G105" s="195">
        <f t="shared" si="47"/>
      </c>
      <c r="H105" s="217">
        <v>7</v>
      </c>
      <c r="I105" s="217">
        <v>4</v>
      </c>
      <c r="J105" s="216">
        <v>3812.3999999999996</v>
      </c>
      <c r="K105" s="217">
        <v>1</v>
      </c>
      <c r="L105" s="216">
        <v>1186.8000000000002</v>
      </c>
      <c r="M105" s="198">
        <f t="shared" si="101"/>
      </c>
      <c r="N105" s="195">
        <f t="shared" si="136"/>
      </c>
      <c r="O105" s="195">
        <f t="shared" si="137"/>
      </c>
      <c r="P105" s="196">
        <f t="shared" si="129"/>
      </c>
      <c r="Q105" s="195">
        <f t="shared" si="10"/>
      </c>
      <c r="R105" s="197">
        <f t="shared" si="14"/>
      </c>
      <c r="S105" s="197">
        <f t="shared" si="45"/>
      </c>
      <c r="T105" s="214">
        <f t="shared" si="71"/>
      </c>
      <c r="U105" s="199">
        <f t="shared" si="108"/>
      </c>
      <c r="V105" s="200">
        <f t="shared" si="110"/>
      </c>
      <c r="W105" s="199">
        <f t="shared" si="138"/>
      </c>
      <c r="X105" s="199">
        <f t="shared" si="111"/>
      </c>
      <c r="Y105" s="199">
        <f t="shared" si="7"/>
      </c>
      <c r="Z105" s="198">
        <v>9149</v>
      </c>
      <c r="AA105" s="198">
        <v>362</v>
      </c>
      <c r="AB105" s="198">
        <v>57</v>
      </c>
      <c r="AC105" s="231">
        <v>54</v>
      </c>
      <c r="AD105" s="198">
        <v>7</v>
      </c>
      <c r="AE105" s="228">
        <f t="shared" si="38"/>
      </c>
    </row>
    <row r="106">
      <c r="A106" s="187"/>
      <c r="B106" s="205" t="s">
        <v>137</v>
      </c>
      <c r="C106" s="205"/>
      <c r="D106" s="206">
        <f>SUM(D104:D105)</f>
      </c>
      <c r="E106" s="209">
        <f>SUM(E104:E105)</f>
      </c>
      <c r="F106" s="209">
        <f>SUM(F104:F105)</f>
      </c>
      <c r="G106" s="251">
        <f t="shared" si="47"/>
      </c>
      <c r="H106" s="209">
        <f>SUM(H104:H105)</f>
      </c>
      <c r="I106" s="209">
        <f>SUM(I104:I105)</f>
      </c>
      <c r="J106" s="206">
        <f>SUM(J104:J105)</f>
      </c>
      <c r="K106" s="209">
        <f>SUM(K104:K105)</f>
      </c>
      <c r="L106" s="206">
        <f>SUM(L104:L105)</f>
      </c>
      <c r="M106" s="209">
        <f>SUM(M104:M105)</f>
      </c>
      <c r="N106" s="209">
        <f t="shared" si="136"/>
      </c>
      <c r="O106" s="209">
        <f t="shared" si="137"/>
      </c>
      <c r="P106" s="206">
        <f>SUM(P104:P105)</f>
      </c>
      <c r="Q106" s="209">
        <f t="shared" si="10"/>
      </c>
      <c r="R106" s="210">
        <f t="shared" si="14"/>
      </c>
      <c r="S106" s="210">
        <f t="shared" si="45"/>
      </c>
      <c r="T106" s="248">
        <f>(T105+T104)/2</f>
      </c>
      <c r="U106" s="212">
        <f t="shared" si="108"/>
      </c>
      <c r="V106" s="213">
        <f t="shared" si="110"/>
      </c>
      <c r="W106" s="212">
        <f t="shared" si="138"/>
      </c>
      <c r="X106" s="212">
        <f t="shared" si="111"/>
      </c>
      <c r="Y106" s="212">
        <f t="shared" si="7"/>
      </c>
      <c r="Z106" s="209">
        <f>SUM(Z104:Z105)</f>
      </c>
      <c r="AA106" s="209">
        <f>SUM(AA104:AA105)</f>
      </c>
      <c r="AB106" s="209">
        <f>SUM(AB104:AB105)</f>
      </c>
      <c r="AC106" s="209">
        <f>SUM(AC104:AC105)</f>
      </c>
      <c r="AD106" s="209">
        <f>SUM(AD104:AD105)</f>
      </c>
      <c r="AE106" s="209">
        <f>SUM(AE104:AE105)</f>
      </c>
    </row>
    <row r="107">
      <c r="A107" s="187"/>
      <c r="B107" s="189" t="s">
        <v>143</v>
      </c>
      <c r="C107" s="189" t="s">
        <v>148</v>
      </c>
      <c r="D107" s="203">
        <v>3833.62</v>
      </c>
      <c r="E107" s="244">
        <v>3</v>
      </c>
      <c r="F107" s="244">
        <v>1</v>
      </c>
      <c r="G107" s="195">
        <f t="shared" si="47"/>
      </c>
      <c r="H107" s="198">
        <v>4</v>
      </c>
      <c r="I107" s="217">
        <v>0</v>
      </c>
      <c r="J107" s="193">
        <v>0</v>
      </c>
      <c r="K107" s="217">
        <v>1</v>
      </c>
      <c r="L107" s="193">
        <v>664.8000000000002</v>
      </c>
      <c r="M107" s="198">
        <f t="shared" ref="M107:M109" si="102">K107+I107</f>
      </c>
      <c r="N107" s="195">
        <f t="shared" si="136"/>
      </c>
      <c r="O107" s="195">
        <f t="shared" si="137"/>
      </c>
      <c r="P107" s="196">
        <f t="shared" ref="P107:P109" si="130">J107+L107</f>
      </c>
      <c r="Q107" s="195">
        <f t="shared" si="10"/>
      </c>
      <c r="R107" s="197">
        <f t="shared" si="14"/>
      </c>
      <c r="S107" s="197">
        <f t="shared" si="45"/>
      </c>
      <c r="T107" s="214">
        <f t="shared" ref="T107:T109" si="72">AA107/60</f>
      </c>
      <c r="U107" s="199">
        <f t="shared" si="108"/>
      </c>
      <c r="V107" s="200">
        <f t="shared" si="110"/>
      </c>
      <c r="W107" s="199">
        <f t="shared" si="138"/>
      </c>
      <c r="X107" s="199">
        <f t="shared" si="111"/>
      </c>
      <c r="Y107" s="199">
        <f t="shared" si="7"/>
      </c>
      <c r="Z107" s="198">
        <v>14980</v>
      </c>
      <c r="AA107" s="198">
        <v>550</v>
      </c>
      <c r="AB107" s="198">
        <v>89</v>
      </c>
      <c r="AC107" s="231">
        <v>75</v>
      </c>
      <c r="AD107" s="198">
        <v>4</v>
      </c>
      <c r="AE107" s="228">
        <f t="shared" ref="AE107:AE109" si="39">COUNT(AD107)</f>
      </c>
    </row>
    <row r="108">
      <c r="A108" s="187"/>
      <c r="B108" s="189" t="s">
        <v>146</v>
      </c>
      <c r="C108" s="189" t="s">
        <v>148</v>
      </c>
      <c r="D108" s="190">
        <v>2375.82</v>
      </c>
      <c r="E108" s="247">
        <v>3</v>
      </c>
      <c r="F108" s="244">
        <v>1</v>
      </c>
      <c r="G108" s="195">
        <f t="shared" si="47"/>
      </c>
      <c r="H108" s="217">
        <v>4</v>
      </c>
      <c r="I108" s="217">
        <v>1</v>
      </c>
      <c r="J108" s="193">
        <v>1546.800000000001</v>
      </c>
      <c r="K108" s="217">
        <v>1</v>
      </c>
      <c r="L108" s="193">
        <v>879.5999999999995</v>
      </c>
      <c r="M108" s="198">
        <f t="shared" si="102"/>
      </c>
      <c r="N108" s="195">
        <f t="shared" si="136"/>
      </c>
      <c r="O108" s="195">
        <f t="shared" si="137"/>
      </c>
      <c r="P108" s="196">
        <f t="shared" si="130"/>
      </c>
      <c r="Q108" s="195">
        <f t="shared" si="10"/>
      </c>
      <c r="R108" s="197">
        <f t="shared" si="14"/>
      </c>
      <c r="S108" s="197">
        <f t="shared" si="45"/>
      </c>
      <c r="T108" s="214">
        <f t="shared" si="72"/>
      </c>
      <c r="U108" s="199">
        <f t="shared" si="108"/>
      </c>
      <c r="V108" s="200">
        <f t="shared" si="110"/>
      </c>
      <c r="W108" s="199">
        <f t="shared" si="138"/>
      </c>
      <c r="X108" s="199">
        <f t="shared" si="111"/>
      </c>
      <c r="Y108" s="199">
        <f t="shared" si="7"/>
      </c>
      <c r="Z108" s="198">
        <v>10412</v>
      </c>
      <c r="AA108" s="198">
        <v>552</v>
      </c>
      <c r="AB108" s="198">
        <v>84</v>
      </c>
      <c r="AC108" s="231">
        <v>72</v>
      </c>
      <c r="AD108" s="198">
        <v>4</v>
      </c>
      <c r="AE108" s="228">
        <f t="shared" si="39"/>
      </c>
    </row>
    <row r="109">
      <c r="A109" s="187"/>
      <c r="B109" s="188" t="s">
        <v>147</v>
      </c>
      <c r="C109" s="189" t="s">
        <v>148</v>
      </c>
      <c r="D109" s="190">
        <v>919.8</v>
      </c>
      <c r="E109" s="247">
        <v>4</v>
      </c>
      <c r="F109" s="244">
        <v>2</v>
      </c>
      <c r="G109" s="195">
        <f t="shared" si="47"/>
      </c>
      <c r="H109" s="217">
        <v>7</v>
      </c>
      <c r="I109" s="198">
        <v>1</v>
      </c>
      <c r="J109" s="216">
        <v>1525.199999999999</v>
      </c>
      <c r="K109" s="198">
        <v>0</v>
      </c>
      <c r="L109" s="193">
        <v>0</v>
      </c>
      <c r="M109" s="198">
        <f t="shared" si="102"/>
      </c>
      <c r="N109" s="195">
        <f t="shared" si="136"/>
      </c>
      <c r="O109" s="195">
        <f t="shared" si="137"/>
      </c>
      <c r="P109" s="196">
        <f t="shared" si="130"/>
      </c>
      <c r="Q109" s="195">
        <f t="shared" si="10"/>
      </c>
      <c r="R109" s="197">
        <f t="shared" si="14"/>
      </c>
      <c r="S109" s="197">
        <f t="shared" si="45"/>
      </c>
      <c r="T109" s="214">
        <f t="shared" si="72"/>
      </c>
      <c r="U109" s="199">
        <f t="shared" si="108"/>
      </c>
      <c r="V109" s="200">
        <f t="shared" si="110"/>
      </c>
      <c r="W109" s="199">
        <f t="shared" si="138"/>
      </c>
      <c r="X109" s="199">
        <f t="shared" si="111"/>
      </c>
      <c r="Y109" s="199">
        <f t="shared" si="7"/>
      </c>
      <c r="Z109" s="198">
        <v>4726</v>
      </c>
      <c r="AA109" s="198">
        <v>255</v>
      </c>
      <c r="AB109" s="198">
        <v>44</v>
      </c>
      <c r="AC109" s="231">
        <v>27</v>
      </c>
      <c r="AD109" s="198">
        <v>7</v>
      </c>
      <c r="AE109" s="228">
        <f t="shared" si="39"/>
      </c>
    </row>
    <row r="110">
      <c r="A110" s="187"/>
      <c r="B110" s="205" t="s">
        <v>137</v>
      </c>
      <c r="C110" s="205"/>
      <c r="D110" s="206">
        <f>SUM(D107:D109)</f>
      </c>
      <c r="E110" s="209">
        <f>SUM(E107:E109)</f>
      </c>
      <c r="F110" s="209">
        <f>SUM(F107:F109)</f>
      </c>
      <c r="G110" s="208">
        <f t="shared" si="47"/>
      </c>
      <c r="H110" s="209">
        <f>SUM(H107:H109)</f>
      </c>
      <c r="I110" s="209">
        <f>SUM(I107:I109)</f>
      </c>
      <c r="J110" s="206">
        <f>SUM(J107:J109)</f>
      </c>
      <c r="K110" s="209">
        <f>SUM(K107:K109)</f>
      </c>
      <c r="L110" s="206">
        <f>SUM(L107:L109)</f>
      </c>
      <c r="M110" s="209">
        <f>SUM(M107:M109)</f>
      </c>
      <c r="N110" s="209">
        <f t="shared" si="136"/>
      </c>
      <c r="O110" s="209">
        <f t="shared" si="137"/>
      </c>
      <c r="P110" s="206">
        <f>SUM(P107:P109)</f>
      </c>
      <c r="Q110" s="209">
        <f t="shared" si="10"/>
      </c>
      <c r="R110" s="210">
        <f t="shared" si="14"/>
      </c>
      <c r="S110" s="210">
        <f t="shared" si="45"/>
      </c>
      <c r="T110" s="248">
        <f>(T109+T108+T107)/3</f>
      </c>
      <c r="U110" s="212">
        <f t="shared" si="108"/>
      </c>
      <c r="V110" s="213">
        <f t="shared" si="110"/>
      </c>
      <c r="W110" s="212">
        <f t="shared" si="138"/>
      </c>
      <c r="X110" s="212">
        <f t="shared" si="111"/>
      </c>
      <c r="Y110" s="212">
        <f t="shared" si="7"/>
      </c>
      <c r="Z110" s="209">
        <f>SUM(Z107:Z109)</f>
      </c>
      <c r="AA110" s="209">
        <f>SUM(AA107:AA109)</f>
      </c>
      <c r="AB110" s="209">
        <f>SUM(AB107:AB109)</f>
      </c>
      <c r="AC110" s="209">
        <f>SUM(AC107:AC109)</f>
      </c>
      <c r="AD110" s="209">
        <f>SUM(AD107:AD109)</f>
      </c>
      <c r="AE110" s="209">
        <f>SUM(AE107:AE109)</f>
      </c>
    </row>
    <row r="111">
      <c r="A111" s="187"/>
      <c r="B111" s="218" t="s">
        <v>144</v>
      </c>
      <c r="C111" s="218"/>
      <c r="D111" s="249">
        <f>D110+D103+D106</f>
      </c>
      <c r="E111" s="250">
        <f>E110+E103+E106</f>
      </c>
      <c r="F111" s="250">
        <f>F110+F103+F106</f>
      </c>
      <c r="G111" s="221">
        <f t="shared" si="47"/>
      </c>
      <c r="H111" s="250">
        <f>H110+H103+H106</f>
      </c>
      <c r="I111" s="250">
        <f>I110+I103+I106</f>
      </c>
      <c r="J111" s="249">
        <f>J110+J103+J106</f>
      </c>
      <c r="K111" s="250">
        <f>K110+K103+K106</f>
      </c>
      <c r="L111" s="219">
        <f>L110+L103+L106</f>
      </c>
      <c r="M111" s="222">
        <f>M110+M103+M106</f>
      </c>
      <c r="N111" s="221">
        <f t="shared" si="136"/>
      </c>
      <c r="O111" s="221">
        <f t="shared" si="137"/>
      </c>
      <c r="P111" s="219">
        <f>P110+P103+P106</f>
      </c>
      <c r="Q111" s="221">
        <f t="shared" si="10"/>
      </c>
      <c r="R111" s="223">
        <f t="shared" si="14"/>
      </c>
      <c r="S111" s="223">
        <f t="shared" si="45"/>
      </c>
      <c r="T111" s="224">
        <f>(T110+T103+T106)/3</f>
      </c>
      <c r="U111" s="225">
        <f t="shared" si="108"/>
      </c>
      <c r="V111" s="226">
        <f t="shared" si="110"/>
      </c>
      <c r="W111" s="225">
        <f t="shared" si="138"/>
      </c>
      <c r="X111" s="225">
        <f t="shared" si="111"/>
      </c>
      <c r="Y111" s="225">
        <f t="shared" si="7"/>
      </c>
      <c r="Z111" s="222">
        <f>Z110+Z103+Z106</f>
      </c>
      <c r="AA111" s="222">
        <f>AA110+AA103+AA106</f>
      </c>
      <c r="AB111" s="222">
        <f>AB110+AB103+AB106</f>
      </c>
      <c r="AC111" s="222">
        <f>AC110+AC103+AC106</f>
      </c>
      <c r="AD111" s="222">
        <f>AD110+AD103+AD106</f>
      </c>
      <c r="AE111" s="222">
        <f>AE110+AE103+AE106</f>
      </c>
    </row>
    <row r="112">
      <c r="A112" s="187">
        <v>46233</v>
      </c>
      <c r="B112" s="188" t="s">
        <v>135</v>
      </c>
      <c r="C112" s="189" t="s">
        <v>145</v>
      </c>
      <c r="D112" s="190">
        <v>1525.06</v>
      </c>
      <c r="E112" s="244">
        <v>2</v>
      </c>
      <c r="F112" s="244">
        <v>2</v>
      </c>
      <c r="G112" s="195">
        <f t="shared" si="47"/>
      </c>
      <c r="H112" s="198">
        <v>4</v>
      </c>
      <c r="I112" s="198">
        <v>1</v>
      </c>
      <c r="J112" s="193">
        <v>720</v>
      </c>
      <c r="K112" s="198">
        <v>1</v>
      </c>
      <c r="L112" s="193">
        <v>879.5999999999999</v>
      </c>
      <c r="M112" s="198">
        <f t="shared" ref="M112:M114" si="103">K112+I112</f>
      </c>
      <c r="N112" s="195">
        <f t="shared" si="136"/>
      </c>
      <c r="O112" s="195">
        <f t="shared" si="137"/>
      </c>
      <c r="P112" s="196">
        <f t="shared" ref="P112:P114" si="131">J112+L112</f>
      </c>
      <c r="Q112" s="195">
        <f t="shared" si="10"/>
      </c>
      <c r="R112" s="197">
        <f t="shared" si="14"/>
      </c>
      <c r="S112" s="197">
        <f t="shared" si="45"/>
      </c>
      <c r="T112" s="214">
        <f t="shared" ref="T112:T114" si="73">AA112/60</f>
      </c>
      <c r="U112" s="199">
        <f t="shared" si="108"/>
      </c>
      <c r="V112" s="200">
        <f t="shared" si="110"/>
      </c>
      <c r="W112" s="199">
        <f t="shared" si="138"/>
      </c>
      <c r="X112" s="199">
        <f t="shared" si="111"/>
      </c>
      <c r="Y112" s="227">
        <f t="shared" si="7"/>
      </c>
      <c r="Z112" s="198">
        <v>4820</v>
      </c>
      <c r="AA112" s="198">
        <v>218</v>
      </c>
      <c r="AB112" s="198">
        <v>54</v>
      </c>
      <c r="AC112" s="198">
        <v>33</v>
      </c>
      <c r="AD112" s="198">
        <v>4</v>
      </c>
      <c r="AE112" s="228">
        <f t="shared" ref="AE112:AE114" si="40">COUNT(AD112)</f>
      </c>
    </row>
    <row r="113">
      <c r="A113" s="187"/>
      <c r="B113" s="188" t="s">
        <v>136</v>
      </c>
      <c r="C113" s="189" t="s">
        <v>145</v>
      </c>
      <c r="D113" s="232">
        <v>1760.98</v>
      </c>
      <c r="E113" s="245">
        <v>3</v>
      </c>
      <c r="F113" s="245">
        <v>2</v>
      </c>
      <c r="G113" s="195">
        <f t="shared" si="47"/>
      </c>
      <c r="H113" s="202">
        <v>2</v>
      </c>
      <c r="I113" s="202">
        <v>2</v>
      </c>
      <c r="J113" s="246">
        <v>2206.8</v>
      </c>
      <c r="K113" s="202">
        <v>0</v>
      </c>
      <c r="L113" s="235">
        <v>0</v>
      </c>
      <c r="M113" s="202">
        <f t="shared" si="103"/>
      </c>
      <c r="N113" s="234">
        <f t="shared" si="136"/>
      </c>
      <c r="O113" s="234">
        <f t="shared" si="137"/>
      </c>
      <c r="P113" s="237">
        <f t="shared" si="131"/>
      </c>
      <c r="Q113" s="234">
        <f t="shared" si="10"/>
      </c>
      <c r="R113" s="238">
        <f t="shared" si="14"/>
      </c>
      <c r="S113" s="238">
        <f t="shared" si="45"/>
      </c>
      <c r="T113" s="239">
        <f t="shared" si="73"/>
      </c>
      <c r="U113" s="240">
        <f t="shared" si="108"/>
      </c>
      <c r="V113" s="240">
        <f t="shared" si="110"/>
      </c>
      <c r="W113" s="240">
        <f t="shared" si="138"/>
      </c>
      <c r="X113" s="240">
        <f t="shared" si="111"/>
      </c>
      <c r="Y113" s="241">
        <f t="shared" si="7"/>
      </c>
      <c r="Z113" s="198">
        <v>5405</v>
      </c>
      <c r="AA113" s="242">
        <v>264</v>
      </c>
      <c r="AB113" s="242">
        <v>76</v>
      </c>
      <c r="AC113" s="242">
        <v>36</v>
      </c>
      <c r="AD113" s="242">
        <v>2</v>
      </c>
      <c r="AE113" s="228">
        <f t="shared" si="40"/>
      </c>
    </row>
    <row r="114">
      <c r="A114" s="187"/>
      <c r="B114" s="188" t="s">
        <v>138</v>
      </c>
      <c r="C114" s="189" t="s">
        <v>145</v>
      </c>
      <c r="D114" s="190">
        <v>2034.16</v>
      </c>
      <c r="E114" s="244">
        <v>3</v>
      </c>
      <c r="F114" s="244">
        <v>2</v>
      </c>
      <c r="G114" s="195">
        <f t="shared" si="47"/>
      </c>
      <c r="H114" s="198">
        <v>4</v>
      </c>
      <c r="I114" s="198">
        <v>1</v>
      </c>
      <c r="J114" s="193">
        <v>720</v>
      </c>
      <c r="K114" s="198">
        <v>1</v>
      </c>
      <c r="L114" s="193">
        <v>1186.7999999999997</v>
      </c>
      <c r="M114" s="198">
        <f t="shared" si="103"/>
      </c>
      <c r="N114" s="195">
        <f t="shared" si="136"/>
      </c>
      <c r="O114" s="195">
        <f t="shared" si="137"/>
      </c>
      <c r="P114" s="196">
        <f t="shared" si="131"/>
      </c>
      <c r="Q114" s="195">
        <f t="shared" si="10"/>
      </c>
      <c r="R114" s="238">
        <f t="shared" si="14"/>
      </c>
      <c r="S114" s="238">
        <f t="shared" si="45"/>
      </c>
      <c r="T114" s="214">
        <f t="shared" si="73"/>
      </c>
      <c r="U114" s="199">
        <f t="shared" si="108"/>
      </c>
      <c r="V114" s="200">
        <f t="shared" si="110"/>
      </c>
      <c r="W114" s="240">
        <f t="shared" si="138"/>
      </c>
      <c r="X114" s="199">
        <f t="shared" si="111"/>
      </c>
      <c r="Y114" s="227">
        <f t="shared" si="7"/>
      </c>
      <c r="Z114" s="198">
        <v>7725</v>
      </c>
      <c r="AA114" s="198">
        <v>309</v>
      </c>
      <c r="AB114" s="198">
        <v>67</v>
      </c>
      <c r="AC114" s="198">
        <v>36</v>
      </c>
      <c r="AD114" s="198">
        <v>4</v>
      </c>
      <c r="AE114" s="228">
        <f t="shared" si="40"/>
      </c>
    </row>
    <row r="115">
      <c r="A115" s="187"/>
      <c r="B115" s="205" t="s">
        <v>137</v>
      </c>
      <c r="C115" s="205"/>
      <c r="D115" s="206">
        <f>SUM(D112:D114)</f>
      </c>
      <c r="E115" s="209">
        <f>SUM(E112:E114)</f>
      </c>
      <c r="F115" s="209">
        <f>SUM(F112:F114)</f>
      </c>
      <c r="G115" s="209">
        <f t="shared" si="47"/>
      </c>
      <c r="H115" s="209">
        <f>SUM(H112:H114)</f>
      </c>
      <c r="I115" s="209">
        <f>SUM(I112:I114)</f>
      </c>
      <c r="J115" s="207">
        <f>SUM(J112:J114)</f>
      </c>
      <c r="K115" s="209">
        <f>SUM(K112:K114)</f>
      </c>
      <c r="L115" s="207">
        <f>SUM(L112:L114)</f>
      </c>
      <c r="M115" s="209">
        <f>SUM(M112:M114)</f>
      </c>
      <c r="N115" s="209">
        <f t="shared" si="136"/>
      </c>
      <c r="O115" s="209">
        <f t="shared" si="137"/>
      </c>
      <c r="P115" s="207">
        <f>SUM(P112:P114)</f>
      </c>
      <c r="Q115" s="209">
        <f t="shared" si="10"/>
      </c>
      <c r="R115" s="210">
        <f t="shared" si="14"/>
      </c>
      <c r="S115" s="210">
        <f t="shared" si="45"/>
      </c>
      <c r="T115" s="211">
        <f>(T114+T113+T112)/3</f>
      </c>
      <c r="U115" s="215">
        <f t="shared" si="108"/>
      </c>
      <c r="V115" s="215">
        <f t="shared" si="110"/>
      </c>
      <c r="W115" s="215">
        <f t="shared" si="138"/>
      </c>
      <c r="X115" s="215">
        <f t="shared" si="111"/>
      </c>
      <c r="Y115" s="215">
        <f t="shared" si="7"/>
      </c>
      <c r="Z115" s="209">
        <f>SUM(Z112:Z114)</f>
      </c>
      <c r="AA115" s="209">
        <f>SUM(AA112:AA114)</f>
      </c>
      <c r="AB115" s="209">
        <f>SUM(AB112:AB114)</f>
      </c>
      <c r="AC115" s="209">
        <f>SUM(AC112:AC114)</f>
      </c>
      <c r="AD115" s="209">
        <f>SUM(AD112:AD114)</f>
      </c>
      <c r="AE115" s="209">
        <f>SUM(AE112:AE114)</f>
      </c>
    </row>
    <row r="116">
      <c r="A116" s="187"/>
      <c r="B116" s="189" t="s">
        <v>140</v>
      </c>
      <c r="C116" s="189" t="s">
        <v>148</v>
      </c>
      <c r="D116" s="203">
        <v>2166.68</v>
      </c>
      <c r="E116" s="244">
        <v>5</v>
      </c>
      <c r="F116" s="244">
        <v>1</v>
      </c>
      <c r="G116" s="195">
        <f t="shared" si="47"/>
      </c>
      <c r="H116" s="198">
        <v>6</v>
      </c>
      <c r="I116" s="217">
        <v>0</v>
      </c>
      <c r="J116" s="193">
        <v>0</v>
      </c>
      <c r="K116" s="217">
        <v>1</v>
      </c>
      <c r="L116" s="193">
        <v>1186.8000000000002</v>
      </c>
      <c r="M116" s="198">
        <f t="shared" ref="M116:M117" si="104">K116+I116</f>
      </c>
      <c r="N116" s="195">
        <f t="shared" si="136"/>
      </c>
      <c r="O116" s="195">
        <f t="shared" si="137"/>
      </c>
      <c r="P116" s="196">
        <f t="shared" ref="P116:P117" si="132">J116+L116</f>
      </c>
      <c r="Q116" s="195">
        <f t="shared" si="10"/>
      </c>
      <c r="R116" s="197">
        <f t="shared" si="14"/>
      </c>
      <c r="S116" s="197">
        <f t="shared" si="45"/>
      </c>
      <c r="T116" s="214">
        <f t="shared" ref="T116:T117" si="74">AA116/60</f>
      </c>
      <c r="U116" s="199">
        <f t="shared" si="108"/>
      </c>
      <c r="V116" s="200">
        <f t="shared" si="110"/>
      </c>
      <c r="W116" s="199">
        <f t="shared" si="138"/>
      </c>
      <c r="X116" s="199">
        <f t="shared" si="111"/>
      </c>
      <c r="Y116" s="199">
        <f t="shared" si="7"/>
      </c>
      <c r="Z116" s="198">
        <v>8991</v>
      </c>
      <c r="AA116" s="198">
        <v>418</v>
      </c>
      <c r="AB116" s="198">
        <v>67</v>
      </c>
      <c r="AC116" s="231">
        <v>35</v>
      </c>
      <c r="AD116" s="198">
        <v>6</v>
      </c>
      <c r="AE116" s="228">
        <f t="shared" ref="AE116:AE117" si="41">COUNT(AD116)</f>
      </c>
    </row>
    <row r="117">
      <c r="A117" s="187"/>
      <c r="B117" s="189" t="s">
        <v>141</v>
      </c>
      <c r="C117" s="189" t="s">
        <v>148</v>
      </c>
      <c r="D117" s="190">
        <v>1788.68</v>
      </c>
      <c r="E117" s="247">
        <v>5</v>
      </c>
      <c r="F117" s="244">
        <v>2</v>
      </c>
      <c r="G117" s="195">
        <f t="shared" si="47"/>
      </c>
      <c r="H117" s="217">
        <v>5</v>
      </c>
      <c r="I117" s="217">
        <v>2</v>
      </c>
      <c r="J117" s="216">
        <v>1440</v>
      </c>
      <c r="K117" s="217">
        <v>0</v>
      </c>
      <c r="L117" s="216">
        <v>0</v>
      </c>
      <c r="M117" s="198">
        <f t="shared" si="104"/>
      </c>
      <c r="N117" s="195">
        <f t="shared" si="136"/>
      </c>
      <c r="O117" s="195">
        <f t="shared" si="137"/>
      </c>
      <c r="P117" s="196">
        <f t="shared" si="132"/>
      </c>
      <c r="Q117" s="195">
        <f t="shared" si="10"/>
      </c>
      <c r="R117" s="197">
        <f t="shared" si="14"/>
      </c>
      <c r="S117" s="197">
        <f t="shared" si="45"/>
      </c>
      <c r="T117" s="214">
        <f t="shared" si="74"/>
      </c>
      <c r="U117" s="199">
        <f t="shared" si="108"/>
      </c>
      <c r="V117" s="200">
        <f t="shared" si="110"/>
      </c>
      <c r="W117" s="199">
        <f t="shared" si="138"/>
      </c>
      <c r="X117" s="199">
        <f t="shared" si="111"/>
      </c>
      <c r="Y117" s="199">
        <f t="shared" si="7"/>
      </c>
      <c r="Z117" s="198">
        <v>6524</v>
      </c>
      <c r="AA117" s="198">
        <v>313</v>
      </c>
      <c r="AB117" s="198">
        <v>40</v>
      </c>
      <c r="AC117" s="231">
        <v>36</v>
      </c>
      <c r="AD117" s="198">
        <v>5</v>
      </c>
      <c r="AE117" s="228">
        <f t="shared" si="41"/>
      </c>
    </row>
    <row r="118">
      <c r="A118" s="187"/>
      <c r="B118" s="205" t="s">
        <v>137</v>
      </c>
      <c r="C118" s="205"/>
      <c r="D118" s="206">
        <f>SUM(D116:D117)</f>
      </c>
      <c r="E118" s="209">
        <f>SUM(E116:E117)</f>
      </c>
      <c r="F118" s="209">
        <f>SUM(F116:F117)</f>
      </c>
      <c r="G118" s="251">
        <f t="shared" si="47"/>
      </c>
      <c r="H118" s="209">
        <f>SUM(H116:H117)</f>
      </c>
      <c r="I118" s="209">
        <f>SUM(I116:I117)</f>
      </c>
      <c r="J118" s="206">
        <f>SUM(J116:J117)</f>
      </c>
      <c r="K118" s="209">
        <f>SUM(K116:K117)</f>
      </c>
      <c r="L118" s="206">
        <f>SUM(L116:L117)</f>
      </c>
      <c r="M118" s="209">
        <f>SUM(M116:M117)</f>
      </c>
      <c r="N118" s="209">
        <f t="shared" si="136"/>
      </c>
      <c r="O118" s="209">
        <f t="shared" si="137"/>
      </c>
      <c r="P118" s="206">
        <f>SUM(P116:P117)</f>
      </c>
      <c r="Q118" s="209">
        <f t="shared" si="10"/>
      </c>
      <c r="R118" s="210">
        <f t="shared" si="14"/>
      </c>
      <c r="S118" s="210">
        <f t="shared" si="45"/>
      </c>
      <c r="T118" s="248">
        <f>(T117+T116)/2</f>
      </c>
      <c r="U118" s="212">
        <f t="shared" si="108"/>
      </c>
      <c r="V118" s="213">
        <f t="shared" si="110"/>
      </c>
      <c r="W118" s="212">
        <f t="shared" si="138"/>
      </c>
      <c r="X118" s="212">
        <f t="shared" si="111"/>
      </c>
      <c r="Y118" s="212">
        <f t="shared" si="7"/>
      </c>
      <c r="Z118" s="209">
        <f>SUM(Z116:Z117)</f>
      </c>
      <c r="AA118" s="209">
        <f>SUM(AA116:AA117)</f>
      </c>
      <c r="AB118" s="209">
        <f>SUM(AB116:AB117)</f>
      </c>
      <c r="AC118" s="209">
        <f>SUM(AC116:AC117)</f>
      </c>
      <c r="AD118" s="209">
        <f>SUM(AD116:AD117)</f>
      </c>
      <c r="AE118" s="209">
        <f>SUM(AE116:AE117)</f>
      </c>
    </row>
    <row r="119">
      <c r="A119" s="187"/>
      <c r="B119" s="189" t="s">
        <v>143</v>
      </c>
      <c r="C119" s="189" t="s">
        <v>139</v>
      </c>
      <c r="D119" s="203">
        <v>2264.26</v>
      </c>
      <c r="E119" s="244">
        <v>1</v>
      </c>
      <c r="F119" s="244">
        <v>0</v>
      </c>
      <c r="G119" s="195">
        <f t="shared" si="47"/>
      </c>
      <c r="H119" s="198">
        <v>1</v>
      </c>
      <c r="I119" s="217">
        <v>0</v>
      </c>
      <c r="J119" s="193">
        <v>0</v>
      </c>
      <c r="K119" s="217">
        <v>0</v>
      </c>
      <c r="L119" s="193">
        <v>0</v>
      </c>
      <c r="M119" s="198">
        <f t="shared" ref="M119:M121" si="105">K119+I119</f>
      </c>
      <c r="N119" s="195">
        <f t="shared" si="136"/>
      </c>
      <c r="O119" s="195">
        <f t="shared" si="137"/>
      </c>
      <c r="P119" s="196">
        <f t="shared" ref="P119:P121" si="133">J119+L119</f>
      </c>
      <c r="Q119" s="195">
        <f t="shared" si="10"/>
      </c>
      <c r="R119" s="197">
        <f t="shared" si="14"/>
      </c>
      <c r="S119" s="197">
        <f t="shared" si="45"/>
      </c>
      <c r="T119" s="214">
        <f t="shared" ref="T119:T121" si="75">AA119/60</f>
      </c>
      <c r="U119" s="199">
        <f t="shared" si="108"/>
      </c>
      <c r="V119" s="200">
        <f t="shared" si="110"/>
      </c>
      <c r="W119" s="199">
        <f t="shared" si="138"/>
      </c>
      <c r="X119" s="199">
        <f t="shared" si="111"/>
      </c>
      <c r="Y119" s="199">
        <f t="shared" si="7"/>
      </c>
      <c r="Z119" s="198">
        <v>8112</v>
      </c>
      <c r="AA119" s="198">
        <v>399</v>
      </c>
      <c r="AB119" s="198">
        <v>27</v>
      </c>
      <c r="AC119" s="231">
        <v>37</v>
      </c>
      <c r="AD119" s="198">
        <v>1</v>
      </c>
      <c r="AE119" s="228">
        <f t="shared" ref="AE119:AE121" si="42">COUNT(AD119)</f>
      </c>
    </row>
    <row r="120">
      <c r="A120" s="187"/>
      <c r="B120" s="189" t="s">
        <v>146</v>
      </c>
      <c r="C120" s="189" t="s">
        <v>139</v>
      </c>
      <c r="D120" s="190">
        <v>2202.58</v>
      </c>
      <c r="E120" s="247">
        <v>2</v>
      </c>
      <c r="F120" s="244">
        <v>0</v>
      </c>
      <c r="G120" s="195">
        <f t="shared" si="47"/>
      </c>
      <c r="H120" s="217">
        <v>2</v>
      </c>
      <c r="I120" s="217">
        <v>0</v>
      </c>
      <c r="J120" s="193">
        <v>0</v>
      </c>
      <c r="K120" s="217">
        <v>0</v>
      </c>
      <c r="L120" s="193">
        <v>0</v>
      </c>
      <c r="M120" s="198">
        <f t="shared" si="105"/>
      </c>
      <c r="N120" s="195">
        <f t="shared" si="136"/>
      </c>
      <c r="O120" s="195">
        <f t="shared" si="137"/>
      </c>
      <c r="P120" s="196">
        <f t="shared" si="133"/>
      </c>
      <c r="Q120" s="195">
        <f t="shared" si="10"/>
      </c>
      <c r="R120" s="197">
        <f t="shared" si="14"/>
      </c>
      <c r="S120" s="197">
        <f t="shared" si="45"/>
      </c>
      <c r="T120" s="214">
        <f t="shared" si="75"/>
      </c>
      <c r="U120" s="199">
        <f t="shared" si="108"/>
      </c>
      <c r="V120" s="200">
        <f t="shared" si="110"/>
      </c>
      <c r="W120" s="199">
        <f t="shared" si="138"/>
      </c>
      <c r="X120" s="199">
        <f t="shared" si="111"/>
      </c>
      <c r="Y120" s="199">
        <f t="shared" si="7"/>
      </c>
      <c r="Z120" s="198">
        <v>9192</v>
      </c>
      <c r="AA120" s="198">
        <v>475</v>
      </c>
      <c r="AB120" s="198">
        <v>58</v>
      </c>
      <c r="AC120" s="231">
        <v>50</v>
      </c>
      <c r="AD120" s="198">
        <v>2</v>
      </c>
      <c r="AE120" s="228">
        <f t="shared" si="42"/>
      </c>
    </row>
    <row r="121">
      <c r="A121" s="187"/>
      <c r="B121" s="188" t="s">
        <v>147</v>
      </c>
      <c r="C121" s="189" t="s">
        <v>139</v>
      </c>
      <c r="D121" s="190">
        <v>741.16</v>
      </c>
      <c r="E121" s="247">
        <v>0</v>
      </c>
      <c r="F121" s="244">
        <v>0</v>
      </c>
      <c r="G121" s="195">
        <f t="shared" si="47"/>
      </c>
      <c r="H121" s="217">
        <v>1</v>
      </c>
      <c r="I121" s="217">
        <v>0</v>
      </c>
      <c r="J121" s="216">
        <v>0</v>
      </c>
      <c r="K121" s="217">
        <v>0</v>
      </c>
      <c r="L121" s="216">
        <v>0</v>
      </c>
      <c r="M121" s="198">
        <f t="shared" si="105"/>
      </c>
      <c r="N121" s="195">
        <f t="shared" si="136"/>
      </c>
      <c r="O121" s="195">
        <f t="shared" si="137"/>
      </c>
      <c r="P121" s="196">
        <f t="shared" si="133"/>
      </c>
      <c r="Q121" s="195">
        <f t="shared" si="10"/>
      </c>
      <c r="R121" s="197">
        <f t="shared" si="14"/>
      </c>
      <c r="S121" s="197">
        <f t="shared" si="45"/>
      </c>
      <c r="T121" s="214">
        <f t="shared" si="75"/>
      </c>
      <c r="U121" s="199">
        <f t="shared" si="108"/>
      </c>
      <c r="V121" s="200">
        <f t="shared" si="110"/>
      </c>
      <c r="W121" s="199">
        <f t="shared" si="138"/>
      </c>
      <c r="X121" s="199">
        <f t="shared" si="111"/>
      </c>
      <c r="Y121" s="199">
        <f t="shared" si="7"/>
      </c>
      <c r="Z121" s="198">
        <v>3219</v>
      </c>
      <c r="AA121" s="198">
        <v>218</v>
      </c>
      <c r="AB121" s="198">
        <v>9</v>
      </c>
      <c r="AC121" s="231">
        <v>14</v>
      </c>
      <c r="AD121" s="198">
        <v>1</v>
      </c>
      <c r="AE121" s="228">
        <f t="shared" si="42"/>
      </c>
    </row>
    <row r="122">
      <c r="A122" s="187"/>
      <c r="B122" s="205" t="s">
        <v>137</v>
      </c>
      <c r="C122" s="205"/>
      <c r="D122" s="206">
        <f>SUM(D119:D121)</f>
      </c>
      <c r="E122" s="209">
        <f>SUM(E119:E121)</f>
      </c>
      <c r="F122" s="209">
        <f>SUM(F119:F121)</f>
      </c>
      <c r="G122" s="208">
        <f t="shared" si="47"/>
      </c>
      <c r="H122" s="209">
        <f>SUM(H119:H121)</f>
      </c>
      <c r="I122" s="209">
        <f>SUM(I119:I121)</f>
      </c>
      <c r="J122" s="206">
        <f>SUM(J119:J121)</f>
      </c>
      <c r="K122" s="209">
        <f>SUM(K119:K121)</f>
      </c>
      <c r="L122" s="206">
        <f>SUM(L119:L121)</f>
      </c>
      <c r="M122" s="209">
        <f>SUM(M119:M121)</f>
      </c>
      <c r="N122" s="209">
        <f t="shared" si="136"/>
      </c>
      <c r="O122" s="209">
        <f t="shared" si="137"/>
      </c>
      <c r="P122" s="206">
        <f>SUM(P119:P121)</f>
      </c>
      <c r="Q122" s="209">
        <f t="shared" si="10"/>
      </c>
      <c r="R122" s="210">
        <f t="shared" si="14"/>
      </c>
      <c r="S122" s="210">
        <f t="shared" si="45"/>
      </c>
      <c r="T122" s="248">
        <f>(T121+T120+T119)/3</f>
      </c>
      <c r="U122" s="212">
        <f t="shared" si="108"/>
      </c>
      <c r="V122" s="213">
        <f t="shared" si="110"/>
      </c>
      <c r="W122" s="212">
        <f t="shared" si="138"/>
      </c>
      <c r="X122" s="212">
        <f t="shared" si="111"/>
      </c>
      <c r="Y122" s="212">
        <f t="shared" si="7"/>
      </c>
      <c r="Z122" s="209">
        <f>SUM(Z119:Z121)</f>
      </c>
      <c r="AA122" s="209">
        <f>SUM(AA119:AA121)</f>
      </c>
      <c r="AB122" s="209">
        <f>SUM(AB119:AB121)</f>
      </c>
      <c r="AC122" s="209">
        <f>SUM(AC119:AC121)</f>
      </c>
      <c r="AD122" s="209">
        <f>SUM(AD119:AD121)</f>
      </c>
      <c r="AE122" s="209">
        <f>SUM(AE119:AE121)</f>
      </c>
    </row>
    <row r="123">
      <c r="A123" s="187"/>
      <c r="B123" s="218" t="s">
        <v>144</v>
      </c>
      <c r="C123" s="218"/>
      <c r="D123" s="249">
        <f>D122+D115+D118</f>
      </c>
      <c r="E123" s="250">
        <f>E122+E115+E118</f>
      </c>
      <c r="F123" s="250">
        <f>F122+F115+F118</f>
      </c>
      <c r="G123" s="221">
        <f t="shared" si="47"/>
      </c>
      <c r="H123" s="250">
        <f>H122+H115+H118</f>
      </c>
      <c r="I123" s="250">
        <f>I122+I115+I118</f>
      </c>
      <c r="J123" s="249">
        <f>J122+J115+J118</f>
      </c>
      <c r="K123" s="250">
        <f>K122+K115+K118</f>
      </c>
      <c r="L123" s="219">
        <f>L122+L115+L118</f>
      </c>
      <c r="M123" s="222">
        <f>M122+M115+M118</f>
      </c>
      <c r="N123" s="221">
        <f t="shared" si="136"/>
      </c>
      <c r="O123" s="221">
        <f t="shared" si="137"/>
      </c>
      <c r="P123" s="219">
        <f>P122+P115+P118</f>
      </c>
      <c r="Q123" s="221">
        <f t="shared" si="10"/>
      </c>
      <c r="R123" s="223">
        <f t="shared" si="14"/>
      </c>
      <c r="S123" s="223">
        <f t="shared" si="45"/>
      </c>
      <c r="T123" s="224">
        <f>(T122+T115+T118)/3</f>
      </c>
      <c r="U123" s="225">
        <f t="shared" si="108"/>
      </c>
      <c r="V123" s="226">
        <f t="shared" si="110"/>
      </c>
      <c r="W123" s="225">
        <f t="shared" si="138"/>
      </c>
      <c r="X123" s="225">
        <f t="shared" si="111"/>
      </c>
      <c r="Y123" s="225">
        <f t="shared" si="7"/>
      </c>
      <c r="Z123" s="222">
        <f>Z122+Z115+Z118</f>
      </c>
      <c r="AA123" s="222">
        <f>AA122+AA115+AA118</f>
      </c>
      <c r="AB123" s="222">
        <f>AB122+AB115+AB118</f>
      </c>
      <c r="AC123" s="222">
        <f>AC122+AC115+AC118</f>
      </c>
      <c r="AD123" s="222">
        <f>AD122+AD115+AD118</f>
      </c>
      <c r="AE123" s="222">
        <f>AE122+AE115+AE118</f>
      </c>
    </row>
    <row r="124">
      <c r="A124" s="187">
        <v>46234</v>
      </c>
      <c r="B124" s="188" t="s">
        <v>135</v>
      </c>
      <c r="C124" s="189" t="s">
        <v>145</v>
      </c>
      <c r="D124" s="190">
        <f>767.56+27.5</f>
      </c>
      <c r="E124" s="247">
        <v>3</v>
      </c>
      <c r="F124" s="244">
        <v>2</v>
      </c>
      <c r="G124" s="195">
        <f t="shared" si="47"/>
      </c>
      <c r="H124" s="198">
        <v>3</v>
      </c>
      <c r="I124" s="198">
        <v>1</v>
      </c>
      <c r="J124" s="193">
        <v>927.6</v>
      </c>
      <c r="K124" s="198">
        <v>1</v>
      </c>
      <c r="L124" s="193">
        <v>4239.6</v>
      </c>
      <c r="M124" s="198">
        <f t="shared" ref="M124:M127" si="106">K124+I124</f>
      </c>
      <c r="N124" s="195">
        <f t="shared" si="136"/>
      </c>
      <c r="O124" s="195">
        <f t="shared" si="137"/>
      </c>
      <c r="P124" s="196">
        <f t="shared" ref="P124:P127" si="134">J124+L124</f>
      </c>
      <c r="Q124" s="195">
        <f t="shared" si="10"/>
      </c>
      <c r="R124" s="197">
        <f t="shared" si="14"/>
      </c>
      <c r="S124" s="197">
        <f t="shared" si="45"/>
      </c>
      <c r="T124" s="214">
        <f t="shared" ref="T124:T127" si="76">AA124/60</f>
      </c>
      <c r="U124" s="199">
        <f t="shared" si="108"/>
      </c>
      <c r="V124" s="200">
        <f t="shared" si="110"/>
      </c>
      <c r="W124" s="199">
        <f t="shared" si="138"/>
      </c>
      <c r="X124" s="199">
        <f t="shared" si="111"/>
      </c>
      <c r="Y124" s="199">
        <f t="shared" ref="Y124:Y125" si="112">AE124/AD124</f>
      </c>
      <c r="Z124" s="198">
        <v>3057</v>
      </c>
      <c r="AA124" s="198">
        <v>148</v>
      </c>
      <c r="AB124" s="198">
        <v>13</v>
      </c>
      <c r="AC124" s="198">
        <v>12</v>
      </c>
      <c r="AD124" s="198">
        <v>3</v>
      </c>
      <c r="AE124" s="228">
        <f>COUNT(AD124)</f>
      </c>
    </row>
    <row customHeight="true" ht="16.071428571428573" r="125">
      <c r="A125" s="187"/>
      <c r="B125" s="188" t="s">
        <v>136</v>
      </c>
      <c r="C125" s="189" t="s">
        <v>145</v>
      </c>
      <c r="D125" s="232">
        <f>711.68+13.1</f>
      </c>
      <c r="E125" s="252">
        <v>0</v>
      </c>
      <c r="F125" s="252">
        <v>0</v>
      </c>
      <c r="G125" s="195">
        <f t="shared" si="47"/>
      </c>
      <c r="H125" s="242">
        <v>0</v>
      </c>
      <c r="I125" s="242">
        <v>0</v>
      </c>
      <c r="J125" s="246">
        <v>0</v>
      </c>
      <c r="K125" s="242">
        <v>0</v>
      </c>
      <c r="L125" s="246">
        <v>0</v>
      </c>
      <c r="M125" s="198">
        <f t="shared" si="106"/>
      </c>
      <c r="N125" s="195">
        <f t="shared" si="136"/>
      </c>
      <c r="O125" s="195">
        <f t="shared" si="137"/>
      </c>
      <c r="P125" s="196">
        <f t="shared" si="134"/>
      </c>
      <c r="Q125" s="195">
        <f t="shared" si="10"/>
      </c>
      <c r="R125" s="197">
        <f t="shared" si="14"/>
      </c>
      <c r="S125" s="238">
        <f t="shared" si="45"/>
      </c>
      <c r="T125" s="214">
        <f t="shared" si="76"/>
      </c>
      <c r="U125" s="199">
        <f t="shared" si="108"/>
      </c>
      <c r="V125" s="200">
        <f t="shared" si="110"/>
      </c>
      <c r="W125" s="199">
        <f t="shared" si="138"/>
      </c>
      <c r="X125" s="199">
        <f t="shared" si="111"/>
      </c>
      <c r="Y125" s="199">
        <f t="shared" si="112"/>
      </c>
      <c r="Z125" s="198">
        <v>2978</v>
      </c>
      <c r="AA125" s="242">
        <v>193</v>
      </c>
      <c r="AB125" s="242">
        <v>30</v>
      </c>
      <c r="AC125" s="242">
        <v>19</v>
      </c>
      <c r="AD125" s="242">
        <v>0</v>
      </c>
      <c r="AE125" s="253">
        <v>1</v>
      </c>
    </row>
    <row r="126">
      <c r="A126" s="187"/>
      <c r="B126" s="189" t="s">
        <v>138</v>
      </c>
      <c r="C126" s="189" t="s">
        <v>145</v>
      </c>
      <c r="D126" s="232">
        <f>890.53+5.34</f>
      </c>
      <c r="E126" s="252">
        <v>0</v>
      </c>
      <c r="F126" s="252">
        <v>0</v>
      </c>
      <c r="G126" s="195">
        <f t="shared" si="47"/>
      </c>
      <c r="H126" s="242">
        <v>0</v>
      </c>
      <c r="I126" s="242">
        <v>0</v>
      </c>
      <c r="J126" s="246">
        <v>0</v>
      </c>
      <c r="K126" s="242">
        <v>0</v>
      </c>
      <c r="L126" s="246">
        <v>0</v>
      </c>
      <c r="M126" s="202">
        <f t="shared" si="106"/>
      </c>
      <c r="N126" s="195">
        <f t="shared" si="136"/>
      </c>
      <c r="O126" s="234">
        <f t="shared" si="137"/>
      </c>
      <c r="P126" s="196">
        <f t="shared" si="134"/>
      </c>
      <c r="Q126" s="234">
        <f t="shared" si="10"/>
      </c>
      <c r="R126" s="238">
        <f t="shared" si="14"/>
      </c>
      <c r="S126" s="238">
        <f t="shared" si="45"/>
      </c>
      <c r="T126" s="214">
        <f t="shared" si="76"/>
      </c>
      <c r="U126" s="240">
        <f t="shared" si="108"/>
      </c>
      <c r="V126" s="240">
        <f t="shared" si="110"/>
      </c>
      <c r="W126" s="240">
        <f t="shared" si="138"/>
      </c>
      <c r="X126" s="240">
        <f t="shared" si="111"/>
      </c>
      <c r="Y126" s="241">
        <f t="shared" ref="Y126:Y129" si="8">M126/AD126</f>
      </c>
      <c r="Z126" s="198">
        <v>3941</v>
      </c>
      <c r="AA126" s="242">
        <v>222</v>
      </c>
      <c r="AB126" s="242">
        <v>14</v>
      </c>
      <c r="AC126" s="242">
        <v>14</v>
      </c>
      <c r="AD126" s="242">
        <v>0</v>
      </c>
      <c r="AE126" s="228">
        <f t="shared" ref="AE126:AE127" si="43">COUNT(AD126)</f>
      </c>
    </row>
    <row r="127">
      <c r="A127" s="187"/>
      <c r="B127" s="189" t="s">
        <v>140</v>
      </c>
      <c r="C127" s="189" t="s">
        <v>145</v>
      </c>
      <c r="D127" s="190">
        <f>911.62+12.72</f>
      </c>
      <c r="E127" s="247">
        <v>1</v>
      </c>
      <c r="F127" s="247">
        <v>1</v>
      </c>
      <c r="G127" s="195">
        <f t="shared" si="47"/>
      </c>
      <c r="H127" s="198">
        <v>3</v>
      </c>
      <c r="I127" s="198">
        <v>1</v>
      </c>
      <c r="J127" s="193">
        <v>1045.2</v>
      </c>
      <c r="K127" s="198">
        <v>0</v>
      </c>
      <c r="L127" s="193">
        <v>0</v>
      </c>
      <c r="M127" s="198">
        <f t="shared" si="106"/>
      </c>
      <c r="N127" s="195">
        <f t="shared" si="136"/>
      </c>
      <c r="O127" s="195">
        <f t="shared" si="137"/>
      </c>
      <c r="P127" s="196">
        <f t="shared" si="134"/>
      </c>
      <c r="Q127" s="195">
        <f t="shared" si="10"/>
      </c>
      <c r="R127" s="238">
        <f t="shared" si="14"/>
      </c>
      <c r="S127" s="238">
        <f t="shared" si="45"/>
      </c>
      <c r="T127" s="214">
        <f t="shared" si="76"/>
      </c>
      <c r="U127" s="199">
        <f t="shared" si="108"/>
      </c>
      <c r="V127" s="200">
        <f t="shared" si="110"/>
      </c>
      <c r="W127" s="240">
        <f t="shared" si="138"/>
      </c>
      <c r="X127" s="199">
        <f t="shared" si="111"/>
      </c>
      <c r="Y127" s="227">
        <f t="shared" si="8"/>
      </c>
      <c r="Z127" s="198">
        <v>4045</v>
      </c>
      <c r="AA127" s="198">
        <v>207</v>
      </c>
      <c r="AB127" s="198">
        <v>27</v>
      </c>
      <c r="AC127" s="198">
        <v>29</v>
      </c>
      <c r="AD127" s="198">
        <v>3</v>
      </c>
      <c r="AE127" s="228">
        <f t="shared" si="43"/>
      </c>
    </row>
    <row r="128">
      <c r="A128" s="187"/>
      <c r="B128" s="205" t="s">
        <v>137</v>
      </c>
      <c r="C128" s="205"/>
      <c r="D128" s="206">
        <f>SUM(D124:D127)</f>
      </c>
      <c r="E128" s="209">
        <f>SUM(E124:E127)</f>
      </c>
      <c r="F128" s="209">
        <f>SUM(F124:F127)</f>
      </c>
      <c r="G128" s="209">
        <f t="shared" si="47"/>
      </c>
      <c r="H128" s="209">
        <f>SUM(H124:H127)</f>
      </c>
      <c r="I128" s="209">
        <f>SUM(I124:I127)</f>
      </c>
      <c r="J128" s="207">
        <f>SUM(J124:J127)</f>
      </c>
      <c r="K128" s="209">
        <f>SUM(K124:K127)</f>
      </c>
      <c r="L128" s="207">
        <f>SUM(L124:L127)</f>
      </c>
      <c r="M128" s="209">
        <f>SUM(M124:M127)</f>
      </c>
      <c r="N128" s="209">
        <f t="shared" si="136"/>
      </c>
      <c r="O128" s="209">
        <f t="shared" si="137"/>
      </c>
      <c r="P128" s="207">
        <f>SUM(P124:P127)</f>
      </c>
      <c r="Q128" s="209">
        <f t="shared" si="10"/>
      </c>
      <c r="R128" s="210">
        <f t="shared" si="14"/>
      </c>
      <c r="S128" s="210">
        <f t="shared" si="45"/>
      </c>
      <c r="T128" s="211">
        <f>(T127+T125+T126+T124)/4</f>
      </c>
      <c r="U128" s="215">
        <f t="shared" si="108"/>
      </c>
      <c r="V128" s="215">
        <f t="shared" si="110"/>
      </c>
      <c r="W128" s="215">
        <f t="shared" si="138"/>
      </c>
      <c r="X128" s="215">
        <f t="shared" si="111"/>
      </c>
      <c r="Y128" s="215">
        <f t="shared" si="8"/>
      </c>
      <c r="Z128" s="209">
        <f>SUM(Z124:Z127)</f>
      </c>
      <c r="AA128" s="209">
        <f>SUM(AA124:AA127)</f>
      </c>
      <c r="AB128" s="209">
        <f>SUM(AB124:AB127)</f>
      </c>
      <c r="AC128" s="209">
        <f>SUM(AC124:AC127)</f>
      </c>
      <c r="AD128" s="209">
        <f>SUM(AD124:AD127)</f>
      </c>
      <c r="AE128" s="209">
        <f>SUM(AE124:AE127)</f>
      </c>
    </row>
    <row r="129">
      <c r="A129" s="187"/>
      <c r="B129" s="189" t="s">
        <v>141</v>
      </c>
      <c r="C129" s="189" t="s">
        <v>139</v>
      </c>
      <c r="D129" s="190">
        <f>1566.14+20.42</f>
      </c>
      <c r="E129" s="247">
        <v>3</v>
      </c>
      <c r="F129" s="247">
        <v>2</v>
      </c>
      <c r="G129" s="195">
        <f t="shared" si="47"/>
      </c>
      <c r="H129" s="198">
        <v>5</v>
      </c>
      <c r="I129" s="198">
        <v>3</v>
      </c>
      <c r="J129" s="193">
        <v>2859.6</v>
      </c>
      <c r="K129" s="198">
        <v>1</v>
      </c>
      <c r="L129" s="193">
        <v>4239.6</v>
      </c>
      <c r="M129" s="198">
        <v>4</v>
      </c>
      <c r="N129" s="195">
        <f t="shared" si="136"/>
      </c>
      <c r="O129" s="195">
        <f t="shared" si="137"/>
      </c>
      <c r="P129" s="196">
        <f t="shared" ref="P129:P132" si="135">J129+L129</f>
      </c>
      <c r="Q129" s="195">
        <f t="shared" si="10"/>
      </c>
      <c r="R129" s="197">
        <f t="shared" si="14"/>
      </c>
      <c r="S129" s="197">
        <f t="shared" si="45"/>
      </c>
      <c r="T129" s="214">
        <f t="shared" ref="T129:T132" si="77">AA129/60</f>
      </c>
      <c r="U129" s="199">
        <f t="shared" si="108"/>
      </c>
      <c r="V129" s="200">
        <f t="shared" si="110"/>
      </c>
      <c r="W129" s="199">
        <f t="shared" si="138"/>
      </c>
      <c r="X129" s="199">
        <f t="shared" si="111"/>
      </c>
      <c r="Y129" s="199">
        <f t="shared" si="8"/>
      </c>
      <c r="Z129" s="198">
        <v>5782</v>
      </c>
      <c r="AA129" s="198">
        <v>307</v>
      </c>
      <c r="AB129" s="198">
        <v>37</v>
      </c>
      <c r="AC129" s="231">
        <v>31</v>
      </c>
      <c r="AD129" s="198">
        <v>5</v>
      </c>
      <c r="AE129" s="228">
        <f>COUNT(AD129)</f>
      </c>
    </row>
    <row customHeight="true" ht="16.071428571428573" r="130">
      <c r="A130" s="187"/>
      <c r="B130" s="189" t="s">
        <v>143</v>
      </c>
      <c r="C130" s="189" t="s">
        <v>139</v>
      </c>
      <c r="D130" s="190">
        <f>2406.78+59.83</f>
      </c>
      <c r="E130" s="247">
        <v>3</v>
      </c>
      <c r="F130" s="247">
        <v>2</v>
      </c>
      <c r="G130" s="195">
        <f t="shared" si="47"/>
      </c>
      <c r="H130" s="198">
        <v>3</v>
      </c>
      <c r="I130" s="198">
        <v>1</v>
      </c>
      <c r="J130" s="193">
        <v>927.6</v>
      </c>
      <c r="K130" s="198">
        <v>1</v>
      </c>
      <c r="L130" s="193">
        <v>1186.8</v>
      </c>
      <c r="M130" s="198">
        <v>2</v>
      </c>
      <c r="N130" s="195">
        <f t="shared" si="136"/>
      </c>
      <c r="O130" s="195">
        <f t="shared" si="137"/>
      </c>
      <c r="P130" s="196">
        <f t="shared" si="135"/>
      </c>
      <c r="Q130" s="195">
        <f t="shared" si="10"/>
      </c>
      <c r="R130" s="197">
        <f t="shared" si="14"/>
      </c>
      <c r="S130" s="197">
        <f t="shared" si="45"/>
      </c>
      <c r="T130" s="214">
        <f t="shared" si="77"/>
      </c>
      <c r="U130" s="199">
        <f t="shared" si="108"/>
      </c>
      <c r="V130" s="200">
        <f t="shared" si="110"/>
      </c>
      <c r="W130" s="199">
        <f t="shared" si="138"/>
      </c>
      <c r="X130" s="199">
        <f t="shared" si="111"/>
      </c>
      <c r="Y130" s="199">
        <f>AE130/AD130</f>
      </c>
      <c r="Z130" s="198">
        <v>9394</v>
      </c>
      <c r="AA130" s="198">
        <v>434</v>
      </c>
      <c r="AB130" s="198">
        <v>43</v>
      </c>
      <c r="AC130" s="231">
        <v>53</v>
      </c>
      <c r="AD130" s="198">
        <v>3</v>
      </c>
      <c r="AE130" s="253">
        <v>1</v>
      </c>
    </row>
    <row r="131">
      <c r="A131" s="187"/>
      <c r="B131" s="189" t="s">
        <v>146</v>
      </c>
      <c r="C131" s="189" t="s">
        <v>139</v>
      </c>
      <c r="D131" s="190">
        <f>2392.12+59.43</f>
      </c>
      <c r="E131" s="247">
        <v>1</v>
      </c>
      <c r="F131" s="244">
        <v>0</v>
      </c>
      <c r="G131" s="195">
        <f t="shared" si="47"/>
      </c>
      <c r="H131" s="198">
        <v>1</v>
      </c>
      <c r="I131" s="198">
        <v>0</v>
      </c>
      <c r="J131" s="193">
        <v>0</v>
      </c>
      <c r="K131" s="198">
        <v>0</v>
      </c>
      <c r="L131" s="193">
        <v>0</v>
      </c>
      <c r="M131" s="198">
        <f t="shared" ref="M131:M132" si="107">K131+I131</f>
      </c>
      <c r="N131" s="195">
        <f t="shared" si="136"/>
      </c>
      <c r="O131" s="195">
        <f t="shared" si="137"/>
      </c>
      <c r="P131" s="196">
        <f t="shared" si="135"/>
      </c>
      <c r="Q131" s="195">
        <f t="shared" si="10"/>
      </c>
      <c r="R131" s="197">
        <f t="shared" si="14"/>
      </c>
      <c r="S131" s="197">
        <f t="shared" si="45"/>
      </c>
      <c r="T131" s="214">
        <f t="shared" si="77"/>
      </c>
      <c r="U131" s="199">
        <f t="shared" si="108"/>
      </c>
      <c r="V131" s="200">
        <f t="shared" si="110"/>
      </c>
      <c r="W131" s="199">
        <f t="shared" si="138"/>
      </c>
      <c r="X131" s="199">
        <f t="shared" si="111"/>
      </c>
      <c r="Y131" s="199">
        <f t="shared" ref="Y131:Y134" si="9">M131/AD131</f>
      </c>
      <c r="Z131" s="198">
        <v>10953</v>
      </c>
      <c r="AA131" s="198">
        <v>560</v>
      </c>
      <c r="AB131" s="198">
        <v>111</v>
      </c>
      <c r="AC131" s="231">
        <v>64</v>
      </c>
      <c r="AD131" s="198">
        <v>1</v>
      </c>
      <c r="AE131" s="228">
        <f t="shared" ref="AE131:AE132" si="44">COUNT(AD131)</f>
      </c>
    </row>
    <row r="132">
      <c r="A132" s="187"/>
      <c r="B132" s="188" t="s">
        <v>147</v>
      </c>
      <c r="C132" s="189" t="s">
        <v>139</v>
      </c>
      <c r="D132" s="190">
        <f>737.68+34.12</f>
      </c>
      <c r="E132" s="247">
        <v>3</v>
      </c>
      <c r="F132" s="247">
        <v>2</v>
      </c>
      <c r="G132" s="195">
        <f t="shared" si="47"/>
      </c>
      <c r="H132" s="198">
        <v>3</v>
      </c>
      <c r="I132" s="198">
        <v>2</v>
      </c>
      <c r="J132" s="193">
        <v>1260</v>
      </c>
      <c r="K132" s="198">
        <v>0</v>
      </c>
      <c r="L132" s="193">
        <v>0</v>
      </c>
      <c r="M132" s="198">
        <f t="shared" si="107"/>
      </c>
      <c r="N132" s="195">
        <f t="shared" si="136"/>
      </c>
      <c r="O132" s="195">
        <f t="shared" si="137"/>
      </c>
      <c r="P132" s="196">
        <f t="shared" si="135"/>
      </c>
      <c r="Q132" s="195">
        <f t="shared" si="10"/>
      </c>
      <c r="R132" s="197">
        <f t="shared" si="14"/>
      </c>
      <c r="S132" s="197">
        <f t="shared" si="45"/>
      </c>
      <c r="T132" s="214">
        <f t="shared" si="77"/>
      </c>
      <c r="U132" s="199">
        <f t="shared" si="108"/>
      </c>
      <c r="V132" s="200">
        <f t="shared" si="110"/>
      </c>
      <c r="W132" s="199">
        <f t="shared" si="138"/>
      </c>
      <c r="X132" s="199">
        <f t="shared" si="111"/>
      </c>
      <c r="Y132" s="199">
        <f t="shared" si="9"/>
      </c>
      <c r="Z132" s="198">
        <v>3745</v>
      </c>
      <c r="AA132" s="198">
        <v>239</v>
      </c>
      <c r="AB132" s="198">
        <v>42</v>
      </c>
      <c r="AC132" s="231">
        <v>15</v>
      </c>
      <c r="AD132" s="198">
        <v>3</v>
      </c>
      <c r="AE132" s="228">
        <f t="shared" si="44"/>
      </c>
    </row>
    <row r="133">
      <c r="A133" s="187"/>
      <c r="B133" s="205" t="s">
        <v>137</v>
      </c>
      <c r="C133" s="205"/>
      <c r="D133" s="206">
        <f>SUM(D129:D132)</f>
      </c>
      <c r="E133" s="209">
        <f>SUM(E129:E132)</f>
      </c>
      <c r="F133" s="209">
        <f>SUM(F129:F132)</f>
      </c>
      <c r="G133" s="254">
        <f t="shared" si="47"/>
      </c>
      <c r="H133" s="209">
        <f>SUM(H129:H132)</f>
      </c>
      <c r="I133" s="209">
        <f>SUM(I129:I132)</f>
      </c>
      <c r="J133" s="206">
        <f>SUM(J129:J132)</f>
      </c>
      <c r="K133" s="209">
        <f>SUM(K129:K132)</f>
      </c>
      <c r="L133" s="206">
        <f>SUM(L129:L132)</f>
      </c>
      <c r="M133" s="209">
        <f>SUM(M129:M132)</f>
      </c>
      <c r="N133" s="209">
        <f t="shared" si="136"/>
      </c>
      <c r="O133" s="209">
        <f t="shared" si="137"/>
      </c>
      <c r="P133" s="206">
        <f>SUM(P129:P132)</f>
      </c>
      <c r="Q133" s="209">
        <f t="shared" si="10"/>
      </c>
      <c r="R133" s="210">
        <f t="shared" si="14"/>
      </c>
      <c r="S133" s="210">
        <f t="shared" si="45"/>
      </c>
      <c r="T133" s="211">
        <f>(T132+T130+T131+T129)/4</f>
      </c>
      <c r="U133" s="212">
        <f t="shared" si="108"/>
      </c>
      <c r="V133" s="213">
        <f t="shared" si="110"/>
      </c>
      <c r="W133" s="212">
        <f t="shared" si="138"/>
      </c>
      <c r="X133" s="212">
        <f t="shared" si="111"/>
      </c>
      <c r="Y133" s="212">
        <f t="shared" si="9"/>
      </c>
      <c r="Z133" s="209">
        <f>SUM(Z129:Z132)</f>
      </c>
      <c r="AA133" s="209">
        <f>SUM(AA129:AA132)</f>
      </c>
      <c r="AB133" s="209">
        <f>SUM(AB129:AB132)</f>
      </c>
      <c r="AC133" s="209">
        <f>SUM(AC129:AC132)</f>
      </c>
      <c r="AD133" s="209">
        <f>SUM(AD129:AD132)</f>
      </c>
      <c r="AE133" s="209">
        <f>SUM(AE129:AE132)</f>
      </c>
    </row>
    <row r="134">
      <c r="A134" s="187"/>
      <c r="B134" s="218" t="s">
        <v>144</v>
      </c>
      <c r="C134" s="218"/>
      <c r="D134" s="219">
        <f>D133+D128</f>
      </c>
      <c r="E134" s="222">
        <f>E133+E128</f>
      </c>
      <c r="F134" s="222">
        <f>F133+F128</f>
      </c>
      <c r="G134" s="221">
        <f t="shared" si="47"/>
      </c>
      <c r="H134" s="250">
        <f>H133+H128</f>
      </c>
      <c r="I134" s="222">
        <f>I133+I128</f>
      </c>
      <c r="J134" s="222">
        <f>J133+J128</f>
      </c>
      <c r="K134" s="222">
        <f>K133+K128</f>
      </c>
      <c r="L134" s="222">
        <f>L133+L128</f>
      </c>
      <c r="M134" s="222">
        <f>M133+M128</f>
      </c>
      <c r="N134" s="221">
        <f t="shared" si="136"/>
      </c>
      <c r="O134" s="221">
        <f t="shared" si="137"/>
      </c>
      <c r="P134" s="219">
        <f>P133+P128</f>
      </c>
      <c r="Q134" s="221">
        <f t="shared" si="10"/>
      </c>
      <c r="R134" s="223">
        <f t="shared" si="14"/>
      </c>
      <c r="S134" s="223">
        <f t="shared" si="45"/>
      </c>
      <c r="T134" s="224">
        <f>(T133+T128)/2</f>
      </c>
      <c r="U134" s="225">
        <f t="shared" si="108"/>
      </c>
      <c r="V134" s="226">
        <f t="shared" si="110"/>
      </c>
      <c r="W134" s="225">
        <f t="shared" si="138"/>
      </c>
      <c r="X134" s="225">
        <f t="shared" si="111"/>
      </c>
      <c r="Y134" s="225">
        <f t="shared" si="9"/>
      </c>
      <c r="Z134" s="222">
        <f>Z133+Z128</f>
      </c>
      <c r="AA134" s="222">
        <f>AA133+AA128</f>
      </c>
      <c r="AB134" s="222">
        <f>AB133+AB128</f>
      </c>
      <c r="AC134" s="222">
        <f>AC133+AC128</f>
      </c>
      <c r="AD134" s="222">
        <f>AD133+AD128</f>
      </c>
      <c r="AE134" s="222">
        <f>AE133+AE128</f>
      </c>
    </row>
    <row r="135">
      <c r="D135">
        <f>D85+D97+D109+D121+D132</f>
      </c>
      <c r="E135">
        <f>E65+E54+E43+E31+E26+E16+E4</f>
      </c>
      <c r="F135">
        <f>F132+F121+F109+F97+F85</f>
      </c>
      <c r="G135" s="195">
        <f t="shared" si="47"/>
      </c>
      <c r="H135" s="255">
        <f>H132+H121+H109+H97+H85</f>
      </c>
      <c r="M135">
        <f>M85+M97+M109+M121+M132</f>
      </c>
      <c r="N135" s="195">
        <f t="shared" si="136"/>
      </c>
      <c r="O135" s="195">
        <f t="shared" si="137"/>
      </c>
      <c r="P135">
        <f>P132+P109+P97+P85+P121</f>
      </c>
      <c r="Q135" s="195">
        <f t="shared" si="10"/>
      </c>
      <c r="R135" s="197">
        <f t="shared" si="14"/>
      </c>
      <c r="S135" s="197">
        <f t="shared" si="45"/>
      </c>
      <c r="Z135" s="256"/>
      <c r="AA135" s="256"/>
      <c r="AB135" s="256"/>
      <c r="AC135" s="256"/>
      <c r="AD135" s="256"/>
      <c r="AE135">
        <f>AE65+AE54+AE43+AE31+AE26+AE16+AE4</f>
      </c>
    </row>
    <row r="136">
      <c r="E136" s="256"/>
      <c r="F136" s="256"/>
      <c r="G136" s="257"/>
      <c r="M136" s="256"/>
      <c r="Z136" s="256"/>
      <c r="AA136" s="256"/>
      <c r="AB136" s="256"/>
      <c r="AC136" s="256"/>
      <c r="AD136" s="256"/>
      <c r="AE136" s="256"/>
    </row>
    <row r="137">
      <c r="D137" s="255"/>
      <c r="G137" s="192"/>
      <c r="N137" s="195"/>
      <c r="O137" s="195"/>
      <c r="P137" s="196"/>
      <c r="Q137" s="192"/>
      <c r="R137" s="197"/>
      <c r="S137" s="197"/>
      <c r="Z137" s="256"/>
      <c r="AA137" s="256"/>
      <c r="AB137" s="256"/>
      <c r="AC137" s="256"/>
      <c r="AD137" s="256"/>
    </row>
    <row r="138">
      <c r="E138" s="258"/>
      <c r="F138" s="256"/>
      <c r="M138" s="256"/>
      <c r="Z138" s="256"/>
      <c r="AA138" s="256"/>
      <c r="AB138" s="256"/>
      <c r="AC138" s="256"/>
      <c r="AD138" s="256"/>
      <c r="AE138" s="256"/>
    </row>
    <row r="139">
      <c r="D139" s="259"/>
      <c r="E139" s="260"/>
      <c r="F139" s="261"/>
      <c r="M139" s="261"/>
      <c r="Z139" s="261"/>
      <c r="AA139" s="261"/>
      <c r="AB139" s="261"/>
      <c r="AC139" s="261"/>
      <c r="AD139" s="261"/>
      <c r="AE139" s="261"/>
    </row>
    <row r="140">
      <c r="E140" s="260"/>
      <c r="F140" s="261"/>
      <c r="M140" s="261"/>
      <c r="Z140" s="261"/>
      <c r="AA140" s="261"/>
      <c r="AB140" s="261"/>
      <c r="AC140" s="261"/>
      <c r="AD140" s="261"/>
      <c r="AE140" s="261"/>
    </row>
  </sheetData>
  <autoFilter ref="A1:AE139"/>
  <mergeCells>
    <mergeCell ref="B128:C128"/>
    <mergeCell ref="B123:C123"/>
    <mergeCell ref="B122:C122"/>
    <mergeCell ref="B118:C118"/>
    <mergeCell ref="B115:C115"/>
    <mergeCell ref="A112:A123"/>
    <mergeCell ref="B99:C99"/>
    <mergeCell ref="B98:C98"/>
    <mergeCell ref="B94:C94"/>
    <mergeCell ref="B91:C91"/>
    <mergeCell ref="A88:A99"/>
    <mergeCell ref="A43:A53"/>
    <mergeCell ref="B53:C53"/>
    <mergeCell ref="B52:C52"/>
    <mergeCell ref="B47:C47"/>
    <mergeCell ref="B36:C36"/>
    <mergeCell ref="B33:C33"/>
    <mergeCell ref="A26:A30"/>
    <mergeCell ref="B30:C30"/>
    <mergeCell ref="B9:C9"/>
    <mergeCell ref="B6:C6"/>
    <mergeCell ref="B12:C12"/>
    <mergeCell ref="B21:C21"/>
    <mergeCell ref="B18:C18"/>
    <mergeCell ref="B24:C24"/>
    <mergeCell ref="A14:A25"/>
    <mergeCell ref="B25:C25"/>
    <mergeCell ref="B13:C13"/>
    <mergeCell ref="A2:A13"/>
    <mergeCell ref="B29:C29"/>
    <mergeCell ref="A31:A42"/>
    <mergeCell ref="B41:C41"/>
    <mergeCell ref="B42:C42"/>
    <mergeCell ref="A54:A64"/>
    <mergeCell ref="B58:C58"/>
    <mergeCell ref="B63:C63"/>
    <mergeCell ref="B64:C64"/>
    <mergeCell ref="A65:A75"/>
    <mergeCell ref="B69:C69"/>
    <mergeCell ref="B74:C74"/>
    <mergeCell ref="B75:C75"/>
    <mergeCell ref="B79:C79"/>
    <mergeCell ref="B87:C87"/>
    <mergeCell ref="B86:C86"/>
    <mergeCell ref="A76:A87"/>
    <mergeCell ref="B82:C82"/>
    <mergeCell ref="A100:A111"/>
    <mergeCell ref="B103:C103"/>
    <mergeCell ref="B106:C106"/>
    <mergeCell ref="B110:C110"/>
    <mergeCell ref="B111:C111"/>
    <mergeCell ref="A124:A134"/>
    <mergeCell ref="B133:C133"/>
    <mergeCell ref="B134:C134"/>
  </mergeCells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sheetData>
    <row r="1">
      <c r="A1" s="262" t="s">
        <v>149</v>
      </c>
      <c r="B1" s="262" t="s">
        <v>150</v>
      </c>
      <c r="C1" s="262" t="s">
        <v>151</v>
      </c>
      <c r="D1" s="263" t="s">
        <v>152</v>
      </c>
      <c r="E1" s="264" t="s">
        <v>153</v>
      </c>
      <c r="F1" s="264" t="s">
        <v>154</v>
      </c>
      <c r="G1" s="262" t="s">
        <v>155</v>
      </c>
      <c r="H1" s="264" t="s">
        <v>156</v>
      </c>
      <c r="I1" s="265" t="s">
        <v>157</v>
      </c>
      <c r="J1" s="266" t="s">
        <v>158</v>
      </c>
      <c r="K1" s="265" t="s">
        <v>159</v>
      </c>
      <c r="L1" s="266" t="s">
        <v>160</v>
      </c>
      <c r="M1" s="264" t="s">
        <v>161</v>
      </c>
      <c r="N1" s="264" t="s">
        <v>162</v>
      </c>
      <c r="O1" s="264" t="s">
        <v>163</v>
      </c>
      <c r="P1" s="267" t="s">
        <v>164</v>
      </c>
      <c r="Q1" s="262" t="s">
        <v>165</v>
      </c>
      <c r="R1" s="268" t="s">
        <v>166</v>
      </c>
      <c r="S1" s="269" t="s">
        <v>167</v>
      </c>
      <c r="T1" s="270" t="s">
        <v>168</v>
      </c>
      <c r="U1" s="271" t="s">
        <v>169</v>
      </c>
      <c r="V1" s="271" t="s">
        <v>170</v>
      </c>
      <c r="W1" s="270" t="s">
        <v>171</v>
      </c>
      <c r="X1" s="271" t="s">
        <v>172</v>
      </c>
      <c r="Y1" s="271" t="s">
        <v>173</v>
      </c>
      <c r="Z1" s="272" t="s">
        <v>174</v>
      </c>
      <c r="AA1" s="272" t="s">
        <v>175</v>
      </c>
      <c r="AB1" s="272" t="s">
        <v>176</v>
      </c>
      <c r="AC1" s="272" t="s">
        <v>177</v>
      </c>
      <c r="AD1" s="272" t="s">
        <v>178</v>
      </c>
      <c r="AE1" s="273" t="s">
        <v>179</v>
      </c>
    </row>
    <row hidden="true" r="2">
      <c r="A2" s="274">
        <v>46265</v>
      </c>
      <c r="B2" s="275" t="s">
        <v>180</v>
      </c>
      <c r="C2" s="275" t="s">
        <v>181</v>
      </c>
      <c r="D2" s="276">
        <v>3823.24</v>
      </c>
      <c r="E2" s="277">
        <v>4</v>
      </c>
      <c r="F2" s="277">
        <v>1</v>
      </c>
      <c r="G2" s="278">
        <f t="shared" ref="G2:G46" si="0">D2/F2</f>
      </c>
      <c r="H2" s="279">
        <v>4</v>
      </c>
      <c r="I2" s="279">
        <v>1</v>
      </c>
      <c r="J2" s="280">
        <v>720</v>
      </c>
      <c r="K2" s="279">
        <v>0</v>
      </c>
      <c r="L2" s="281">
        <v>0</v>
      </c>
      <c r="M2" s="279">
        <f t="shared" ref="M2:M5" si="28">K2+I2</f>
      </c>
      <c r="N2" s="278">
        <f t="shared" ref="N2:N46" si="46">D2/H2</f>
      </c>
      <c r="O2" s="278">
        <f t="shared" ref="O2:O46" si="49">D2/M2</f>
      </c>
      <c r="P2" s="282">
        <f t="shared" ref="P2:P5" si="1">J2+L2</f>
      </c>
      <c r="Q2" s="278">
        <f t="shared" ref="Q2:Q46" si="37">P2/M2</f>
      </c>
      <c r="R2" s="283">
        <f t="shared" ref="R2:R46" si="47">P2/D2</f>
      </c>
      <c r="S2" s="283">
        <f t="shared" ref="S2:S46" si="50">P2/(D2+AE2*300)</f>
      </c>
      <c r="T2" s="284">
        <f t="shared" ref="T2:T5" si="10">AA2/60</f>
      </c>
      <c r="U2" s="285">
        <f t="shared" ref="U2:U45" si="38">AA2/Z2</f>
      </c>
      <c r="V2" s="286">
        <f t="shared" ref="V2:V45" si="39">AB2/AA2</f>
      </c>
      <c r="W2" s="285">
        <f t="shared" ref="W2:W45" si="48">AC2/AA2</f>
      </c>
      <c r="X2" s="285">
        <f t="shared" ref="X2:X45" si="40">AD2/AC2</f>
      </c>
      <c r="Y2" s="285">
        <f t="shared" ref="Y2:Y3" si="41">AE2/AD2</f>
      </c>
      <c r="Z2" s="279">
        <v>12407</v>
      </c>
      <c r="AA2" s="279">
        <v>560</v>
      </c>
      <c r="AB2" s="279">
        <v>52</v>
      </c>
      <c r="AC2" s="279">
        <v>80</v>
      </c>
      <c r="AD2" s="279">
        <v>4</v>
      </c>
      <c r="AE2" s="287">
        <f t="shared" ref="AE2:AE5" si="51">COUNT(AD2)</f>
      </c>
    </row>
    <row hidden="true" r="3">
      <c r="A3" s="274"/>
      <c r="B3" s="275" t="s">
        <v>182</v>
      </c>
      <c r="C3" s="275" t="s">
        <v>181</v>
      </c>
      <c r="D3" s="288">
        <v>2943.49</v>
      </c>
      <c r="E3" s="289">
        <v>8</v>
      </c>
      <c r="F3" s="289">
        <v>2</v>
      </c>
      <c r="G3" s="278">
        <f t="shared" si="0"/>
      </c>
      <c r="H3" s="290">
        <v>10</v>
      </c>
      <c r="I3" s="290">
        <v>3</v>
      </c>
      <c r="J3" s="291">
        <v>3076.7999999999997</v>
      </c>
      <c r="K3" s="290">
        <v>0</v>
      </c>
      <c r="L3" s="292">
        <v>0</v>
      </c>
      <c r="M3" s="279">
        <f t="shared" si="28"/>
      </c>
      <c r="N3" s="278">
        <f t="shared" si="46"/>
      </c>
      <c r="O3" s="278">
        <f t="shared" si="49"/>
      </c>
      <c r="P3" s="282">
        <f t="shared" si="1"/>
      </c>
      <c r="Q3" s="278">
        <f t="shared" si="37"/>
      </c>
      <c r="R3" s="283">
        <f t="shared" si="47"/>
      </c>
      <c r="S3" s="293">
        <f t="shared" si="50"/>
      </c>
      <c r="T3" s="284">
        <f t="shared" si="10"/>
      </c>
      <c r="U3" s="285">
        <f t="shared" si="38"/>
      </c>
      <c r="V3" s="286">
        <f t="shared" si="39"/>
      </c>
      <c r="W3" s="285">
        <f t="shared" si="48"/>
      </c>
      <c r="X3" s="285">
        <f t="shared" si="40"/>
      </c>
      <c r="Y3" s="285">
        <f t="shared" si="41"/>
      </c>
      <c r="Z3" s="279">
        <v>9898</v>
      </c>
      <c r="AA3" s="290">
        <v>354</v>
      </c>
      <c r="AB3" s="290">
        <v>60</v>
      </c>
      <c r="AC3" s="290">
        <v>79</v>
      </c>
      <c r="AD3" s="290">
        <v>10</v>
      </c>
      <c r="AE3" s="287">
        <f t="shared" si="51"/>
      </c>
    </row>
    <row hidden="true" r="4">
      <c r="A4" s="274"/>
      <c r="B4" s="275" t="s">
        <v>183</v>
      </c>
      <c r="C4" s="275" t="s">
        <v>181</v>
      </c>
      <c r="D4" s="288">
        <v>3070.24</v>
      </c>
      <c r="E4" s="289">
        <v>3</v>
      </c>
      <c r="F4" s="289">
        <v>1</v>
      </c>
      <c r="G4" s="278">
        <f t="shared" si="0"/>
      </c>
      <c r="H4" s="290">
        <v>1</v>
      </c>
      <c r="I4" s="290">
        <v>0</v>
      </c>
      <c r="J4" s="291">
        <v>0</v>
      </c>
      <c r="K4" s="290">
        <v>0</v>
      </c>
      <c r="L4" s="292">
        <v>0</v>
      </c>
      <c r="M4" s="294">
        <f t="shared" si="28"/>
      </c>
      <c r="N4" s="278">
        <f t="shared" si="46"/>
      </c>
      <c r="O4" s="295">
        <f t="shared" si="49"/>
      </c>
      <c r="P4" s="282">
        <f t="shared" si="1"/>
      </c>
      <c r="Q4" s="295">
        <f t="shared" si="37"/>
      </c>
      <c r="R4" s="293">
        <f t="shared" si="47"/>
      </c>
      <c r="S4" s="293">
        <f t="shared" si="50"/>
      </c>
      <c r="T4" s="284">
        <f t="shared" si="10"/>
      </c>
      <c r="U4" s="296">
        <f t="shared" si="38"/>
      </c>
      <c r="V4" s="296">
        <f t="shared" si="39"/>
      </c>
      <c r="W4" s="296">
        <f t="shared" si="48"/>
      </c>
      <c r="X4" s="296">
        <f t="shared" si="40"/>
      </c>
      <c r="Y4" s="297">
        <f t="shared" ref="Y4:Y7" si="19">M4/AD4</f>
      </c>
      <c r="Z4" s="279">
        <v>10906</v>
      </c>
      <c r="AA4" s="290">
        <v>351</v>
      </c>
      <c r="AB4" s="290">
        <v>58</v>
      </c>
      <c r="AC4" s="290">
        <v>78</v>
      </c>
      <c r="AD4" s="290">
        <v>1</v>
      </c>
      <c r="AE4" s="287">
        <f t="shared" si="51"/>
      </c>
    </row>
    <row hidden="true" r="5">
      <c r="A5" s="274"/>
      <c r="B5" s="275" t="s">
        <v>184</v>
      </c>
      <c r="C5" s="275" t="s">
        <v>181</v>
      </c>
      <c r="D5" s="276">
        <v>1860.98</v>
      </c>
      <c r="E5" s="277">
        <v>2</v>
      </c>
      <c r="F5" s="277">
        <v>0</v>
      </c>
      <c r="G5" s="278">
        <f t="shared" si="0"/>
      </c>
      <c r="H5" s="279">
        <v>2</v>
      </c>
      <c r="I5" s="279">
        <v>0</v>
      </c>
      <c r="J5" s="280">
        <v>0</v>
      </c>
      <c r="K5" s="279">
        <v>0</v>
      </c>
      <c r="L5" s="281">
        <v>0</v>
      </c>
      <c r="M5" s="279">
        <f t="shared" si="28"/>
      </c>
      <c r="N5" s="278">
        <f t="shared" si="46"/>
      </c>
      <c r="O5" s="278">
        <f t="shared" si="49"/>
      </c>
      <c r="P5" s="282">
        <f t="shared" si="1"/>
      </c>
      <c r="Q5" s="278">
        <f t="shared" si="37"/>
      </c>
      <c r="R5" s="293">
        <f t="shared" si="47"/>
      </c>
      <c r="S5" s="293">
        <f t="shared" si="50"/>
      </c>
      <c r="T5" s="284">
        <f t="shared" si="10"/>
      </c>
      <c r="U5" s="285">
        <f t="shared" si="38"/>
      </c>
      <c r="V5" s="286">
        <f t="shared" si="39"/>
      </c>
      <c r="W5" s="296">
        <f t="shared" si="48"/>
      </c>
      <c r="X5" s="285">
        <f t="shared" si="40"/>
      </c>
      <c r="Y5" s="298">
        <f t="shared" si="19"/>
      </c>
      <c r="Z5" s="279">
        <v>6179</v>
      </c>
      <c r="AA5" s="279">
        <v>214</v>
      </c>
      <c r="AB5" s="279">
        <v>36</v>
      </c>
      <c r="AC5" s="279">
        <v>37</v>
      </c>
      <c r="AD5" s="279">
        <v>2</v>
      </c>
      <c r="AE5" s="287">
        <f t="shared" si="51"/>
      </c>
    </row>
    <row hidden="true" r="6">
      <c r="A6" s="274"/>
      <c r="B6" s="299" t="s">
        <v>185</v>
      </c>
      <c r="C6" s="299"/>
      <c r="D6" s="300">
        <f>SUM(D2:D5)</f>
      </c>
      <c r="E6" s="301">
        <f>SUM(E2:E5)</f>
      </c>
      <c r="F6" s="301">
        <f>SUM(F2:F5)</f>
      </c>
      <c r="G6" s="301">
        <f t="shared" si="0"/>
      </c>
      <c r="H6" s="301">
        <f>SUM(H2:H5)</f>
      </c>
      <c r="I6" s="301">
        <f>SUM(I2:I5)</f>
      </c>
      <c r="J6" s="302">
        <f>SUM(J2:J5)</f>
      </c>
      <c r="K6" s="303">
        <f>SUM(K2:K5)</f>
      </c>
      <c r="L6" s="303">
        <f>SUM(L2:L5)</f>
      </c>
      <c r="M6" s="301">
        <f>SUM(M2:M5)</f>
      </c>
      <c r="N6" s="301">
        <f t="shared" si="46"/>
      </c>
      <c r="O6" s="301">
        <f t="shared" si="49"/>
      </c>
      <c r="P6" s="303">
        <f>SUM(P2:P5)</f>
      </c>
      <c r="Q6" s="301">
        <f t="shared" si="37"/>
      </c>
      <c r="R6" s="304">
        <f t="shared" si="47"/>
      </c>
      <c r="S6" s="304">
        <f t="shared" si="50"/>
      </c>
      <c r="T6" s="305">
        <f>(T5+T3+T4+T2)/4</f>
      </c>
      <c r="U6" s="306">
        <f t="shared" si="38"/>
      </c>
      <c r="V6" s="306">
        <f t="shared" si="39"/>
      </c>
      <c r="W6" s="306">
        <f t="shared" si="48"/>
      </c>
      <c r="X6" s="306">
        <f t="shared" si="40"/>
      </c>
      <c r="Y6" s="306">
        <f t="shared" si="19"/>
      </c>
      <c r="Z6" s="301">
        <f>SUM(Z2:Z5)</f>
      </c>
      <c r="AA6" s="301">
        <f>SUM(AA2:AA5)</f>
      </c>
      <c r="AB6" s="301">
        <f>SUM(AB2:AB5)</f>
      </c>
      <c r="AC6" s="301">
        <f>SUM(AC2:AC5)</f>
      </c>
      <c r="AD6" s="301">
        <f>SUM(AD2:AD5)</f>
      </c>
      <c r="AE6" s="301">
        <f>SUM(AE2:AE5)</f>
      </c>
    </row>
    <row hidden="true" r="7">
      <c r="A7" s="274"/>
      <c r="B7" s="275" t="s">
        <v>186</v>
      </c>
      <c r="C7" s="275" t="s">
        <v>187</v>
      </c>
      <c r="D7" s="276">
        <v>2217.63</v>
      </c>
      <c r="E7" s="277">
        <v>5</v>
      </c>
      <c r="F7" s="277">
        <v>1</v>
      </c>
      <c r="G7" s="278">
        <f t="shared" si="0"/>
      </c>
      <c r="H7" s="279">
        <v>5</v>
      </c>
      <c r="I7" s="279">
        <v>1</v>
      </c>
      <c r="J7" s="280">
        <v>1546.8000000000006</v>
      </c>
      <c r="K7" s="279">
        <v>0</v>
      </c>
      <c r="L7" s="281">
        <v>0</v>
      </c>
      <c r="M7" s="279">
        <f t="shared" ref="M7:M9" si="29">K7+I7</f>
      </c>
      <c r="N7" s="278">
        <f t="shared" si="46"/>
      </c>
      <c r="O7" s="278">
        <f t="shared" si="49"/>
      </c>
      <c r="P7" s="282">
        <f t="shared" ref="P7:P9" si="2">J7+L7</f>
      </c>
      <c r="Q7" s="278">
        <f t="shared" si="37"/>
      </c>
      <c r="R7" s="283">
        <f t="shared" si="47"/>
      </c>
      <c r="S7" s="283">
        <f t="shared" si="50"/>
      </c>
      <c r="T7" s="284">
        <f t="shared" ref="T7:T9" si="11">AA7/60</f>
      </c>
      <c r="U7" s="285">
        <f t="shared" si="38"/>
      </c>
      <c r="V7" s="286">
        <f t="shared" si="39"/>
      </c>
      <c r="W7" s="285">
        <f t="shared" si="48"/>
      </c>
      <c r="X7" s="285">
        <f t="shared" si="40"/>
      </c>
      <c r="Y7" s="285">
        <f t="shared" si="19"/>
      </c>
      <c r="Z7" s="279">
        <v>7803</v>
      </c>
      <c r="AA7" s="279">
        <v>354</v>
      </c>
      <c r="AB7" s="279">
        <v>38</v>
      </c>
      <c r="AC7" s="307">
        <v>48</v>
      </c>
      <c r="AD7" s="279">
        <v>5</v>
      </c>
      <c r="AE7" s="287">
        <f t="shared" ref="AE7:AE9" si="52">COUNT(AD7)</f>
      </c>
    </row>
    <row hidden="true" r="8">
      <c r="A8" s="274"/>
      <c r="B8" s="275" t="s">
        <v>188</v>
      </c>
      <c r="C8" s="275" t="s">
        <v>187</v>
      </c>
      <c r="D8" s="276">
        <v>2354.63</v>
      </c>
      <c r="E8" s="277">
        <v>2</v>
      </c>
      <c r="F8" s="277">
        <v>1</v>
      </c>
      <c r="G8" s="278">
        <f t="shared" si="0"/>
      </c>
      <c r="H8" s="279">
        <v>3</v>
      </c>
      <c r="I8" s="279">
        <v>2</v>
      </c>
      <c r="J8" s="280">
        <v>1821.5999999999985</v>
      </c>
      <c r="K8" s="279">
        <v>0</v>
      </c>
      <c r="L8" s="281">
        <v>0</v>
      </c>
      <c r="M8" s="279">
        <f t="shared" si="29"/>
      </c>
      <c r="N8" s="278">
        <f t="shared" si="46"/>
      </c>
      <c r="O8" s="278">
        <f t="shared" si="49"/>
      </c>
      <c r="P8" s="282">
        <f t="shared" si="2"/>
      </c>
      <c r="Q8" s="278">
        <f t="shared" si="37"/>
      </c>
      <c r="R8" s="283">
        <f t="shared" si="47"/>
      </c>
      <c r="S8" s="283">
        <f t="shared" si="50"/>
      </c>
      <c r="T8" s="284">
        <f t="shared" si="11"/>
      </c>
      <c r="U8" s="285">
        <f t="shared" si="38"/>
      </c>
      <c r="V8" s="286">
        <f t="shared" si="39"/>
      </c>
      <c r="W8" s="285">
        <f t="shared" si="48"/>
      </c>
      <c r="X8" s="285">
        <f t="shared" si="40"/>
      </c>
      <c r="Y8" s="285">
        <f>AE8/AD8</f>
      </c>
      <c r="Z8" s="279">
        <v>8464</v>
      </c>
      <c r="AA8" s="279">
        <v>428</v>
      </c>
      <c r="AB8" s="279">
        <v>59</v>
      </c>
      <c r="AC8" s="307">
        <v>35</v>
      </c>
      <c r="AD8" s="279">
        <v>3</v>
      </c>
      <c r="AE8" s="287">
        <f t="shared" si="52"/>
      </c>
    </row>
    <row r="9">
      <c r="A9" s="274"/>
      <c r="B9" s="275" t="s">
        <v>189</v>
      </c>
      <c r="C9" s="275" t="s">
        <v>187</v>
      </c>
      <c r="D9" s="276">
        <v>1760.37</v>
      </c>
      <c r="E9" s="277">
        <v>1</v>
      </c>
      <c r="F9" s="277">
        <v>1</v>
      </c>
      <c r="G9" s="278">
        <f t="shared" si="0"/>
      </c>
      <c r="H9" s="279">
        <v>3</v>
      </c>
      <c r="I9" s="279">
        <v>0</v>
      </c>
      <c r="J9" s="280">
        <v>0</v>
      </c>
      <c r="K9" s="279">
        <v>1</v>
      </c>
      <c r="L9" s="281">
        <v>3390</v>
      </c>
      <c r="M9" s="279">
        <f t="shared" si="29"/>
      </c>
      <c r="N9" s="278">
        <f t="shared" si="46"/>
      </c>
      <c r="O9" s="278">
        <f t="shared" si="49"/>
      </c>
      <c r="P9" s="282">
        <f t="shared" si="2"/>
      </c>
      <c r="Q9" s="278">
        <f t="shared" si="37"/>
      </c>
      <c r="R9" s="283">
        <f t="shared" si="47"/>
      </c>
      <c r="S9" s="283">
        <f t="shared" si="50"/>
      </c>
      <c r="T9" s="284">
        <f t="shared" si="11"/>
      </c>
      <c r="U9" s="285">
        <f t="shared" si="38"/>
      </c>
      <c r="V9" s="286">
        <f t="shared" si="39"/>
      </c>
      <c r="W9" s="285">
        <f t="shared" si="48"/>
      </c>
      <c r="X9" s="285">
        <f t="shared" si="40"/>
      </c>
      <c r="Y9" s="285">
        <f t="shared" ref="Y9:Y11" si="20">M9/AD9</f>
      </c>
      <c r="Z9" s="279">
        <v>6292</v>
      </c>
      <c r="AA9" s="279">
        <v>338</v>
      </c>
      <c r="AB9" s="279">
        <v>46</v>
      </c>
      <c r="AC9" s="307">
        <v>34</v>
      </c>
      <c r="AD9" s="279">
        <v>3</v>
      </c>
      <c r="AE9" s="287">
        <f t="shared" si="52"/>
      </c>
    </row>
    <row hidden="true" r="10">
      <c r="A10" s="274"/>
      <c r="B10" s="299" t="s">
        <v>185</v>
      </c>
      <c r="C10" s="299"/>
      <c r="D10" s="300">
        <f>SUM(D7:D9)</f>
      </c>
      <c r="E10" s="301">
        <f>SUM(E7:E9)</f>
      </c>
      <c r="F10" s="301">
        <f>SUM(F7:F9)</f>
      </c>
      <c r="G10" s="308">
        <f t="shared" si="0"/>
      </c>
      <c r="H10" s="301">
        <f>SUM(H7:H9)</f>
      </c>
      <c r="I10" s="301">
        <f>SUM(I7:I9)</f>
      </c>
      <c r="J10" s="302">
        <f>SUM(J7:J9)</f>
      </c>
      <c r="K10" s="301">
        <f>SUM(K7:K9)</f>
      </c>
      <c r="L10" s="300">
        <f>SUM(L7:L9)</f>
      </c>
      <c r="M10" s="301">
        <f>SUM(M7:M9)</f>
      </c>
      <c r="N10" s="301">
        <f t="shared" si="46"/>
      </c>
      <c r="O10" s="301">
        <f t="shared" si="49"/>
      </c>
      <c r="P10" s="300">
        <f>SUM(P7:P9)</f>
      </c>
      <c r="Q10" s="301">
        <f t="shared" si="37"/>
      </c>
      <c r="R10" s="304">
        <f t="shared" si="47"/>
      </c>
      <c r="S10" s="304">
        <f t="shared" si="50"/>
      </c>
      <c r="T10" s="305">
        <f>(T8+T9+T7)/3</f>
      </c>
      <c r="U10" s="309">
        <f t="shared" si="38"/>
      </c>
      <c r="V10" s="310">
        <f t="shared" si="39"/>
      </c>
      <c r="W10" s="309">
        <f t="shared" si="48"/>
      </c>
      <c r="X10" s="309">
        <f t="shared" si="40"/>
      </c>
      <c r="Y10" s="309">
        <f t="shared" si="20"/>
      </c>
      <c r="Z10" s="301">
        <f>SUM(Z7:Z9)</f>
      </c>
      <c r="AA10" s="301">
        <f>SUM(AA7:AA9)</f>
      </c>
      <c r="AB10" s="301">
        <f>SUM(AB7:AB9)</f>
      </c>
      <c r="AC10" s="301">
        <f>SUM(AC7:AC9)</f>
      </c>
      <c r="AD10" s="301">
        <f>SUM(AD7:AD9)</f>
      </c>
      <c r="AE10" s="301">
        <f>SUM(AE7:AE9)</f>
      </c>
    </row>
    <row hidden="true" r="11">
      <c r="A11" s="274"/>
      <c r="B11" s="311" t="s">
        <v>190</v>
      </c>
      <c r="C11" s="311"/>
      <c r="D11" s="312">
        <f>D10+D6</f>
      </c>
      <c r="E11" s="313">
        <f>E10+E6</f>
      </c>
      <c r="F11" s="313">
        <f>F10+F6</f>
      </c>
      <c r="G11" s="314">
        <f t="shared" si="0"/>
      </c>
      <c r="H11" s="315">
        <f>H10+H6</f>
      </c>
      <c r="I11" s="313">
        <f>I10+I6</f>
      </c>
      <c r="J11" s="316">
        <f>J10+J6</f>
      </c>
      <c r="K11" s="313">
        <f>K10+K6</f>
      </c>
      <c r="L11" s="312">
        <f>L10+L6</f>
      </c>
      <c r="M11" s="313">
        <f>M10+M6</f>
      </c>
      <c r="N11" s="314">
        <f t="shared" si="46"/>
      </c>
      <c r="O11" s="317">
        <f t="shared" si="49"/>
      </c>
      <c r="P11" s="318">
        <f>P10+P6</f>
      </c>
      <c r="Q11" s="314">
        <f t="shared" si="37"/>
      </c>
      <c r="R11" s="319">
        <f t="shared" si="47"/>
      </c>
      <c r="S11" s="319">
        <f t="shared" si="50"/>
      </c>
      <c r="T11" s="320">
        <f>(T10+T6)/2</f>
      </c>
      <c r="U11" s="321">
        <f t="shared" si="38"/>
      </c>
      <c r="V11" s="322">
        <f t="shared" si="39"/>
      </c>
      <c r="W11" s="321">
        <f t="shared" si="48"/>
      </c>
      <c r="X11" s="321">
        <f t="shared" si="40"/>
      </c>
      <c r="Y11" s="321">
        <f t="shared" si="20"/>
      </c>
      <c r="Z11" s="313">
        <f>Z10+Z6</f>
      </c>
      <c r="AA11" s="313">
        <f>AA10+AA6</f>
      </c>
      <c r="AB11" s="313">
        <f>AB10+AB6</f>
      </c>
      <c r="AC11" s="313">
        <f>AC10+AC6</f>
      </c>
      <c r="AD11" s="313">
        <f>AD10+AD6</f>
      </c>
      <c r="AE11" s="313">
        <f>AE10+AE6</f>
      </c>
    </row>
    <row hidden="true" r="12">
      <c r="A12" s="274">
        <v>46266</v>
      </c>
      <c r="B12" s="275" t="s">
        <v>180</v>
      </c>
      <c r="C12" s="275" t="s">
        <v>187</v>
      </c>
      <c r="D12" s="276">
        <v>1799.76</v>
      </c>
      <c r="E12" s="277">
        <v>3</v>
      </c>
      <c r="F12" s="277">
        <v>1</v>
      </c>
      <c r="G12" s="278">
        <f t="shared" si="0"/>
      </c>
      <c r="H12" s="279">
        <v>3</v>
      </c>
      <c r="I12" s="279">
        <v>0</v>
      </c>
      <c r="J12" s="280">
        <v>0</v>
      </c>
      <c r="K12" s="279">
        <v>1</v>
      </c>
      <c r="L12" s="281">
        <v>6008.4</v>
      </c>
      <c r="M12" s="279">
        <f t="shared" ref="M12:M15" si="30">K12+I12</f>
      </c>
      <c r="N12" s="278">
        <f t="shared" si="46"/>
      </c>
      <c r="O12" s="278">
        <f t="shared" si="49"/>
      </c>
      <c r="P12" s="282">
        <f t="shared" ref="P12:P15" si="3">J12+L12</f>
      </c>
      <c r="Q12" s="278">
        <f t="shared" si="37"/>
      </c>
      <c r="R12" s="283">
        <f t="shared" si="47"/>
      </c>
      <c r="S12" s="283">
        <f t="shared" si="50"/>
      </c>
      <c r="T12" s="284">
        <f t="shared" ref="T12:T15" si="12">AA12/60</f>
      </c>
      <c r="U12" s="285">
        <f t="shared" si="38"/>
      </c>
      <c r="V12" s="286">
        <f t="shared" si="39"/>
      </c>
      <c r="W12" s="285">
        <f t="shared" si="48"/>
      </c>
      <c r="X12" s="285">
        <f t="shared" si="40"/>
      </c>
      <c r="Y12" s="285">
        <f t="shared" ref="Y12:Y13" si="42">AE12/AD12</f>
      </c>
      <c r="Z12" s="279">
        <v>5894</v>
      </c>
      <c r="AA12" s="279">
        <v>261</v>
      </c>
      <c r="AB12" s="279">
        <v>39</v>
      </c>
      <c r="AC12" s="279">
        <v>31</v>
      </c>
      <c r="AD12" s="279">
        <v>3</v>
      </c>
      <c r="AE12" s="287">
        <f t="shared" ref="AE12:AE15" si="53">COUNT(AD12)</f>
      </c>
    </row>
    <row hidden="true" r="13">
      <c r="A13" s="274"/>
      <c r="B13" s="275" t="s">
        <v>182</v>
      </c>
      <c r="C13" s="275" t="s">
        <v>187</v>
      </c>
      <c r="D13" s="288">
        <v>1681.17</v>
      </c>
      <c r="E13" s="289">
        <v>1</v>
      </c>
      <c r="F13" s="289">
        <v>0</v>
      </c>
      <c r="G13" s="278">
        <f t="shared" si="0"/>
      </c>
      <c r="H13" s="290">
        <v>2</v>
      </c>
      <c r="I13" s="290">
        <v>1</v>
      </c>
      <c r="J13" s="291">
        <v>196</v>
      </c>
      <c r="K13" s="290">
        <v>0</v>
      </c>
      <c r="L13" s="292">
        <v>0</v>
      </c>
      <c r="M13" s="279">
        <f t="shared" si="30"/>
      </c>
      <c r="N13" s="278">
        <f t="shared" si="46"/>
      </c>
      <c r="O13" s="278">
        <f t="shared" si="49"/>
      </c>
      <c r="P13" s="282">
        <f t="shared" si="3"/>
      </c>
      <c r="Q13" s="278">
        <f t="shared" si="37"/>
      </c>
      <c r="R13" s="283">
        <f t="shared" si="47"/>
      </c>
      <c r="S13" s="293">
        <f t="shared" si="50"/>
      </c>
      <c r="T13" s="284">
        <f t="shared" si="12"/>
      </c>
      <c r="U13" s="285">
        <f t="shared" si="38"/>
      </c>
      <c r="V13" s="286">
        <f t="shared" si="39"/>
      </c>
      <c r="W13" s="285">
        <f t="shared" si="48"/>
      </c>
      <c r="X13" s="285">
        <f t="shared" si="40"/>
      </c>
      <c r="Y13" s="285">
        <f t="shared" si="42"/>
      </c>
      <c r="Z13" s="279">
        <v>5610</v>
      </c>
      <c r="AA13" s="290">
        <v>260</v>
      </c>
      <c r="AB13" s="290">
        <v>29</v>
      </c>
      <c r="AC13" s="290">
        <v>29</v>
      </c>
      <c r="AD13" s="290">
        <v>2</v>
      </c>
      <c r="AE13" s="287">
        <f t="shared" si="53"/>
      </c>
    </row>
    <row hidden="true" r="14">
      <c r="A14" s="274"/>
      <c r="B14" s="275" t="s">
        <v>183</v>
      </c>
      <c r="C14" s="275" t="s">
        <v>187</v>
      </c>
      <c r="D14" s="288">
        <v>2387.89</v>
      </c>
      <c r="E14" s="289">
        <v>6</v>
      </c>
      <c r="F14" s="289">
        <v>4</v>
      </c>
      <c r="G14" s="278">
        <f t="shared" si="0"/>
      </c>
      <c r="H14" s="290">
        <v>6</v>
      </c>
      <c r="I14" s="290">
        <v>4</v>
      </c>
      <c r="J14" s="291">
        <v>3039.6000000000004</v>
      </c>
      <c r="K14" s="290">
        <v>1</v>
      </c>
      <c r="L14" s="292">
        <v>1669.1999999999998</v>
      </c>
      <c r="M14" s="294">
        <f t="shared" si="30"/>
      </c>
      <c r="N14" s="278">
        <f t="shared" si="46"/>
      </c>
      <c r="O14" s="295">
        <f t="shared" si="49"/>
      </c>
      <c r="P14" s="282">
        <f t="shared" si="3"/>
      </c>
      <c r="Q14" s="295">
        <f t="shared" si="37"/>
      </c>
      <c r="R14" s="293">
        <f t="shared" si="47"/>
      </c>
      <c r="S14" s="293">
        <f t="shared" si="50"/>
      </c>
      <c r="T14" s="284">
        <f t="shared" si="12"/>
      </c>
      <c r="U14" s="296">
        <f t="shared" si="38"/>
      </c>
      <c r="V14" s="296">
        <f t="shared" si="39"/>
      </c>
      <c r="W14" s="296">
        <f t="shared" si="48"/>
      </c>
      <c r="X14" s="296">
        <f t="shared" si="40"/>
      </c>
      <c r="Y14" s="297">
        <f t="shared" ref="Y14:Y17" si="21">M14/AD14</f>
      </c>
      <c r="Z14" s="279">
        <v>8110</v>
      </c>
      <c r="AA14" s="290">
        <v>375</v>
      </c>
      <c r="AB14" s="290">
        <v>93</v>
      </c>
      <c r="AC14" s="290">
        <v>45</v>
      </c>
      <c r="AD14" s="290">
        <v>6</v>
      </c>
      <c r="AE14" s="287">
        <f t="shared" si="53"/>
      </c>
    </row>
    <row hidden="true" r="15">
      <c r="A15" s="274"/>
      <c r="B15" s="275" t="s">
        <v>184</v>
      </c>
      <c r="C15" s="275" t="s">
        <v>187</v>
      </c>
      <c r="D15" s="276">
        <v>2335.3</v>
      </c>
      <c r="E15" s="277">
        <v>3</v>
      </c>
      <c r="F15" s="277">
        <v>2</v>
      </c>
      <c r="G15" s="278">
        <f t="shared" si="0"/>
      </c>
      <c r="H15" s="279">
        <v>5</v>
      </c>
      <c r="I15" s="279">
        <v>1</v>
      </c>
      <c r="J15" s="280">
        <v>720</v>
      </c>
      <c r="K15" s="279">
        <v>2</v>
      </c>
      <c r="L15" s="281">
        <v>3244.8</v>
      </c>
      <c r="M15" s="279">
        <f t="shared" si="30"/>
      </c>
      <c r="N15" s="278">
        <f t="shared" si="46"/>
      </c>
      <c r="O15" s="278">
        <f t="shared" si="49"/>
      </c>
      <c r="P15" s="282">
        <f t="shared" si="3"/>
      </c>
      <c r="Q15" s="278">
        <f t="shared" si="37"/>
      </c>
      <c r="R15" s="293">
        <f t="shared" si="47"/>
      </c>
      <c r="S15" s="293">
        <f t="shared" si="50"/>
      </c>
      <c r="T15" s="284">
        <f t="shared" si="12"/>
      </c>
      <c r="U15" s="285">
        <f t="shared" si="38"/>
      </c>
      <c r="V15" s="286">
        <f t="shared" si="39"/>
      </c>
      <c r="W15" s="296">
        <f t="shared" si="48"/>
      </c>
      <c r="X15" s="285">
        <f t="shared" si="40"/>
      </c>
      <c r="Y15" s="298">
        <f t="shared" si="21"/>
      </c>
      <c r="Z15" s="279">
        <v>8430</v>
      </c>
      <c r="AA15" s="279">
        <v>306</v>
      </c>
      <c r="AB15" s="279">
        <v>50</v>
      </c>
      <c r="AC15" s="279">
        <v>4</v>
      </c>
      <c r="AD15" s="279">
        <v>5</v>
      </c>
      <c r="AE15" s="287">
        <f t="shared" si="53"/>
      </c>
    </row>
    <row hidden="true" r="16">
      <c r="A16" s="274"/>
      <c r="B16" s="299" t="s">
        <v>185</v>
      </c>
      <c r="C16" s="299"/>
      <c r="D16" s="300">
        <f>SUM(D12:D15)</f>
      </c>
      <c r="E16" s="301">
        <f>SUM(E12:E15)</f>
      </c>
      <c r="F16" s="301">
        <f>SUM(F12:F15)</f>
      </c>
      <c r="G16" s="301">
        <f t="shared" si="0"/>
      </c>
      <c r="H16" s="301">
        <f>SUM(H12:H15)</f>
      </c>
      <c r="I16" s="301">
        <f>SUM(I12:I15)</f>
      </c>
      <c r="J16" s="302">
        <f>SUM(J12:J15)</f>
      </c>
      <c r="K16" s="303">
        <f>SUM(K12:K15)</f>
      </c>
      <c r="L16" s="303">
        <f>SUM(L12:L15)</f>
      </c>
      <c r="M16" s="301">
        <f>SUM(M12:M15)</f>
      </c>
      <c r="N16" s="301">
        <f t="shared" si="46"/>
      </c>
      <c r="O16" s="301">
        <f t="shared" si="49"/>
      </c>
      <c r="P16" s="303">
        <f>SUM(P12:P15)</f>
      </c>
      <c r="Q16" s="301">
        <f t="shared" si="37"/>
      </c>
      <c r="R16" s="304">
        <f t="shared" si="47"/>
      </c>
      <c r="S16" s="304">
        <f t="shared" si="50"/>
      </c>
      <c r="T16" s="305">
        <f>(T15+T13+T14+T12)/4</f>
      </c>
      <c r="U16" s="306">
        <f t="shared" si="38"/>
      </c>
      <c r="V16" s="306">
        <f t="shared" si="39"/>
      </c>
      <c r="W16" s="306">
        <f t="shared" si="48"/>
      </c>
      <c r="X16" s="306">
        <f t="shared" si="40"/>
      </c>
      <c r="Y16" s="306">
        <f t="shared" si="21"/>
      </c>
      <c r="Z16" s="301">
        <f>SUM(Z12:Z15)</f>
      </c>
      <c r="AA16" s="301">
        <f>SUM(AA12:AA15)</f>
      </c>
      <c r="AB16" s="301">
        <f>SUM(AB12:AB15)</f>
      </c>
      <c r="AC16" s="301">
        <f>SUM(AC12:AC15)</f>
      </c>
      <c r="AD16" s="301">
        <f>SUM(AD12:AD15)</f>
      </c>
      <c r="AE16" s="301">
        <f>SUM(AE12:AE15)</f>
      </c>
    </row>
    <row hidden="true" r="17">
      <c r="A17" s="274"/>
      <c r="B17" s="275" t="s">
        <v>186</v>
      </c>
      <c r="C17" s="275" t="s">
        <v>181</v>
      </c>
      <c r="D17" s="276">
        <v>2536.34</v>
      </c>
      <c r="E17" s="277">
        <v>5</v>
      </c>
      <c r="F17" s="277">
        <v>2</v>
      </c>
      <c r="G17" s="278">
        <f t="shared" si="0"/>
      </c>
      <c r="H17" s="279">
        <v>4</v>
      </c>
      <c r="I17" s="279">
        <v>1</v>
      </c>
      <c r="J17" s="280">
        <v>720</v>
      </c>
      <c r="K17" s="279">
        <v>0</v>
      </c>
      <c r="L17" s="281">
        <v>0</v>
      </c>
      <c r="M17" s="279">
        <f t="shared" ref="M17:M19" si="31">K17+I17</f>
      </c>
      <c r="N17" s="278">
        <f t="shared" si="46"/>
      </c>
      <c r="O17" s="278">
        <f t="shared" si="49"/>
      </c>
      <c r="P17" s="282">
        <f t="shared" ref="P17:P19" si="4">J17+L17</f>
      </c>
      <c r="Q17" s="278">
        <f t="shared" si="37"/>
      </c>
      <c r="R17" s="283">
        <f t="shared" si="47"/>
      </c>
      <c r="S17" s="283">
        <f t="shared" si="50"/>
      </c>
      <c r="T17" s="284">
        <f t="shared" ref="T17:T19" si="13">AA17/60</f>
      </c>
      <c r="U17" s="285">
        <f t="shared" si="38"/>
      </c>
      <c r="V17" s="286">
        <f t="shared" si="39"/>
      </c>
      <c r="W17" s="285">
        <f t="shared" si="48"/>
      </c>
      <c r="X17" s="285">
        <f t="shared" si="40"/>
      </c>
      <c r="Y17" s="285">
        <f t="shared" si="21"/>
      </c>
      <c r="Z17" s="279">
        <v>10241</v>
      </c>
      <c r="AA17" s="279">
        <v>355</v>
      </c>
      <c r="AB17" s="279">
        <v>53</v>
      </c>
      <c r="AC17" s="307">
        <v>50</v>
      </c>
      <c r="AD17" s="279">
        <v>4</v>
      </c>
      <c r="AE17" s="287">
        <f t="shared" ref="AE17:AE19" si="54">COUNT(AD17)</f>
      </c>
    </row>
    <row hidden="true" r="18">
      <c r="A18" s="274"/>
      <c r="B18" s="275" t="s">
        <v>188</v>
      </c>
      <c r="C18" s="275" t="s">
        <v>181</v>
      </c>
      <c r="D18" s="276">
        <v>2217.22</v>
      </c>
      <c r="E18" s="277">
        <v>7</v>
      </c>
      <c r="F18" s="277">
        <v>4</v>
      </c>
      <c r="G18" s="278">
        <f t="shared" si="0"/>
      </c>
      <c r="H18" s="279">
        <v>11</v>
      </c>
      <c r="I18" s="279">
        <v>6</v>
      </c>
      <c r="J18" s="280">
        <v>5812.799999999999</v>
      </c>
      <c r="K18" s="279">
        <v>2</v>
      </c>
      <c r="L18" s="281">
        <v>3244.7999999999993</v>
      </c>
      <c r="M18" s="279">
        <f t="shared" si="31"/>
      </c>
      <c r="N18" s="278">
        <f t="shared" si="46"/>
      </c>
      <c r="O18" s="278">
        <f t="shared" si="49"/>
      </c>
      <c r="P18" s="282">
        <f t="shared" si="4"/>
      </c>
      <c r="Q18" s="278">
        <f t="shared" si="37"/>
      </c>
      <c r="R18" s="283">
        <f t="shared" si="47"/>
      </c>
      <c r="S18" s="283">
        <f t="shared" si="50"/>
      </c>
      <c r="T18" s="284">
        <f t="shared" si="13"/>
      </c>
      <c r="U18" s="285">
        <f t="shared" si="38"/>
      </c>
      <c r="V18" s="286">
        <f t="shared" si="39"/>
      </c>
      <c r="W18" s="285">
        <f t="shared" si="48"/>
      </c>
      <c r="X18" s="285">
        <f t="shared" si="40"/>
      </c>
      <c r="Y18" s="285">
        <f>AE18/AD18</f>
      </c>
      <c r="Z18" s="279">
        <v>8794</v>
      </c>
      <c r="AA18" s="279">
        <v>353</v>
      </c>
      <c r="AB18" s="279">
        <v>56</v>
      </c>
      <c r="AC18" s="307">
        <v>54</v>
      </c>
      <c r="AD18" s="279">
        <v>11</v>
      </c>
      <c r="AE18" s="287">
        <f t="shared" si="54"/>
      </c>
    </row>
    <row r="19">
      <c r="A19" s="274"/>
      <c r="B19" s="275" t="s">
        <v>189</v>
      </c>
      <c r="C19" s="275" t="s">
        <v>181</v>
      </c>
      <c r="D19" s="276">
        <v>1233.44</v>
      </c>
      <c r="E19" s="277">
        <v>2</v>
      </c>
      <c r="F19" s="277">
        <v>1</v>
      </c>
      <c r="G19" s="278">
        <f t="shared" si="0"/>
      </c>
      <c r="H19" s="279">
        <v>3</v>
      </c>
      <c r="I19" s="279">
        <v>2</v>
      </c>
      <c r="J19" s="280">
        <v>2726.3999999999996</v>
      </c>
      <c r="K19" s="279">
        <v>0</v>
      </c>
      <c r="L19" s="281">
        <v>0</v>
      </c>
      <c r="M19" s="279">
        <f t="shared" si="31"/>
      </c>
      <c r="N19" s="278">
        <f t="shared" si="46"/>
      </c>
      <c r="O19" s="278">
        <f t="shared" si="49"/>
      </c>
      <c r="P19" s="282">
        <f t="shared" si="4"/>
      </c>
      <c r="Q19" s="278">
        <f t="shared" si="37"/>
      </c>
      <c r="R19" s="283">
        <f t="shared" si="47"/>
      </c>
      <c r="S19" s="283">
        <f t="shared" si="50"/>
      </c>
      <c r="T19" s="284">
        <f t="shared" si="13"/>
      </c>
      <c r="U19" s="285">
        <f t="shared" si="38"/>
      </c>
      <c r="V19" s="286">
        <f t="shared" si="39"/>
      </c>
      <c r="W19" s="285">
        <f t="shared" si="48"/>
      </c>
      <c r="X19" s="285">
        <f t="shared" si="40"/>
      </c>
      <c r="Y19" s="285">
        <f t="shared" ref="Y19:Y21" si="22">M19/AD19</f>
      </c>
      <c r="Z19" s="279">
        <v>4184</v>
      </c>
      <c r="AA19" s="279">
        <v>214</v>
      </c>
      <c r="AB19" s="279">
        <v>35</v>
      </c>
      <c r="AC19" s="307">
        <v>32</v>
      </c>
      <c r="AD19" s="279">
        <v>3</v>
      </c>
      <c r="AE19" s="287">
        <f t="shared" si="54"/>
      </c>
    </row>
    <row hidden="true" r="20">
      <c r="A20" s="274"/>
      <c r="B20" s="299" t="s">
        <v>185</v>
      </c>
      <c r="C20" s="299"/>
      <c r="D20" s="300">
        <f>SUM(D17:D19)</f>
      </c>
      <c r="E20" s="301">
        <f>SUM(E17:E19)</f>
      </c>
      <c r="F20" s="301">
        <f>SUM(F17:F19)</f>
      </c>
      <c r="G20" s="308">
        <f t="shared" si="0"/>
      </c>
      <c r="H20" s="301">
        <f>SUM(H17:H19)</f>
      </c>
      <c r="I20" s="301">
        <f>SUM(I17:I19)</f>
      </c>
      <c r="J20" s="302">
        <f>SUM(J17:J19)</f>
      </c>
      <c r="K20" s="301">
        <f>SUM(K17:K19)</f>
      </c>
      <c r="L20" s="300">
        <f>SUM(L17:L19)</f>
      </c>
      <c r="M20" s="301">
        <f>SUM(M17:M19)</f>
      </c>
      <c r="N20" s="301">
        <f t="shared" si="46"/>
      </c>
      <c r="O20" s="301">
        <f t="shared" si="49"/>
      </c>
      <c r="P20" s="300">
        <f>SUM(P17:P19)</f>
      </c>
      <c r="Q20" s="301">
        <f t="shared" si="37"/>
      </c>
      <c r="R20" s="304">
        <f t="shared" si="47"/>
      </c>
      <c r="S20" s="304">
        <f t="shared" si="50"/>
      </c>
      <c r="T20" s="305">
        <f>(T18+T19+T17)/3</f>
      </c>
      <c r="U20" s="309">
        <f t="shared" si="38"/>
      </c>
      <c r="V20" s="310">
        <f t="shared" si="39"/>
      </c>
      <c r="W20" s="309">
        <f t="shared" si="48"/>
      </c>
      <c r="X20" s="309">
        <f t="shared" si="40"/>
      </c>
      <c r="Y20" s="309">
        <f t="shared" si="22"/>
      </c>
      <c r="Z20" s="301">
        <f>SUM(Z17:Z19)</f>
      </c>
      <c r="AA20" s="301">
        <f>SUM(AA17:AA19)</f>
      </c>
      <c r="AB20" s="301">
        <f>SUM(AB17:AB19)</f>
      </c>
      <c r="AC20" s="301">
        <f>SUM(AC17:AC19)</f>
      </c>
      <c r="AD20" s="301">
        <f>SUM(AD17:AD19)</f>
      </c>
      <c r="AE20" s="301">
        <f>SUM(AE17:AE19)</f>
      </c>
    </row>
    <row hidden="true" r="21">
      <c r="A21" s="274"/>
      <c r="B21" s="311" t="s">
        <v>190</v>
      </c>
      <c r="C21" s="311"/>
      <c r="D21" s="312">
        <f>D20+D16</f>
      </c>
      <c r="E21" s="313">
        <f>E20+E16</f>
      </c>
      <c r="F21" s="313">
        <f>F20+F16</f>
      </c>
      <c r="G21" s="314">
        <f t="shared" si="0"/>
      </c>
      <c r="H21" s="315">
        <f>H20+H16</f>
      </c>
      <c r="I21" s="313">
        <f>I20+I16</f>
      </c>
      <c r="J21" s="316">
        <f>J20+J16</f>
      </c>
      <c r="K21" s="313">
        <f>K20+K16</f>
      </c>
      <c r="L21" s="312">
        <f>L20+L16</f>
      </c>
      <c r="M21" s="313">
        <f>M20+M16</f>
      </c>
      <c r="N21" s="314">
        <f t="shared" si="46"/>
      </c>
      <c r="O21" s="317">
        <f t="shared" si="49"/>
      </c>
      <c r="P21" s="318">
        <f>P20+P16</f>
      </c>
      <c r="Q21" s="314">
        <f t="shared" si="37"/>
      </c>
      <c r="R21" s="319">
        <f t="shared" si="47"/>
      </c>
      <c r="S21" s="319">
        <f t="shared" si="50"/>
      </c>
      <c r="T21" s="320">
        <f>(T20+T16)/2</f>
      </c>
      <c r="U21" s="321">
        <f t="shared" si="38"/>
      </c>
      <c r="V21" s="322">
        <f t="shared" si="39"/>
      </c>
      <c r="W21" s="321">
        <f t="shared" si="48"/>
      </c>
      <c r="X21" s="321">
        <f t="shared" si="40"/>
      </c>
      <c r="Y21" s="321">
        <f t="shared" si="22"/>
      </c>
      <c r="Z21" s="313">
        <f>Z20+Z16</f>
      </c>
      <c r="AA21" s="313">
        <f>AA20+AA16</f>
      </c>
      <c r="AB21" s="313">
        <f>AB20+AB16</f>
      </c>
      <c r="AC21" s="313">
        <f>AC20+AC16</f>
      </c>
      <c r="AD21" s="313">
        <f>AD20+AD16</f>
      </c>
      <c r="AE21" s="313">
        <f>AE20+AE16</f>
      </c>
    </row>
    <row hidden="true" r="22">
      <c r="A22" s="274">
        <v>46267</v>
      </c>
      <c r="B22" s="275" t="s">
        <v>180</v>
      </c>
      <c r="C22" s="275" t="s">
        <v>187</v>
      </c>
      <c r="D22" s="276">
        <v>2737.27</v>
      </c>
      <c r="E22" s="277">
        <v>1</v>
      </c>
      <c r="F22" s="277">
        <v>0</v>
      </c>
      <c r="G22" s="278">
        <f t="shared" si="0"/>
      </c>
      <c r="H22" s="279">
        <v>2</v>
      </c>
      <c r="I22" s="279">
        <v>0</v>
      </c>
      <c r="J22" s="280">
        <v>0</v>
      </c>
      <c r="K22" s="279">
        <v>0</v>
      </c>
      <c r="L22" s="281">
        <v>0</v>
      </c>
      <c r="M22" s="279">
        <f t="shared" ref="M22:M25" si="32">K22+I22</f>
      </c>
      <c r="N22" s="278">
        <f t="shared" si="46"/>
      </c>
      <c r="O22" s="278">
        <f t="shared" si="49"/>
      </c>
      <c r="P22" s="282">
        <f t="shared" ref="P22:P25" si="5">J22+L22</f>
      </c>
      <c r="Q22" s="278">
        <f t="shared" si="37"/>
      </c>
      <c r="R22" s="283">
        <f t="shared" si="47"/>
      </c>
      <c r="S22" s="283">
        <f t="shared" si="50"/>
      </c>
      <c r="T22" s="284">
        <f t="shared" ref="T22:T25" si="14">AA22/60</f>
      </c>
      <c r="U22" s="285">
        <f t="shared" si="38"/>
      </c>
      <c r="V22" s="286">
        <f t="shared" si="39"/>
      </c>
      <c r="W22" s="285">
        <f t="shared" si="48"/>
      </c>
      <c r="X22" s="285">
        <f t="shared" si="40"/>
      </c>
      <c r="Y22" s="285">
        <f t="shared" ref="Y22:Y23" si="43">AE22/AD22</f>
      </c>
      <c r="Z22" s="279">
        <v>8703</v>
      </c>
      <c r="AA22" s="279">
        <v>385</v>
      </c>
      <c r="AB22" s="279">
        <v>37</v>
      </c>
      <c r="AC22" s="279">
        <v>36</v>
      </c>
      <c r="AD22" s="279">
        <v>2</v>
      </c>
      <c r="AE22" s="287">
        <f t="shared" ref="AE22:AE25" si="55">COUNT(AD22)</f>
      </c>
    </row>
    <row hidden="true" r="23">
      <c r="A23" s="274"/>
      <c r="B23" s="275" t="s">
        <v>182</v>
      </c>
      <c r="C23" s="275" t="s">
        <v>187</v>
      </c>
      <c r="D23" s="288">
        <v>1881.83</v>
      </c>
      <c r="E23" s="289">
        <v>3</v>
      </c>
      <c r="F23" s="289">
        <v>0</v>
      </c>
      <c r="G23" s="278">
        <f t="shared" si="0"/>
      </c>
      <c r="H23" s="290">
        <v>3</v>
      </c>
      <c r="I23" s="290">
        <v>0</v>
      </c>
      <c r="J23" s="291">
        <v>0</v>
      </c>
      <c r="K23" s="290">
        <v>0</v>
      </c>
      <c r="L23" s="292">
        <v>0</v>
      </c>
      <c r="M23" s="279">
        <f t="shared" si="32"/>
      </c>
      <c r="N23" s="278">
        <f t="shared" si="46"/>
      </c>
      <c r="O23" s="278">
        <f t="shared" si="49"/>
      </c>
      <c r="P23" s="282">
        <f t="shared" si="5"/>
      </c>
      <c r="Q23" s="278">
        <f t="shared" si="37"/>
      </c>
      <c r="R23" s="283">
        <f t="shared" si="47"/>
      </c>
      <c r="S23" s="293">
        <f t="shared" si="50"/>
      </c>
      <c r="T23" s="284">
        <f t="shared" si="14"/>
      </c>
      <c r="U23" s="285">
        <f t="shared" si="38"/>
      </c>
      <c r="V23" s="286">
        <f t="shared" si="39"/>
      </c>
      <c r="W23" s="285">
        <f t="shared" si="48"/>
      </c>
      <c r="X23" s="285">
        <f t="shared" si="40"/>
      </c>
      <c r="Y23" s="285">
        <f t="shared" si="43"/>
      </c>
      <c r="Z23" s="279">
        <v>5793</v>
      </c>
      <c r="AA23" s="290">
        <v>271</v>
      </c>
      <c r="AB23" s="290">
        <v>43</v>
      </c>
      <c r="AC23" s="290">
        <v>37</v>
      </c>
      <c r="AD23" s="290">
        <v>3</v>
      </c>
      <c r="AE23" s="287">
        <f t="shared" si="55"/>
      </c>
    </row>
    <row hidden="true" r="24">
      <c r="A24" s="274"/>
      <c r="B24" s="275" t="s">
        <v>183</v>
      </c>
      <c r="C24" s="275" t="s">
        <v>187</v>
      </c>
      <c r="D24" s="288">
        <v>1977.9</v>
      </c>
      <c r="E24" s="289">
        <v>6</v>
      </c>
      <c r="F24" s="289">
        <v>3</v>
      </c>
      <c r="G24" s="278">
        <f t="shared" si="0"/>
      </c>
      <c r="H24" s="290">
        <v>7</v>
      </c>
      <c r="I24" s="290">
        <v>1</v>
      </c>
      <c r="J24" s="291">
        <v>720</v>
      </c>
      <c r="K24" s="290">
        <v>2</v>
      </c>
      <c r="L24" s="292">
        <v>5426.400000000001</v>
      </c>
      <c r="M24" s="294">
        <f t="shared" si="32"/>
      </c>
      <c r="N24" s="278">
        <f t="shared" si="46"/>
      </c>
      <c r="O24" s="295">
        <f t="shared" si="49"/>
      </c>
      <c r="P24" s="282">
        <f t="shared" si="5"/>
      </c>
      <c r="Q24" s="295">
        <f t="shared" si="37"/>
      </c>
      <c r="R24" s="293">
        <f t="shared" si="47"/>
      </c>
      <c r="S24" s="293">
        <f t="shared" si="50"/>
      </c>
      <c r="T24" s="284">
        <f t="shared" si="14"/>
      </c>
      <c r="U24" s="296">
        <f t="shared" si="38"/>
      </c>
      <c r="V24" s="296">
        <f t="shared" si="39"/>
      </c>
      <c r="W24" s="296">
        <f t="shared" si="48"/>
      </c>
      <c r="X24" s="296">
        <f t="shared" si="40"/>
      </c>
      <c r="Y24" s="297">
        <f t="shared" ref="Y24:Y27" si="23">M24/AD24</f>
      </c>
      <c r="Z24" s="279">
        <v>7388</v>
      </c>
      <c r="AA24" s="290">
        <v>347</v>
      </c>
      <c r="AB24" s="290">
        <v>58</v>
      </c>
      <c r="AC24" s="290">
        <v>36</v>
      </c>
      <c r="AD24" s="290">
        <v>7</v>
      </c>
      <c r="AE24" s="287">
        <f t="shared" si="55"/>
      </c>
    </row>
    <row hidden="true" r="25">
      <c r="A25" s="274"/>
      <c r="B25" s="275" t="s">
        <v>184</v>
      </c>
      <c r="C25" s="275" t="s">
        <v>187</v>
      </c>
      <c r="D25" s="276">
        <v>1710.24</v>
      </c>
      <c r="E25" s="277">
        <v>6</v>
      </c>
      <c r="F25" s="277">
        <v>0</v>
      </c>
      <c r="G25" s="278">
        <f t="shared" si="0"/>
      </c>
      <c r="H25" s="279">
        <v>7</v>
      </c>
      <c r="I25" s="279">
        <v>0</v>
      </c>
      <c r="J25" s="280">
        <v>0</v>
      </c>
      <c r="K25" s="279">
        <v>0</v>
      </c>
      <c r="L25" s="281">
        <v>0</v>
      </c>
      <c r="M25" s="279">
        <f t="shared" si="32"/>
      </c>
      <c r="N25" s="278">
        <f t="shared" si="46"/>
      </c>
      <c r="O25" s="278">
        <f t="shared" si="49"/>
      </c>
      <c r="P25" s="282">
        <f t="shared" si="5"/>
      </c>
      <c r="Q25" s="278">
        <f t="shared" si="37"/>
      </c>
      <c r="R25" s="293">
        <f t="shared" si="47"/>
      </c>
      <c r="S25" s="293">
        <f t="shared" si="50"/>
      </c>
      <c r="T25" s="284">
        <f t="shared" si="14"/>
      </c>
      <c r="U25" s="285">
        <f t="shared" si="38"/>
      </c>
      <c r="V25" s="286">
        <f t="shared" si="39"/>
      </c>
      <c r="W25" s="296">
        <f t="shared" si="48"/>
      </c>
      <c r="X25" s="285">
        <f t="shared" si="40"/>
      </c>
      <c r="Y25" s="298">
        <f t="shared" si="23"/>
      </c>
      <c r="Z25" s="279">
        <v>6046</v>
      </c>
      <c r="AA25" s="279">
        <v>286</v>
      </c>
      <c r="AB25" s="279">
        <v>50</v>
      </c>
      <c r="AC25" s="279">
        <v>35</v>
      </c>
      <c r="AD25" s="279">
        <v>7</v>
      </c>
      <c r="AE25" s="287">
        <f t="shared" si="55"/>
      </c>
    </row>
    <row hidden="true" r="26">
      <c r="A26" s="274"/>
      <c r="B26" s="299" t="s">
        <v>185</v>
      </c>
      <c r="C26" s="299"/>
      <c r="D26" s="300">
        <f>SUM(D22:D25)</f>
      </c>
      <c r="E26" s="301">
        <f>SUM(E22:E25)</f>
      </c>
      <c r="F26" s="301">
        <f>SUM(F22:F25)</f>
      </c>
      <c r="G26" s="301">
        <f t="shared" si="0"/>
      </c>
      <c r="H26" s="301">
        <f>SUM(H22:H25)</f>
      </c>
      <c r="I26" s="301">
        <f>SUM(I22:I25)</f>
      </c>
      <c r="J26" s="302">
        <f>SUM(J22:J25)</f>
      </c>
      <c r="K26" s="303">
        <f>SUM(K22:K25)</f>
      </c>
      <c r="L26" s="303">
        <f>SUM(L22:L25)</f>
      </c>
      <c r="M26" s="301">
        <f>SUM(M22:M25)</f>
      </c>
      <c r="N26" s="301">
        <f t="shared" si="46"/>
      </c>
      <c r="O26" s="301">
        <f t="shared" si="49"/>
      </c>
      <c r="P26" s="303">
        <f>SUM(P22:P25)</f>
      </c>
      <c r="Q26" s="301">
        <f t="shared" si="37"/>
      </c>
      <c r="R26" s="304">
        <f t="shared" si="47"/>
      </c>
      <c r="S26" s="304">
        <f t="shared" si="50"/>
      </c>
      <c r="T26" s="305">
        <f>(T25+T23+T24+T22)/4</f>
      </c>
      <c r="U26" s="306">
        <f t="shared" si="38"/>
      </c>
      <c r="V26" s="306">
        <f t="shared" si="39"/>
      </c>
      <c r="W26" s="306">
        <f t="shared" si="48"/>
      </c>
      <c r="X26" s="306">
        <f t="shared" si="40"/>
      </c>
      <c r="Y26" s="306">
        <f t="shared" si="23"/>
      </c>
      <c r="Z26" s="301">
        <f>SUM(Z22:Z25)</f>
      </c>
      <c r="AA26" s="301">
        <f>SUM(AA22:AA25)</f>
      </c>
      <c r="AB26" s="301">
        <f>SUM(AB22:AB25)</f>
      </c>
      <c r="AC26" s="301">
        <f>SUM(AC22:AC25)</f>
      </c>
      <c r="AD26" s="301">
        <f>SUM(AD22:AD25)</f>
      </c>
      <c r="AE26" s="301">
        <f>SUM(AE22:AE25)</f>
      </c>
    </row>
    <row hidden="true" r="27">
      <c r="A27" s="274"/>
      <c r="B27" s="275" t="s">
        <v>186</v>
      </c>
      <c r="C27" s="275" t="s">
        <v>181</v>
      </c>
      <c r="D27" s="276">
        <v>1004.99</v>
      </c>
      <c r="E27" s="277">
        <v>3</v>
      </c>
      <c r="F27" s="277">
        <v>2</v>
      </c>
      <c r="G27" s="278">
        <f t="shared" si="0"/>
      </c>
      <c r="H27" s="279">
        <v>3</v>
      </c>
      <c r="I27" s="279">
        <v>1</v>
      </c>
      <c r="J27" s="280">
        <v>927.5999999999999</v>
      </c>
      <c r="K27" s="279">
        <v>0</v>
      </c>
      <c r="L27" s="281">
        <v>0</v>
      </c>
      <c r="M27" s="279">
        <f t="shared" ref="M27:M29" si="33">K27+I27</f>
      </c>
      <c r="N27" s="278">
        <f t="shared" si="46"/>
      </c>
      <c r="O27" s="278">
        <f t="shared" si="49"/>
      </c>
      <c r="P27" s="282">
        <f t="shared" ref="P27:P29" si="6">J27+L27</f>
      </c>
      <c r="Q27" s="278">
        <f t="shared" si="37"/>
      </c>
      <c r="R27" s="283">
        <f t="shared" si="47"/>
      </c>
      <c r="S27" s="283">
        <f t="shared" si="50"/>
      </c>
      <c r="T27" s="284">
        <f t="shared" ref="T27:T29" si="15">AA27/60</f>
      </c>
      <c r="U27" s="285">
        <f t="shared" si="38"/>
      </c>
      <c r="V27" s="286">
        <f t="shared" si="39"/>
      </c>
      <c r="W27" s="285">
        <f t="shared" si="48"/>
      </c>
      <c r="X27" s="285">
        <f t="shared" si="40"/>
      </c>
      <c r="Y27" s="285">
        <f t="shared" si="23"/>
      </c>
      <c r="Z27" s="279">
        <v>3819</v>
      </c>
      <c r="AA27" s="279">
        <v>231</v>
      </c>
      <c r="AB27" s="279">
        <v>19</v>
      </c>
      <c r="AC27" s="307">
        <v>31</v>
      </c>
      <c r="AD27" s="279">
        <v>3</v>
      </c>
      <c r="AE27" s="287">
        <f t="shared" ref="AE27:AE29" si="56">COUNT(AD27)</f>
      </c>
    </row>
    <row hidden="true" r="28">
      <c r="A28" s="274"/>
      <c r="B28" s="275" t="s">
        <v>188</v>
      </c>
      <c r="C28" s="275" t="s">
        <v>181</v>
      </c>
      <c r="D28" s="276">
        <v>1271.88</v>
      </c>
      <c r="E28" s="277">
        <v>2</v>
      </c>
      <c r="F28" s="277">
        <v>1</v>
      </c>
      <c r="G28" s="278">
        <f t="shared" si="0"/>
      </c>
      <c r="H28" s="279">
        <v>3</v>
      </c>
      <c r="I28" s="279">
        <v>1</v>
      </c>
      <c r="J28" s="280">
        <v>904.7999999999997</v>
      </c>
      <c r="K28" s="279">
        <v>0</v>
      </c>
      <c r="L28" s="281">
        <v>0</v>
      </c>
      <c r="M28" s="279">
        <f t="shared" si="33"/>
      </c>
      <c r="N28" s="278">
        <f t="shared" si="46"/>
      </c>
      <c r="O28" s="278">
        <f t="shared" si="49"/>
      </c>
      <c r="P28" s="282">
        <f t="shared" si="6"/>
      </c>
      <c r="Q28" s="278">
        <f t="shared" si="37"/>
      </c>
      <c r="R28" s="283">
        <f t="shared" si="47"/>
      </c>
      <c r="S28" s="283">
        <f t="shared" si="50"/>
      </c>
      <c r="T28" s="284">
        <f t="shared" si="15"/>
      </c>
      <c r="U28" s="285">
        <f t="shared" si="38"/>
      </c>
      <c r="V28" s="286">
        <f t="shared" si="39"/>
      </c>
      <c r="W28" s="285">
        <f t="shared" si="48"/>
      </c>
      <c r="X28" s="285">
        <f t="shared" si="40"/>
      </c>
      <c r="Y28" s="285">
        <f>AE28/AD28</f>
      </c>
      <c r="Z28" s="279">
        <v>3981</v>
      </c>
      <c r="AA28" s="279">
        <v>243</v>
      </c>
      <c r="AB28" s="279">
        <v>20</v>
      </c>
      <c r="AC28" s="307">
        <v>23</v>
      </c>
      <c r="AD28" s="279">
        <v>3</v>
      </c>
      <c r="AE28" s="287">
        <f t="shared" si="56"/>
      </c>
    </row>
    <row r="29">
      <c r="A29" s="274"/>
      <c r="B29" s="275" t="s">
        <v>189</v>
      </c>
      <c r="C29" s="275" t="s">
        <v>181</v>
      </c>
      <c r="D29" s="276">
        <v>771.65</v>
      </c>
      <c r="E29" s="277">
        <v>0</v>
      </c>
      <c r="F29" s="277">
        <v>0</v>
      </c>
      <c r="G29" s="278">
        <f t="shared" si="0"/>
      </c>
      <c r="H29" s="279">
        <v>0</v>
      </c>
      <c r="I29" s="279">
        <v>0</v>
      </c>
      <c r="J29" s="280">
        <v>0</v>
      </c>
      <c r="K29" s="279">
        <v>0</v>
      </c>
      <c r="L29" s="281">
        <v>0</v>
      </c>
      <c r="M29" s="279">
        <f t="shared" si="33"/>
      </c>
      <c r="N29" s="278">
        <f t="shared" si="46"/>
      </c>
      <c r="O29" s="278">
        <f t="shared" si="49"/>
      </c>
      <c r="P29" s="282">
        <f t="shared" si="6"/>
      </c>
      <c r="Q29" s="278">
        <f t="shared" si="37"/>
      </c>
      <c r="R29" s="283">
        <f t="shared" si="47"/>
      </c>
      <c r="S29" s="283">
        <f t="shared" si="50"/>
      </c>
      <c r="T29" s="284">
        <f t="shared" si="15"/>
      </c>
      <c r="U29" s="285">
        <f t="shared" si="38"/>
      </c>
      <c r="V29" s="286">
        <f t="shared" si="39"/>
      </c>
      <c r="W29" s="285">
        <f t="shared" si="48"/>
      </c>
      <c r="X29" s="285">
        <f t="shared" si="40"/>
      </c>
      <c r="Y29" s="285">
        <f t="shared" ref="Y29:Y31" si="24">M29/AD29</f>
      </c>
      <c r="Z29" s="279">
        <v>2680</v>
      </c>
      <c r="AA29" s="279">
        <v>168</v>
      </c>
      <c r="AB29" s="279">
        <v>24</v>
      </c>
      <c r="AC29" s="307">
        <v>17</v>
      </c>
      <c r="AD29" s="279">
        <v>0</v>
      </c>
      <c r="AE29" s="287">
        <f t="shared" si="56"/>
      </c>
    </row>
    <row hidden="true" r="30">
      <c r="A30" s="274"/>
      <c r="B30" s="299" t="s">
        <v>185</v>
      </c>
      <c r="C30" s="299"/>
      <c r="D30" s="300">
        <f>SUM(D27:D29)</f>
      </c>
      <c r="E30" s="301">
        <f>SUM(E27:E29)</f>
      </c>
      <c r="F30" s="301">
        <f>SUM(F27:F29)</f>
      </c>
      <c r="G30" s="308">
        <f t="shared" si="0"/>
      </c>
      <c r="H30" s="301">
        <f>SUM(H27:H29)</f>
      </c>
      <c r="I30" s="301">
        <f>SUM(I27:I29)</f>
      </c>
      <c r="J30" s="302">
        <f>SUM(J27:J29)</f>
      </c>
      <c r="K30" s="301">
        <f>SUM(K27:K29)</f>
      </c>
      <c r="L30" s="300">
        <f>SUM(L27:L29)</f>
      </c>
      <c r="M30" s="301">
        <f>SUM(M27:M29)</f>
      </c>
      <c r="N30" s="301">
        <f t="shared" si="46"/>
      </c>
      <c r="O30" s="301">
        <f t="shared" si="49"/>
      </c>
      <c r="P30" s="300">
        <f>SUM(P27:P29)</f>
      </c>
      <c r="Q30" s="301">
        <f t="shared" si="37"/>
      </c>
      <c r="R30" s="304">
        <f t="shared" si="47"/>
      </c>
      <c r="S30" s="304">
        <f t="shared" si="50"/>
      </c>
      <c r="T30" s="305">
        <f>(T28+T29+T27)/3</f>
      </c>
      <c r="U30" s="309">
        <f t="shared" si="38"/>
      </c>
      <c r="V30" s="310">
        <f t="shared" si="39"/>
      </c>
      <c r="W30" s="309">
        <f t="shared" si="48"/>
      </c>
      <c r="X30" s="309">
        <f t="shared" si="40"/>
      </c>
      <c r="Y30" s="309">
        <f t="shared" si="24"/>
      </c>
      <c r="Z30" s="301">
        <f>SUM(Z27:Z29)</f>
      </c>
      <c r="AA30" s="301">
        <f>SUM(AA27:AA29)</f>
      </c>
      <c r="AB30" s="301">
        <f>SUM(AB27:AB29)</f>
      </c>
      <c r="AC30" s="301">
        <f>SUM(AC27:AC29)</f>
      </c>
      <c r="AD30" s="301">
        <f>SUM(AD27:AD29)</f>
      </c>
      <c r="AE30" s="301">
        <f>SUM(AE27:AE29)</f>
      </c>
    </row>
    <row hidden="true" r="31">
      <c r="A31" s="274"/>
      <c r="B31" s="311" t="s">
        <v>190</v>
      </c>
      <c r="C31" s="311"/>
      <c r="D31" s="312">
        <f>D30+D26</f>
      </c>
      <c r="E31" s="313">
        <f>E30+E26</f>
      </c>
      <c r="F31" s="313">
        <f>F30+F26</f>
      </c>
      <c r="G31" s="314">
        <f t="shared" si="0"/>
      </c>
      <c r="H31" s="315">
        <f>H30+H26</f>
      </c>
      <c r="I31" s="313">
        <f>I30+I26</f>
      </c>
      <c r="J31" s="316">
        <f>J30+J26</f>
      </c>
      <c r="K31" s="313">
        <f>K30+K26</f>
      </c>
      <c r="L31" s="312">
        <f>L30+L26</f>
      </c>
      <c r="M31" s="313">
        <f>M30+M26</f>
      </c>
      <c r="N31" s="314">
        <f t="shared" si="46"/>
      </c>
      <c r="O31" s="317">
        <f t="shared" si="49"/>
      </c>
      <c r="P31" s="318">
        <f>P30+P26</f>
      </c>
      <c r="Q31" s="314">
        <f t="shared" si="37"/>
      </c>
      <c r="R31" s="319">
        <f t="shared" si="47"/>
      </c>
      <c r="S31" s="319">
        <f t="shared" si="50"/>
      </c>
      <c r="T31" s="320">
        <f>(T30+T26)/2</f>
      </c>
      <c r="U31" s="321">
        <f t="shared" si="38"/>
      </c>
      <c r="V31" s="322">
        <f t="shared" si="39"/>
      </c>
      <c r="W31" s="321">
        <f t="shared" si="48"/>
      </c>
      <c r="X31" s="321">
        <f t="shared" si="40"/>
      </c>
      <c r="Y31" s="321">
        <f t="shared" si="24"/>
      </c>
      <c r="Z31" s="313">
        <f>Z30+Z26</f>
      </c>
      <c r="AA31" s="313">
        <f>AA30+AA26</f>
      </c>
      <c r="AB31" s="313">
        <f>AB30+AB26</f>
      </c>
      <c r="AC31" s="313">
        <f>AC30+AC26</f>
      </c>
      <c r="AD31" s="313">
        <f>AD30+AD26</f>
      </c>
      <c r="AE31" s="313">
        <f>AE30+AE26</f>
      </c>
    </row>
    <row hidden="true" r="32">
      <c r="A32" s="274">
        <v>46268</v>
      </c>
      <c r="B32" s="275" t="s">
        <v>180</v>
      </c>
      <c r="C32" s="275" t="s">
        <v>187</v>
      </c>
      <c r="D32" s="276">
        <v>2606.23</v>
      </c>
      <c r="E32" s="277">
        <v>5</v>
      </c>
      <c r="F32" s="277">
        <v>3</v>
      </c>
      <c r="G32" s="278">
        <f t="shared" si="0"/>
      </c>
      <c r="H32" s="279">
        <v>5</v>
      </c>
      <c r="I32" s="279">
        <v>3</v>
      </c>
      <c r="J32" s="280">
        <v>2367.6000000000004</v>
      </c>
      <c r="K32" s="279">
        <v>0</v>
      </c>
      <c r="L32" s="281">
        <v>0</v>
      </c>
      <c r="M32" s="279">
        <f t="shared" ref="M32:M34" si="34">K32+I32</f>
      </c>
      <c r="N32" s="278">
        <f t="shared" si="46"/>
      </c>
      <c r="O32" s="278">
        <f t="shared" si="49"/>
      </c>
      <c r="P32" s="282">
        <f t="shared" ref="P32:P34" si="7">J32+L32</f>
      </c>
      <c r="Q32" s="278">
        <f t="shared" si="37"/>
      </c>
      <c r="R32" s="283">
        <f t="shared" si="47"/>
      </c>
      <c r="S32" s="283">
        <f t="shared" si="50"/>
      </c>
      <c r="T32" s="284">
        <f t="shared" ref="T32:T34" si="16">AA32/60</f>
      </c>
      <c r="U32" s="285">
        <f t="shared" si="38"/>
      </c>
      <c r="V32" s="286">
        <f t="shared" si="39"/>
      </c>
      <c r="W32" s="285">
        <f t="shared" si="48"/>
      </c>
      <c r="X32" s="285">
        <f t="shared" si="40"/>
      </c>
      <c r="Y32" s="285">
        <f t="shared" ref="Y32:Y33" si="44">AE32/AD32</f>
      </c>
      <c r="Z32" s="279">
        <v>7866</v>
      </c>
      <c r="AA32" s="279">
        <v>332</v>
      </c>
      <c r="AB32" s="279">
        <v>47</v>
      </c>
      <c r="AC32" s="279">
        <v>58</v>
      </c>
      <c r="AD32" s="279">
        <v>5</v>
      </c>
      <c r="AE32" s="287">
        <f t="shared" ref="AE32:AE34" si="57">COUNT(AD32)</f>
      </c>
    </row>
    <row hidden="true" r="33">
      <c r="A33" s="274"/>
      <c r="B33" s="275" t="s">
        <v>182</v>
      </c>
      <c r="C33" s="275" t="s">
        <v>187</v>
      </c>
      <c r="D33" s="288">
        <v>2688.45</v>
      </c>
      <c r="E33" s="289">
        <v>1</v>
      </c>
      <c r="F33" s="289">
        <v>1</v>
      </c>
      <c r="G33" s="278">
        <f t="shared" si="0"/>
      </c>
      <c r="H33" s="290">
        <v>1</v>
      </c>
      <c r="I33" s="290">
        <v>1</v>
      </c>
      <c r="J33" s="291">
        <v>720</v>
      </c>
      <c r="K33" s="290">
        <v>0</v>
      </c>
      <c r="L33" s="292">
        <v>0</v>
      </c>
      <c r="M33" s="279">
        <f t="shared" si="34"/>
      </c>
      <c r="N33" s="278">
        <f t="shared" si="46"/>
      </c>
      <c r="O33" s="278">
        <f t="shared" si="49"/>
      </c>
      <c r="P33" s="282">
        <f t="shared" si="7"/>
      </c>
      <c r="Q33" s="278">
        <f t="shared" si="37"/>
      </c>
      <c r="R33" s="283">
        <f t="shared" si="47"/>
      </c>
      <c r="S33" s="293">
        <f t="shared" si="50"/>
      </c>
      <c r="T33" s="284">
        <f t="shared" si="16"/>
      </c>
      <c r="U33" s="285">
        <f t="shared" si="38"/>
      </c>
      <c r="V33" s="286">
        <f t="shared" si="39"/>
      </c>
      <c r="W33" s="285">
        <f t="shared" si="48"/>
      </c>
      <c r="X33" s="285">
        <f t="shared" si="40"/>
      </c>
      <c r="Y33" s="285">
        <f t="shared" si="44"/>
      </c>
      <c r="Z33" s="279">
        <v>7745</v>
      </c>
      <c r="AA33" s="290">
        <v>288</v>
      </c>
      <c r="AB33" s="290">
        <v>56</v>
      </c>
      <c r="AC33" s="290">
        <v>47</v>
      </c>
      <c r="AD33" s="290">
        <v>1</v>
      </c>
      <c r="AE33" s="287">
        <f t="shared" si="57"/>
      </c>
    </row>
    <row hidden="true" r="34">
      <c r="A34" s="274"/>
      <c r="B34" s="275" t="s">
        <v>183</v>
      </c>
      <c r="C34" s="275" t="s">
        <v>187</v>
      </c>
      <c r="D34" s="288">
        <v>1366.13</v>
      </c>
      <c r="E34" s="289">
        <v>3</v>
      </c>
      <c r="F34" s="289">
        <v>1</v>
      </c>
      <c r="G34" s="278">
        <f t="shared" si="0"/>
      </c>
      <c r="H34" s="290">
        <v>3</v>
      </c>
      <c r="I34" s="290">
        <v>1</v>
      </c>
      <c r="J34" s="291">
        <v>1525.199999999999</v>
      </c>
      <c r="K34" s="290">
        <v>0</v>
      </c>
      <c r="L34" s="292">
        <v>0</v>
      </c>
      <c r="M34" s="294">
        <f t="shared" si="34"/>
      </c>
      <c r="N34" s="278">
        <f t="shared" si="46"/>
      </c>
      <c r="O34" s="295">
        <f t="shared" si="49"/>
      </c>
      <c r="P34" s="282">
        <f t="shared" si="7"/>
      </c>
      <c r="Q34" s="295">
        <f t="shared" si="37"/>
      </c>
      <c r="R34" s="293">
        <f t="shared" si="47"/>
      </c>
      <c r="S34" s="293">
        <f t="shared" si="50"/>
      </c>
      <c r="T34" s="284">
        <f t="shared" si="16"/>
      </c>
      <c r="U34" s="296">
        <f t="shared" si="38"/>
      </c>
      <c r="V34" s="296">
        <f t="shared" si="39"/>
      </c>
      <c r="W34" s="296">
        <f t="shared" si="48"/>
      </c>
      <c r="X34" s="296">
        <f t="shared" si="40"/>
      </c>
      <c r="Y34" s="297">
        <f t="shared" ref="Y34:Y36" si="25">M34/AD34</f>
      </c>
      <c r="Z34" s="279">
        <v>5961</v>
      </c>
      <c r="AA34" s="290">
        <v>231</v>
      </c>
      <c r="AB34" s="290">
        <v>30</v>
      </c>
      <c r="AC34" s="290">
        <v>31</v>
      </c>
      <c r="AD34" s="290">
        <v>3</v>
      </c>
      <c r="AE34" s="287">
        <f t="shared" si="57"/>
      </c>
    </row>
    <row hidden="true" r="35">
      <c r="A35" s="274"/>
      <c r="B35" s="299" t="s">
        <v>185</v>
      </c>
      <c r="C35" s="299"/>
      <c r="D35" s="300">
        <f>SUM(D32:D34)</f>
      </c>
      <c r="E35" s="301">
        <f>SUM(E32:E34)</f>
      </c>
      <c r="F35" s="301">
        <f>SUM(F32:F34)</f>
      </c>
      <c r="G35" s="301">
        <f t="shared" si="0"/>
      </c>
      <c r="H35" s="301">
        <f>SUM(H32:H34)</f>
      </c>
      <c r="I35" s="301">
        <f>SUM(I32:I34)</f>
      </c>
      <c r="J35" s="302">
        <f>SUM(J32:J34)</f>
      </c>
      <c r="K35" s="303">
        <f>SUM(K32:K34)</f>
      </c>
      <c r="L35" s="303">
        <f>SUM(L32:L34)</f>
      </c>
      <c r="M35" s="301">
        <f>SUM(M32:M34)</f>
      </c>
      <c r="N35" s="301">
        <f t="shared" si="46"/>
      </c>
      <c r="O35" s="301">
        <f t="shared" si="49"/>
      </c>
      <c r="P35" s="303">
        <f>SUM(P32:P34)</f>
      </c>
      <c r="Q35" s="301">
        <f t="shared" si="37"/>
      </c>
      <c r="R35" s="304">
        <f t="shared" si="47"/>
      </c>
      <c r="S35" s="304">
        <f t="shared" si="50"/>
      </c>
      <c r="T35" s="305">
        <f>(T33+T34+T32)/3</f>
      </c>
      <c r="U35" s="306">
        <f t="shared" si="38"/>
      </c>
      <c r="V35" s="306">
        <f t="shared" si="39"/>
      </c>
      <c r="W35" s="306">
        <f t="shared" si="48"/>
      </c>
      <c r="X35" s="306">
        <f t="shared" si="40"/>
      </c>
      <c r="Y35" s="306">
        <f t="shared" si="25"/>
      </c>
      <c r="Z35" s="301">
        <f>SUM(Z32:Z34)</f>
      </c>
      <c r="AA35" s="301">
        <f>SUM(AA32:AA34)</f>
      </c>
      <c r="AB35" s="301">
        <f>SUM(AB32:AB34)</f>
      </c>
      <c r="AC35" s="301">
        <f>SUM(AC32:AC34)</f>
      </c>
      <c r="AD35" s="301">
        <f>SUM(AD32:AD34)</f>
      </c>
      <c r="AE35" s="301">
        <f>SUM(AE32:AE34)</f>
      </c>
    </row>
    <row hidden="true" r="36">
      <c r="A36" s="274"/>
      <c r="B36" s="275" t="s">
        <v>184</v>
      </c>
      <c r="C36" s="275" t="s">
        <v>191</v>
      </c>
      <c r="D36" s="276">
        <v>1732.07</v>
      </c>
      <c r="E36" s="277">
        <v>3</v>
      </c>
      <c r="F36" s="277">
        <v>0</v>
      </c>
      <c r="G36" s="278">
        <f t="shared" si="0"/>
      </c>
      <c r="H36" s="279">
        <v>3</v>
      </c>
      <c r="I36" s="279">
        <v>0</v>
      </c>
      <c r="J36" s="280">
        <v>0</v>
      </c>
      <c r="K36" s="279">
        <v>0</v>
      </c>
      <c r="L36" s="281">
        <v>0</v>
      </c>
      <c r="M36" s="279">
        <f t="shared" ref="M36:M38" si="35">K36+I36</f>
      </c>
      <c r="N36" s="278">
        <f t="shared" si="46"/>
      </c>
      <c r="O36" s="278">
        <f t="shared" si="49"/>
      </c>
      <c r="P36" s="282">
        <f t="shared" ref="P36:P38" si="8">J36+L36</f>
      </c>
      <c r="Q36" s="278">
        <f t="shared" si="37"/>
      </c>
      <c r="R36" s="283">
        <f t="shared" si="47"/>
      </c>
      <c r="S36" s="283">
        <f t="shared" si="50"/>
      </c>
      <c r="T36" s="284">
        <f t="shared" ref="T36:T38" si="17">AA36/60</f>
      </c>
      <c r="U36" s="285">
        <f t="shared" si="38"/>
      </c>
      <c r="V36" s="286">
        <f t="shared" si="39"/>
      </c>
      <c r="W36" s="285">
        <f t="shared" si="48"/>
      </c>
      <c r="X36" s="285">
        <f t="shared" si="40"/>
      </c>
      <c r="Y36" s="285">
        <f t="shared" si="25"/>
      </c>
      <c r="Z36" s="279">
        <v>7024</v>
      </c>
      <c r="AA36" s="279">
        <v>221</v>
      </c>
      <c r="AB36" s="279">
        <v>38</v>
      </c>
      <c r="AC36" s="307">
        <v>24</v>
      </c>
      <c r="AD36" s="279">
        <v>3</v>
      </c>
      <c r="AE36" s="287">
        <f t="shared" ref="AE36:AE38" si="58">COUNT(AD36)</f>
      </c>
    </row>
    <row hidden="true" r="37">
      <c r="A37" s="274"/>
      <c r="B37" s="275" t="s">
        <v>186</v>
      </c>
      <c r="C37" s="275" t="s">
        <v>191</v>
      </c>
      <c r="D37" s="276">
        <v>1476.56</v>
      </c>
      <c r="E37" s="277">
        <v>3</v>
      </c>
      <c r="F37" s="277">
        <v>1</v>
      </c>
      <c r="G37" s="278">
        <f t="shared" si="0"/>
      </c>
      <c r="H37" s="279">
        <v>3</v>
      </c>
      <c r="I37" s="279">
        <v>1</v>
      </c>
      <c r="J37" s="280">
        <v>720</v>
      </c>
      <c r="K37" s="279">
        <v>0</v>
      </c>
      <c r="L37" s="281">
        <v>0</v>
      </c>
      <c r="M37" s="279">
        <f t="shared" si="35"/>
      </c>
      <c r="N37" s="278">
        <f t="shared" si="46"/>
      </c>
      <c r="O37" s="278">
        <f t="shared" si="49"/>
      </c>
      <c r="P37" s="282">
        <f t="shared" si="8"/>
      </c>
      <c r="Q37" s="278">
        <f t="shared" si="37"/>
      </c>
      <c r="R37" s="283">
        <f t="shared" si="47"/>
      </c>
      <c r="S37" s="283">
        <f t="shared" si="50"/>
      </c>
      <c r="T37" s="284">
        <f t="shared" si="17"/>
      </c>
      <c r="U37" s="285">
        <f t="shared" si="38"/>
      </c>
      <c r="V37" s="286">
        <f t="shared" si="39"/>
      </c>
      <c r="W37" s="285">
        <f t="shared" si="48"/>
      </c>
      <c r="X37" s="285">
        <f t="shared" si="40"/>
      </c>
      <c r="Y37" s="285">
        <f>AE37/AD37</f>
      </c>
      <c r="Z37" s="279">
        <v>7351</v>
      </c>
      <c r="AA37" s="279">
        <v>296</v>
      </c>
      <c r="AB37" s="279">
        <v>36</v>
      </c>
      <c r="AC37" s="307">
        <v>32</v>
      </c>
      <c r="AD37" s="279">
        <v>3</v>
      </c>
      <c r="AE37" s="287">
        <f t="shared" si="58"/>
      </c>
    </row>
    <row hidden="true" r="38">
      <c r="A38" s="274"/>
      <c r="B38" s="275" t="s">
        <v>188</v>
      </c>
      <c r="C38" s="275" t="s">
        <v>191</v>
      </c>
      <c r="D38" s="276">
        <v>1097.41</v>
      </c>
      <c r="E38" s="277">
        <v>3</v>
      </c>
      <c r="F38" s="277">
        <v>0</v>
      </c>
      <c r="G38" s="278">
        <f t="shared" si="0"/>
      </c>
      <c r="H38" s="279">
        <v>3</v>
      </c>
      <c r="I38" s="279">
        <v>0</v>
      </c>
      <c r="J38" s="280">
        <v>0</v>
      </c>
      <c r="K38" s="279">
        <v>0</v>
      </c>
      <c r="L38" s="281">
        <v>0</v>
      </c>
      <c r="M38" s="279">
        <f t="shared" si="35"/>
      </c>
      <c r="N38" s="278">
        <f t="shared" si="46"/>
      </c>
      <c r="O38" s="278">
        <f t="shared" si="49"/>
      </c>
      <c r="P38" s="282">
        <f t="shared" si="8"/>
      </c>
      <c r="Q38" s="278">
        <f t="shared" si="37"/>
      </c>
      <c r="R38" s="283">
        <f t="shared" si="47"/>
      </c>
      <c r="S38" s="283">
        <f t="shared" si="50"/>
      </c>
      <c r="T38" s="284">
        <f t="shared" si="17"/>
      </c>
      <c r="U38" s="285">
        <f t="shared" si="38"/>
      </c>
      <c r="V38" s="286">
        <f t="shared" si="39"/>
      </c>
      <c r="W38" s="285">
        <f t="shared" si="48"/>
      </c>
      <c r="X38" s="285">
        <f t="shared" si="40"/>
      </c>
      <c r="Y38" s="285">
        <f t="shared" ref="Y38:Y40" si="26">M38/AD38</f>
      </c>
      <c r="Z38" s="279">
        <v>4501</v>
      </c>
      <c r="AA38" s="279">
        <v>194</v>
      </c>
      <c r="AB38" s="279">
        <v>34</v>
      </c>
      <c r="AC38" s="307">
        <v>23</v>
      </c>
      <c r="AD38" s="279">
        <v>3</v>
      </c>
      <c r="AE38" s="287">
        <f t="shared" si="58"/>
      </c>
    </row>
    <row hidden="true" r="39">
      <c r="A39" s="274"/>
      <c r="B39" s="299" t="s">
        <v>185</v>
      </c>
      <c r="C39" s="299"/>
      <c r="D39" s="300">
        <f>SUM(D36:D38)</f>
      </c>
      <c r="E39" s="301">
        <f>SUM(E36:E38)</f>
      </c>
      <c r="F39" s="301">
        <f>SUM(F36:F38)</f>
      </c>
      <c r="G39" s="308">
        <f t="shared" si="0"/>
      </c>
      <c r="H39" s="301">
        <f>SUM(H36:H38)</f>
      </c>
      <c r="I39" s="301">
        <f>SUM(I36:I38)</f>
      </c>
      <c r="J39" s="302">
        <f>SUM(J36:J38)</f>
      </c>
      <c r="K39" s="301">
        <f>SUM(K36:K38)</f>
      </c>
      <c r="L39" s="300">
        <f>SUM(L36:L38)</f>
      </c>
      <c r="M39" s="301">
        <f>SUM(M36:M38)</f>
      </c>
      <c r="N39" s="301">
        <f t="shared" si="46"/>
      </c>
      <c r="O39" s="301">
        <f t="shared" si="49"/>
      </c>
      <c r="P39" s="300">
        <f>SUM(P36:P38)</f>
      </c>
      <c r="Q39" s="301">
        <f t="shared" si="37"/>
      </c>
      <c r="R39" s="304">
        <f t="shared" si="47"/>
      </c>
      <c r="S39" s="304">
        <f t="shared" si="50"/>
      </c>
      <c r="T39" s="305">
        <f>(T37+T38+T36)/3</f>
      </c>
      <c r="U39" s="309">
        <f t="shared" si="38"/>
      </c>
      <c r="V39" s="310">
        <f t="shared" si="39"/>
      </c>
      <c r="W39" s="309">
        <f t="shared" si="48"/>
      </c>
      <c r="X39" s="309">
        <f t="shared" si="40"/>
      </c>
      <c r="Y39" s="309">
        <f t="shared" si="26"/>
      </c>
      <c r="Z39" s="301">
        <f>SUM(Z36:Z38)</f>
      </c>
      <c r="AA39" s="301">
        <f>SUM(AA36:AA38)</f>
      </c>
      <c r="AB39" s="301">
        <f>SUM(AB36:AB38)</f>
      </c>
      <c r="AC39" s="301">
        <f>SUM(AC36:AC38)</f>
      </c>
      <c r="AD39" s="301">
        <f>SUM(AD36:AD38)</f>
      </c>
      <c r="AE39" s="301">
        <f>SUM(AE36:AE38)</f>
      </c>
    </row>
    <row hidden="true" r="40">
      <c r="A40" s="274"/>
      <c r="B40" s="311" t="s">
        <v>190</v>
      </c>
      <c r="C40" s="311"/>
      <c r="D40" s="312">
        <f>D39+D35</f>
      </c>
      <c r="E40" s="313">
        <f>E39+E35</f>
      </c>
      <c r="F40" s="313">
        <f>F39+F35</f>
      </c>
      <c r="G40" s="314">
        <f t="shared" si="0"/>
      </c>
      <c r="H40" s="315">
        <f>H39+H35</f>
      </c>
      <c r="I40" s="313">
        <f>I39+I35</f>
      </c>
      <c r="J40" s="316">
        <f>J39+J35</f>
      </c>
      <c r="K40" s="313">
        <f>K39+K35</f>
      </c>
      <c r="L40" s="312">
        <f>L39+L35</f>
      </c>
      <c r="M40" s="313">
        <f>M39+M35</f>
      </c>
      <c r="N40" s="314">
        <f t="shared" si="46"/>
      </c>
      <c r="O40" s="317">
        <f t="shared" si="49"/>
      </c>
      <c r="P40" s="318">
        <f>P39+P35</f>
      </c>
      <c r="Q40" s="314">
        <f t="shared" si="37"/>
      </c>
      <c r="R40" s="319">
        <f t="shared" si="47"/>
      </c>
      <c r="S40" s="319">
        <f t="shared" si="50"/>
      </c>
      <c r="T40" s="320">
        <f>(T39+T35)/2</f>
      </c>
      <c r="U40" s="321">
        <f t="shared" si="38"/>
      </c>
      <c r="V40" s="322">
        <f t="shared" si="39"/>
      </c>
      <c r="W40" s="321">
        <f t="shared" si="48"/>
      </c>
      <c r="X40" s="321">
        <f t="shared" si="40"/>
      </c>
      <c r="Y40" s="321">
        <f t="shared" si="26"/>
      </c>
      <c r="Z40" s="313">
        <f>Z39+Z35</f>
      </c>
      <c r="AA40" s="313">
        <f>AA39+AA35</f>
      </c>
      <c r="AB40" s="313">
        <f>AB39+AB35</f>
      </c>
      <c r="AC40" s="313">
        <f>AC39+AC35</f>
      </c>
      <c r="AD40" s="313">
        <f>AD39+AD35</f>
      </c>
      <c r="AE40" s="313">
        <f>AE39+AE35</f>
      </c>
    </row>
    <row hidden="true" r="41">
      <c r="A41" s="274">
        <v>46269</v>
      </c>
      <c r="B41" s="275" t="s">
        <v>183</v>
      </c>
      <c r="C41" s="275" t="s">
        <v>187</v>
      </c>
      <c r="D41" s="276">
        <v>1437.77</v>
      </c>
      <c r="E41" s="277">
        <v>2</v>
      </c>
      <c r="F41" s="277">
        <v>0</v>
      </c>
      <c r="G41" s="278">
        <f t="shared" si="0"/>
      </c>
      <c r="H41" s="279">
        <v>2</v>
      </c>
      <c r="I41" s="279">
        <v>0</v>
      </c>
      <c r="J41" s="280">
        <v>0</v>
      </c>
      <c r="K41" s="279">
        <v>0</v>
      </c>
      <c r="L41" s="281">
        <v>0</v>
      </c>
      <c r="M41" s="279">
        <f t="shared" ref="M41:M43" si="36">K41+I41</f>
      </c>
      <c r="N41" s="278">
        <f t="shared" si="46"/>
      </c>
      <c r="O41" s="278">
        <f t="shared" si="49"/>
      </c>
      <c r="P41" s="282">
        <f t="shared" ref="P41:P43" si="9">J41+L41</f>
      </c>
      <c r="Q41" s="278">
        <f t="shared" si="37"/>
      </c>
      <c r="R41" s="283">
        <f t="shared" si="47"/>
      </c>
      <c r="S41" s="283">
        <f t="shared" si="50"/>
      </c>
      <c r="T41" s="284">
        <f t="shared" ref="T41:T43" si="18">AA41/60</f>
      </c>
      <c r="U41" s="285">
        <f t="shared" si="38"/>
      </c>
      <c r="V41" s="286">
        <f t="shared" si="39"/>
      </c>
      <c r="W41" s="285">
        <f t="shared" si="48"/>
      </c>
      <c r="X41" s="285">
        <f t="shared" si="40"/>
      </c>
      <c r="Y41" s="285">
        <f t="shared" ref="Y41:Y42" si="45">AE41/AD41</f>
      </c>
      <c r="Z41" s="279">
        <v>5069</v>
      </c>
      <c r="AA41" s="279">
        <v>195</v>
      </c>
      <c r="AB41" s="279">
        <v>18</v>
      </c>
      <c r="AC41" s="279">
        <v>25</v>
      </c>
      <c r="AD41" s="279">
        <v>2</v>
      </c>
      <c r="AE41" s="287">
        <f t="shared" ref="AE41:AE43" si="59">COUNT(AD41)</f>
      </c>
    </row>
    <row hidden="true" r="42">
      <c r="A42" s="274"/>
      <c r="B42" s="275" t="s">
        <v>184</v>
      </c>
      <c r="C42" s="275" t="s">
        <v>187</v>
      </c>
      <c r="D42" s="288">
        <v>1356.92</v>
      </c>
      <c r="E42" s="289">
        <v>0</v>
      </c>
      <c r="F42" s="289">
        <v>0</v>
      </c>
      <c r="G42" s="278">
        <f t="shared" si="0"/>
      </c>
      <c r="H42" s="290">
        <v>0</v>
      </c>
      <c r="I42" s="290">
        <v>0</v>
      </c>
      <c r="J42" s="291">
        <v>0</v>
      </c>
      <c r="K42" s="290">
        <v>0</v>
      </c>
      <c r="L42" s="292">
        <v>0</v>
      </c>
      <c r="M42" s="279">
        <f t="shared" si="36"/>
      </c>
      <c r="N42" s="278">
        <f t="shared" si="46"/>
      </c>
      <c r="O42" s="278">
        <f t="shared" si="49"/>
      </c>
      <c r="P42" s="282">
        <f t="shared" si="9"/>
      </c>
      <c r="Q42" s="278">
        <f t="shared" si="37"/>
      </c>
      <c r="R42" s="283">
        <f t="shared" si="47"/>
      </c>
      <c r="S42" s="293">
        <f t="shared" si="50"/>
      </c>
      <c r="T42" s="284">
        <f t="shared" si="18"/>
      </c>
      <c r="U42" s="285">
        <f t="shared" si="38"/>
      </c>
      <c r="V42" s="286">
        <f t="shared" si="39"/>
      </c>
      <c r="W42" s="285">
        <f t="shared" si="48"/>
      </c>
      <c r="X42" s="285">
        <f t="shared" si="40"/>
      </c>
      <c r="Y42" s="285">
        <f t="shared" si="45"/>
      </c>
      <c r="Z42" s="279">
        <v>5578</v>
      </c>
      <c r="AA42" s="290">
        <v>186</v>
      </c>
      <c r="AB42" s="290">
        <v>16</v>
      </c>
      <c r="AC42" s="290">
        <v>18</v>
      </c>
      <c r="AD42" s="290">
        <v>0</v>
      </c>
      <c r="AE42" s="287">
        <f t="shared" si="59"/>
      </c>
    </row>
    <row hidden="true" r="43">
      <c r="A43" s="274"/>
      <c r="B43" s="275" t="s">
        <v>192</v>
      </c>
      <c r="C43" s="275" t="s">
        <v>187</v>
      </c>
      <c r="D43" s="288">
        <v>375.13</v>
      </c>
      <c r="E43" s="289">
        <v>0</v>
      </c>
      <c r="F43" s="289">
        <v>0</v>
      </c>
      <c r="G43" s="278">
        <f t="shared" si="0"/>
      </c>
      <c r="H43" s="290">
        <v>0</v>
      </c>
      <c r="I43" s="290">
        <v>0</v>
      </c>
      <c r="J43" s="291">
        <v>0</v>
      </c>
      <c r="K43" s="290">
        <v>0</v>
      </c>
      <c r="L43" s="292">
        <v>0</v>
      </c>
      <c r="M43" s="294">
        <f t="shared" si="36"/>
      </c>
      <c r="N43" s="278">
        <f t="shared" si="46"/>
      </c>
      <c r="O43" s="295">
        <f t="shared" si="49"/>
      </c>
      <c r="P43" s="282">
        <f t="shared" si="9"/>
      </c>
      <c r="Q43" s="295">
        <f t="shared" si="37"/>
      </c>
      <c r="R43" s="293">
        <f t="shared" si="47"/>
      </c>
      <c r="S43" s="293">
        <f t="shared" si="50"/>
      </c>
      <c r="T43" s="284">
        <f t="shared" si="18"/>
      </c>
      <c r="U43" s="296">
        <f t="shared" si="38"/>
      </c>
      <c r="V43" s="296">
        <f t="shared" si="39"/>
      </c>
      <c r="W43" s="296">
        <f t="shared" si="48"/>
      </c>
      <c r="X43" s="296">
        <f t="shared" si="40"/>
      </c>
      <c r="Y43" s="297">
        <f t="shared" ref="Y43:Y45" si="27">M43/AD43</f>
      </c>
      <c r="Z43" s="279">
        <v>2079</v>
      </c>
      <c r="AA43" s="290">
        <v>74</v>
      </c>
      <c r="AB43" s="290">
        <v>4</v>
      </c>
      <c r="AC43" s="290">
        <v>9</v>
      </c>
      <c r="AD43" s="290">
        <v>0</v>
      </c>
      <c r="AE43" s="287">
        <f t="shared" si="59"/>
      </c>
    </row>
    <row hidden="true" r="44">
      <c r="A44" s="274"/>
      <c r="B44" s="299" t="s">
        <v>185</v>
      </c>
      <c r="C44" s="299"/>
      <c r="D44" s="300">
        <f>SUM(D41:D43)</f>
      </c>
      <c r="E44" s="301">
        <f>SUM(E41:E43)</f>
      </c>
      <c r="F44" s="301">
        <f>SUM(F41:F43)</f>
      </c>
      <c r="G44" s="301">
        <f t="shared" si="0"/>
      </c>
      <c r="H44" s="301">
        <f>SUM(H41:H43)</f>
      </c>
      <c r="I44" s="301">
        <f>SUM(I41:I43)</f>
      </c>
      <c r="J44" s="302">
        <f>SUM(J41:J43)</f>
      </c>
      <c r="K44" s="303">
        <f>SUM(K41:K43)</f>
      </c>
      <c r="L44" s="303">
        <f>SUM(L41:L43)</f>
      </c>
      <c r="M44" s="301">
        <f>SUM(M41:M43)</f>
      </c>
      <c r="N44" s="301">
        <f t="shared" si="46"/>
      </c>
      <c r="O44" s="301">
        <f t="shared" si="49"/>
      </c>
      <c r="P44" s="303">
        <f>SUM(P41:P43)</f>
      </c>
      <c r="Q44" s="301">
        <f t="shared" si="37"/>
      </c>
      <c r="R44" s="304">
        <f t="shared" si="47"/>
      </c>
      <c r="S44" s="304">
        <f t="shared" si="50"/>
      </c>
      <c r="T44" s="305">
        <f>(T42+T43+T41)/3</f>
      </c>
      <c r="U44" s="306">
        <f t="shared" si="38"/>
      </c>
      <c r="V44" s="306">
        <f t="shared" si="39"/>
      </c>
      <c r="W44" s="306">
        <f t="shared" si="48"/>
      </c>
      <c r="X44" s="306">
        <f t="shared" si="40"/>
      </c>
      <c r="Y44" s="306">
        <f t="shared" si="27"/>
      </c>
      <c r="Z44" s="301">
        <f>SUM(Z41:Z43)</f>
      </c>
      <c r="AA44" s="301">
        <f>SUM(AA41:AA43)</f>
      </c>
      <c r="AB44" s="301">
        <f>SUM(AB41:AB43)</f>
      </c>
      <c r="AC44" s="301">
        <f>SUM(AC41:AC43)</f>
      </c>
      <c r="AD44" s="301">
        <f>SUM(AD41:AD43)</f>
      </c>
      <c r="AE44" s="301">
        <f>SUM(AE41:AE43)</f>
      </c>
    </row>
    <row hidden="true" r="45">
      <c r="A45" s="274"/>
      <c r="B45" s="311" t="s">
        <v>190</v>
      </c>
      <c r="C45" s="311"/>
      <c r="D45" s="312">
        <f>D44</f>
      </c>
      <c r="E45" s="312">
        <f>E44</f>
      </c>
      <c r="F45" s="312">
        <f>F44</f>
      </c>
      <c r="G45" s="314">
        <f t="shared" si="0"/>
      </c>
      <c r="H45" s="312">
        <f>H44</f>
      </c>
      <c r="I45" s="312">
        <f>I44</f>
      </c>
      <c r="J45" s="312">
        <f>J44</f>
      </c>
      <c r="K45" s="312">
        <f>K44</f>
      </c>
      <c r="L45" s="312">
        <f>L44</f>
      </c>
      <c r="M45" s="312">
        <f>M44</f>
      </c>
      <c r="N45" s="314">
        <f t="shared" si="46"/>
      </c>
      <c r="O45" s="317">
        <f t="shared" si="49"/>
      </c>
      <c r="P45" s="312">
        <f>P44</f>
      </c>
      <c r="Q45" s="314">
        <f t="shared" si="37"/>
      </c>
      <c r="R45" s="319">
        <f t="shared" si="47"/>
      </c>
      <c r="S45" s="319">
        <f t="shared" si="50"/>
      </c>
      <c r="T45" s="313">
        <f>T44</f>
      </c>
      <c r="U45" s="321">
        <f t="shared" si="38"/>
      </c>
      <c r="V45" s="322">
        <f t="shared" si="39"/>
      </c>
      <c r="W45" s="321">
        <f t="shared" si="48"/>
      </c>
      <c r="X45" s="321">
        <f t="shared" si="40"/>
      </c>
      <c r="Y45" s="321">
        <f t="shared" si="27"/>
      </c>
      <c r="Z45" s="313">
        <f>Z44</f>
      </c>
      <c r="AA45" s="313">
        <f>AA44</f>
      </c>
      <c r="AB45" s="313">
        <f>AB44</f>
      </c>
      <c r="AC45" s="313">
        <f>AC44</f>
      </c>
      <c r="AD45" s="313">
        <f>AD44</f>
      </c>
      <c r="AE45" s="313">
        <f>AE44</f>
      </c>
    </row>
    <row r="46">
      <c r="D46">
        <f>D29+D19+D9</f>
      </c>
      <c r="E46">
        <f>E29+E19+E9</f>
      </c>
      <c r="F46">
        <f>F29+F19+F9</f>
      </c>
      <c r="G46" s="278">
        <f t="shared" si="0"/>
      </c>
      <c r="H46">
        <f>H29+H19+H9</f>
      </c>
      <c r="M46">
        <f>M29+M19+M9</f>
      </c>
      <c r="N46" s="278">
        <f t="shared" si="46"/>
      </c>
      <c r="O46" s="278">
        <f t="shared" si="49"/>
      </c>
      <c r="P46">
        <f>P29+P19+P9</f>
      </c>
      <c r="Q46" s="278">
        <f t="shared" si="37"/>
      </c>
      <c r="R46" s="283">
        <f t="shared" si="47"/>
      </c>
      <c r="S46" s="283">
        <f t="shared" si="50"/>
      </c>
      <c r="AE46" s="323">
        <v>3</v>
      </c>
    </row>
  </sheetData>
  <autoFilter ref="A1:AE47">
    <filterColumn colId="1">
      <filters blank="true">
        <filter val="14:00-15:00"/>
      </filters>
    </filterColumn>
  </autoFilter>
  <mergeCells>
    <mergeCell ref="A2:A11"/>
    <mergeCell ref="B6:C6"/>
    <mergeCell ref="B10:C10"/>
    <mergeCell ref="B11:C11"/>
    <mergeCell ref="B45:C45"/>
    <mergeCell ref="B44:C44"/>
    <mergeCell ref="A41:A45"/>
    <mergeCell ref="A12:A21"/>
    <mergeCell ref="B16:C16"/>
    <mergeCell ref="B20:C20"/>
    <mergeCell ref="B21:C21"/>
    <mergeCell ref="A22:A31"/>
    <mergeCell ref="B26:C26"/>
    <mergeCell ref="B30:C30"/>
    <mergeCell ref="B31:C31"/>
    <mergeCell ref="A32:A40"/>
    <mergeCell ref="B35:C35"/>
    <mergeCell ref="B39:C39"/>
    <mergeCell ref="B40:C40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