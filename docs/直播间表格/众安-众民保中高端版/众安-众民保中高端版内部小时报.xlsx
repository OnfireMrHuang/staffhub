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6年10月" sheetId="2" r:id="rId5"/>
    <sheet name="26年9月" sheetId="3" r:id="rId6"/>
    <sheet name="26年8月" sheetId="4" r:id="rId7"/>
    <sheet name="26年7月" sheetId="5" r:id="rId8"/>
    <sheet name="26年6月" sheetId="6" r:id="rId9"/>
    <sheet name="26年5月" sheetId="7" r:id="rId10"/>
    <sheet name="26年4月" sheetId="8" r:id="rId11"/>
    <sheet name="26年3月" sheetId="9" r:id="rId12"/>
    <sheet name="26年2月" sheetId="10" r:id="rId13"/>
    <sheet name="26年1月" sheetId="11" r:id="rId14"/>
    <sheet name="10月" sheetId="12" r:id="rId15"/>
    <sheet name="11月" sheetId="13" r:id="rId16"/>
    <sheet name="12月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<sst xmlns="http://schemas.openxmlformats.org/spreadsheetml/2006/main" count="1029" uniqueCount="1029">
  <si>
    <t xml:space="preserve">  </t>
  </si>
  <si>
    <t xml:space="preserve">众民保中高端26复盘-2026/10.1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</si>
  <si>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</si>
  <si>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</si>
  <si>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</si>
  <si>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</si>
  <si>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</si>
  <si>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</si>
  <si>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</si>
  <si>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</si>
  <si>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</si>
  <si>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</si>
  <si>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车明鑫</t>
  </si>
  <si>
    <t xml:space="preserve">08:00-12:00</t>
  </si>
  <si>
    <t xml:space="preserve">马浩东</t>
  </si>
  <si>
    <t xml:space="preserve">12:00-17:00</t>
  </si>
  <si>
    <t xml:space="preserve">董亚春</t>
  </si>
  <si>
    <t xml:space="preserve">17:00-19:00</t>
  </si>
  <si>
    <t xml:space="preserve">王梦</t>
  </si>
  <si>
    <t xml:space="preserve">19:00-24:00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</si>
  <si>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</si>
  <si>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</si>
  <si>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</si>
  <si>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</si>
  <si>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</si>
  <si>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</si>
  <si>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</si>
  <si>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</si>
  <si>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</si>
  <si>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</si>
  <si>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</si>
  <si>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众民保中高端26复盘-2026/10.2</t>
  </si>
  <si>
    <t xml:space="preserve">12:00-16:00</t>
  </si>
  <si>
    <t xml:space="preserve">16:00-20:00</t>
  </si>
  <si>
    <t xml:space="preserve">董志慧</t>
  </si>
  <si>
    <t xml:space="preserve">20:00-24:00</t>
  </si>
  <si>
    <t xml:space="preserve">众民保中高端26复盘-2026/10.3</t>
  </si>
  <si>
    <t xml:space="preserve">众民保中高端26复盘-2026/10.4</t>
  </si>
  <si>
    <t xml:space="preserve">众民保中高端26复盘-2026/10.5</t>
  </si>
  <si>
    <t xml:space="preserve">众民保中高端26复盘-2026/10.6</t>
  </si>
  <si>
    <t xml:space="preserve">众民保中高端26复盘-2026/10.7</t>
  </si>
  <si>
    <t xml:space="preserve">众民保中高端26复盘-2026/10.8</t>
  </si>
  <si>
    <t xml:space="preserve">众民保中高端26复盘-2026/10.9</t>
  </si>
  <si>
    <t xml:space="preserve">众民保中高端26复盘-2026/10.10</t>
  </si>
  <si>
    <t xml:space="preserve">众民保中高端26复盘-2026/10.11</t>
  </si>
  <si>
    <t xml:space="preserve">众民保中高端26复盘-2026/10.12</t>
  </si>
  <si>
    <t xml:space="preserve">众民保中高端26复盘-2026/10.13</t>
  </si>
  <si>
    <t xml:space="preserve">众民保中高端26复盘-2026/10.14</t>
  </si>
  <si>
    <t xml:space="preserve">众民保中高端26复盘-2026/10.15</t>
  </si>
  <si>
    <t xml:space="preserve">众民保中高端26复盘-2026/10.16</t>
  </si>
  <si>
    <t xml:space="preserve">众民保中高端26复盘-2026/10.17</t>
  </si>
  <si>
    <t xml:space="preserve">众民保中高端26复盘-2026/10.18</t>
  </si>
  <si>
    <t xml:space="preserve">众民保中高端26复盘-2026/10.19</t>
  </si>
  <si>
    <t xml:space="preserve">众民保中高端26复盘-2026/9.1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</si>
  <si>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</si>
  <si>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</si>
  <si>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</si>
  <si>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</si>
  <si>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</si>
  <si>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</si>
  <si>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</si>
  <si>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</si>
  <si>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</si>
  <si>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</si>
  <si>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王梦</t>
  </si>
  <si>
    <t xml:space="preserve">12:00-16:00</t>
  </si>
  <si>
    <t xml:space="preserve">车明鑫</t>
  </si>
  <si>
    <t xml:space="preserve">16:00-20:00</t>
  </si>
  <si>
    <t xml:space="preserve">董志慧</t>
  </si>
  <si>
    <t xml:space="preserve">20:00-24:00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</si>
  <si>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</si>
  <si>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</si>
  <si>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</si>
  <si>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</si>
  <si>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</si>
  <si>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</si>
  <si>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</si>
  <si>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</si>
  <si>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</si>
  <si>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</si>
  <si>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</si>
  <si>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众民保中高端26复盘-2026/9.2</t>
  </si>
  <si>
    <t xml:space="preserve">众民保中高端26复盘-2026/9.3</t>
  </si>
  <si>
    <t xml:space="preserve">众民保中高端26复盘-2026/9.4</t>
  </si>
  <si>
    <t xml:space="preserve">众民保中高端26复盘-2026/9.5</t>
  </si>
  <si>
    <t xml:space="preserve">众民保中高端26复盘-2026/9.6</t>
  </si>
  <si>
    <t xml:space="preserve">众民保中高端26复盘-2026/9.7</t>
  </si>
  <si>
    <t xml:space="preserve">众民保中高端26复盘-2026/9.8</t>
  </si>
  <si>
    <t xml:space="preserve">众民保中高端26复盘-2026/9.9</t>
  </si>
  <si>
    <t xml:space="preserve">12:00-17:00</t>
  </si>
  <si>
    <t xml:space="preserve">曹慧影</t>
  </si>
  <si>
    <t xml:space="preserve">17:00-19:00</t>
  </si>
  <si>
    <t xml:space="preserve">19:00-24:00</t>
  </si>
  <si>
    <t xml:space="preserve">众民保中高端26复盘-2026/9.10</t>
  </si>
  <si>
    <t xml:space="preserve">众民保中高端26复盘-2026/9.11</t>
  </si>
  <si>
    <t xml:space="preserve">众民保中高端26复盘-2026/9.12</t>
  </si>
  <si>
    <t xml:space="preserve">众民保中高端26复盘-2026/9.13</t>
  </si>
  <si>
    <t xml:space="preserve">众民保中高端26复盘-2026/9.14</t>
  </si>
  <si>
    <t xml:space="preserve">16:00-19:00</t>
  </si>
  <si>
    <t xml:space="preserve">众民保中高端26复盘-2026/9.15</t>
  </si>
  <si>
    <t xml:space="preserve">12:00-15:00</t>
  </si>
  <si>
    <t xml:space="preserve">15:00-19:00</t>
  </si>
  <si>
    <t xml:space="preserve">众民保中高端26复盘-2026/9.16</t>
  </si>
  <si>
    <t xml:space="preserve">12:00-18:00</t>
  </si>
  <si>
    <t xml:space="preserve">18:00-24:00</t>
  </si>
  <si>
    <t xml:space="preserve">众民保中高端26复盘-2026/9.17</t>
  </si>
  <si>
    <t xml:space="preserve">18:00-21:00</t>
  </si>
  <si>
    <t xml:space="preserve">众民保中高端26复盘-2026/9.18</t>
  </si>
  <si>
    <t xml:space="preserve">众民保中高端26复盘-2026/9.19</t>
  </si>
  <si>
    <t xml:space="preserve">19:00-22:00</t>
  </si>
  <si>
    <t xml:space="preserve">众民保中高端26复盘-2026/9.20</t>
  </si>
  <si>
    <t xml:space="preserve">众民保中高端26复盘-2026/9.21</t>
  </si>
  <si>
    <t xml:space="preserve"> </t>
  </si>
  <si>
    <t xml:space="preserve">马浩东</t>
  </si>
  <si>
    <t xml:space="preserve">众民保中高端26复盘-2026/9.23</t>
  </si>
  <si>
    <t xml:space="preserve">众民保中高端26复盘-2026/9.24</t>
  </si>
  <si>
    <t xml:space="preserve">众民保中高端26复盘-2026/9.25</t>
  </si>
  <si>
    <t xml:space="preserve">众民保中高端26复盘-2026/9.26</t>
  </si>
  <si>
    <t xml:space="preserve">众民保中高端26复盘-2026/9.27</t>
  </si>
  <si>
    <t xml:space="preserve">众民保中高端26复盘-2026/9.28</t>
  </si>
  <si>
    <t xml:space="preserve">众民保中高端26复盘-2026/9.29</t>
  </si>
  <si>
    <t xml:space="preserve">08:00-12:00</t>
  </si>
  <si>
    <t xml:space="preserve">众民保中高端26复盘-2026/9.30</t>
  </si>
  <si>
    <t xml:space="preserve">董亚春</t>
  </si>
  <si>
    <t xml:space="preserve">12:00-14:00</t>
  </si>
  <si>
    <t xml:space="preserve">14:00-19:00</t>
  </si>
  <si>
    <t xml:space="preserve">众民保中高端26复盘-2026/8.1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</si>
  <si>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</si>
  <si>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</si>
  <si>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</si>
  <si>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</si>
  <si>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</si>
  <si>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</si>
  <si>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</si>
  <si>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</si>
  <si>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</si>
  <si>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</si>
  <si>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董志慧</t>
  </si>
  <si>
    <t xml:space="preserve">12:00-16:00</t>
  </si>
  <si>
    <t xml:space="preserve">车明鑫</t>
  </si>
  <si>
    <t xml:space="preserve">16:00-20:00</t>
  </si>
  <si>
    <t xml:space="preserve">王梦</t>
  </si>
  <si>
    <t xml:space="preserve">20:00-24:00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</si>
  <si>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</si>
  <si>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</si>
  <si>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</si>
  <si>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</si>
  <si>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</si>
  <si>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</si>
  <si>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</si>
  <si>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</si>
  <si>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</si>
  <si>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</si>
  <si>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</si>
  <si>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众民保中高端26复盘-2026/8.2</t>
  </si>
  <si>
    <t xml:space="preserve">众民保中高端26复盘-2026/8.3</t>
  </si>
  <si>
    <t xml:space="preserve">众民保中高端26复盘-2026/8.4</t>
  </si>
  <si>
    <t xml:space="preserve">12:00-17:00</t>
  </si>
  <si>
    <t xml:space="preserve">17:00-22:00</t>
  </si>
  <si>
    <t xml:space="preserve">众民保中高端26复盘-2026/8.5</t>
  </si>
  <si>
    <t xml:space="preserve">12:00-18:00</t>
  </si>
  <si>
    <t xml:space="preserve">18:00-24:00</t>
  </si>
  <si>
    <t xml:space="preserve">众民保中高端26复盘-2026/8.6</t>
  </si>
  <si>
    <t xml:space="preserve">众民保中高端26复盘-2026/8.7</t>
  </si>
  <si>
    <t xml:space="preserve">众民保中高端26复盘-2026/8.8</t>
  </si>
  <si>
    <t xml:space="preserve">众民保中高端26复盘-2026/8.9</t>
  </si>
  <si>
    <t xml:space="preserve">众民保中高端26复盘-2026/8.10</t>
  </si>
  <si>
    <t xml:space="preserve">众民保中高端26复盘-2026/8.11</t>
  </si>
  <si>
    <t xml:space="preserve">众民保中高端26复盘-2026/8.12</t>
  </si>
  <si>
    <t xml:space="preserve">众民保中高端26复盘-2026/8.13</t>
  </si>
  <si>
    <t xml:space="preserve">众民保中高端26复盘-2026/8.14</t>
  </si>
  <si>
    <t xml:space="preserve">众民保中高端26复盘-2026/8.15</t>
  </si>
  <si>
    <t xml:space="preserve">众民保中高端26复盘-2026/8.16</t>
  </si>
  <si>
    <t xml:space="preserve">众民保中高端26复盘-2026/8.17</t>
  </si>
  <si>
    <t xml:space="preserve">众民保中高端26复盘-2026/8.18</t>
  </si>
  <si>
    <t xml:space="preserve">众民保中高端26复盘-2026/8.19</t>
  </si>
  <si>
    <t xml:space="preserve">众民保中高端26复盘-2026/8.20</t>
  </si>
  <si>
    <t xml:space="preserve">众民保中高端26复盘-2026/8.21</t>
  </si>
  <si>
    <t xml:space="preserve">众民保中高端26复盘-2026/8.22</t>
  </si>
  <si>
    <t xml:space="preserve">众民保中高端26复盘-2026/8.23</t>
  </si>
  <si>
    <t xml:space="preserve">众民保中高端26复盘-2026/8.24</t>
  </si>
  <si>
    <t xml:space="preserve">众民保中高端26复盘-2026/8.25</t>
  </si>
  <si>
    <t xml:space="preserve">众民保中高端26复盘-2026/8.26</t>
  </si>
  <si>
    <t xml:space="preserve">众民保中高端26复盘-2026/8.27</t>
  </si>
  <si>
    <t xml:space="preserve">众民保中高端26复盘-2026/8.28</t>
  </si>
  <si>
    <t xml:space="preserve">众民保中高端26复盘-2026/8.29</t>
  </si>
  <si>
    <t xml:space="preserve">众民保中高端26复盘-2026/8.30</t>
  </si>
  <si>
    <t xml:space="preserve">众民保中高端26复盘-2026/8.31</t>
  </si>
  <si>
    <t xml:space="preserve"> </t>
  </si>
  <si>
    <t xml:space="preserve">众民保中高端26复盘-2026/7.1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</si>
  <si>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</si>
  <si>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</si>
  <si>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</si>
  <si>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</si>
  <si>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</si>
  <si>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</si>
  <si>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</si>
  <si>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</si>
  <si>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</si>
  <si>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</si>
  <si>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董志慧</t>
  </si>
  <si>
    <t xml:space="preserve">12:00-16:00</t>
  </si>
  <si>
    <t xml:space="preserve">王梦</t>
  </si>
  <si>
    <t xml:space="preserve">16:00-20:00</t>
  </si>
  <si>
    <t xml:space="preserve">聂凡</t>
  </si>
  <si>
    <t xml:space="preserve">20:00-24:00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</si>
  <si>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</si>
  <si>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</si>
  <si>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</si>
  <si>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</si>
  <si>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</si>
  <si>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</si>
  <si>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</si>
  <si>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</si>
  <si>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</si>
  <si>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</si>
  <si>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</si>
  <si>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众民保中高端26复盘-2026/7.2</t>
  </si>
  <si>
    <t xml:space="preserve">众民保中高端26复盘-2026/7.3</t>
  </si>
  <si>
    <t xml:space="preserve">众民保中高端26复盘-2026/7.4</t>
  </si>
  <si>
    <t xml:space="preserve">众民保中高端26复盘-2026/7.5</t>
  </si>
  <si>
    <t xml:space="preserve">车明鑫</t>
  </si>
  <si>
    <t xml:space="preserve">众民保中高端26复盘-2026/7.6</t>
  </si>
  <si>
    <t xml:space="preserve">众民保中高端26复盘-2026/7.7</t>
  </si>
  <si>
    <t xml:space="preserve">众民保中高端26复盘-2026/7.8</t>
  </si>
  <si>
    <t xml:space="preserve">12:00-17:00</t>
  </si>
  <si>
    <t xml:space="preserve">17:00-20:00</t>
  </si>
  <si>
    <t xml:space="preserve">众民保中高端26复盘-2026/7.9</t>
  </si>
  <si>
    <t xml:space="preserve">众民保中高端26复盘-2026/7.10</t>
  </si>
  <si>
    <t xml:space="preserve">众民保中高端26复盘-2026/7.11</t>
  </si>
  <si>
    <t xml:space="preserve">众民保中高端26复盘-2026/7.12</t>
  </si>
  <si>
    <t xml:space="preserve">众民保中高端26复盘-2026/7.13</t>
  </si>
  <si>
    <t xml:space="preserve">众民保中高端26复盘-2026/7.14</t>
  </si>
  <si>
    <t xml:space="preserve">20:00-21:00</t>
  </si>
  <si>
    <t xml:space="preserve">众民保中高端26复盘-2026/7.15</t>
  </si>
  <si>
    <t xml:space="preserve">众民保中高端26复盘-2026/7.16</t>
  </si>
  <si>
    <t xml:space="preserve">众民保中高端26复盘-2026/7.17</t>
  </si>
  <si>
    <t xml:space="preserve">众民保中高端26复盘-2026/7.18</t>
  </si>
  <si>
    <t xml:space="preserve">众民保中高端26复盘-2026/7.19</t>
  </si>
  <si>
    <t xml:space="preserve">12:00-18:00</t>
  </si>
  <si>
    <t xml:space="preserve">18:00-24:00</t>
  </si>
  <si>
    <t xml:space="preserve">众民保中高端26复盘-2026/7.20</t>
  </si>
  <si>
    <t xml:space="preserve">众民保中高端26复盘-2026/7.21</t>
  </si>
  <si>
    <t xml:space="preserve">众民保中高端26复盘-2026/7.22</t>
  </si>
  <si>
    <t xml:space="preserve">众民保中高端26复盘-2026/7.23</t>
  </si>
  <si>
    <t xml:space="preserve">众民保中高端26复盘-2026/7.24</t>
  </si>
  <si>
    <t xml:space="preserve">众民保中高端26复盘-2026/7.25</t>
  </si>
  <si>
    <t xml:space="preserve">众民保中高端26复盘-2026/7.26</t>
  </si>
  <si>
    <t xml:space="preserve">众民保中高端26复盘-2026/7.27</t>
  </si>
  <si>
    <t xml:space="preserve">众民保中高端26复盘-2026/7.28</t>
  </si>
  <si>
    <t xml:space="preserve">众民保中高端26复盘-2026/7.29</t>
  </si>
  <si>
    <t xml:space="preserve">众民保中高端26复盘-2026/7.30</t>
  </si>
  <si>
    <t xml:space="preserve">众民保中高端26复盘-2026/7.31</t>
  </si>
  <si>
    <t xml:space="preserve">众民保中高端26复盘-2026/6.1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</si>
  <si>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</si>
  <si>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</si>
  <si>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</si>
  <si>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</si>
  <si>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</si>
  <si>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</si>
  <si>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</si>
  <si>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</si>
  <si>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</si>
  <si>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</si>
  <si>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董志慧</t>
  </si>
  <si>
    <t xml:space="preserve">08:00-13:00 </t>
  </si>
  <si>
    <t xml:space="preserve">孔丹阳</t>
  </si>
  <si>
    <t xml:space="preserve">13:00-16:00</t>
  </si>
  <si>
    <t xml:space="preserve">车明鑫</t>
  </si>
  <si>
    <t xml:space="preserve">16:00-20:00</t>
  </si>
  <si>
    <t xml:space="preserve">王梦</t>
  </si>
  <si>
    <t xml:space="preserve">20:00-24:00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</si>
  <si>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</si>
  <si>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</si>
  <si>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</si>
  <si>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</si>
  <si>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</si>
  <si>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</si>
  <si>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</si>
  <si>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</si>
  <si>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</si>
  <si>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</si>
  <si>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</si>
  <si>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众民保中高端26复盘-2026/6.2</t>
  </si>
  <si>
    <t xml:space="preserve">08:00-12:00 </t>
  </si>
  <si>
    <t xml:space="preserve">12:00-16:00</t>
  </si>
  <si>
    <t xml:space="preserve">聂凡</t>
  </si>
  <si>
    <t xml:space="preserve">众民保中高端26复盘-2026/6.3</t>
  </si>
  <si>
    <t xml:space="preserve">众民保中高端26复盘-2026/6.4</t>
  </si>
  <si>
    <t xml:space="preserve">众民保中高端26复盘-2026/6.5</t>
  </si>
  <si>
    <t xml:space="preserve">众民保中高端26复盘-2026/6.6</t>
  </si>
  <si>
    <t xml:space="preserve">众民保中高端26复盘-2026/6.7</t>
  </si>
  <si>
    <t xml:space="preserve">众民保中高端26复盘-2026/6.8</t>
  </si>
  <si>
    <t xml:space="preserve">众民保中高端26复盘-2026/6.9</t>
  </si>
  <si>
    <t xml:space="preserve">众民保中高端26复盘-2026/6.10</t>
  </si>
  <si>
    <t xml:space="preserve">众民保中高端26复盘-2026/6.11</t>
  </si>
  <si>
    <t xml:space="preserve">众民保中高端26复盘-2026/6.12</t>
  </si>
  <si>
    <t xml:space="preserve">众民保中高端26复盘-2026/6.13</t>
  </si>
  <si>
    <t xml:space="preserve">众民保中高端26复盘-2026/6.14</t>
  </si>
  <si>
    <t xml:space="preserve">众民保中高端26复盘-2026/6.15</t>
  </si>
  <si>
    <t xml:space="preserve">众民保中高端26复盘-2026/6.16</t>
  </si>
  <si>
    <t xml:space="preserve">众民保中高端26复盘-2026/6.17</t>
  </si>
  <si>
    <t xml:space="preserve">众民保中高端26复盘-2026/6.18</t>
  </si>
  <si>
    <t xml:space="preserve">众民保中高端26复盘-2026/6.19</t>
  </si>
  <si>
    <t xml:space="preserve">众民保中高端26复盘-2026/6.20</t>
  </si>
  <si>
    <t xml:space="preserve">众民保中高端26复盘-2026/6.21</t>
  </si>
  <si>
    <t xml:space="preserve">众民保中高端26复盘-2026/6.22</t>
  </si>
  <si>
    <t xml:space="preserve">众民保中高端26复盘-2026/6.23</t>
  </si>
  <si>
    <t xml:space="preserve">众民保中高端26复盘-2026/6.24</t>
  </si>
  <si>
    <t xml:space="preserve">众民保中高端26复盘-2026/6.25</t>
  </si>
  <si>
    <t xml:space="preserve">众民保中高端26复盘-2026/6.26</t>
  </si>
  <si>
    <t xml:space="preserve">众民保中高端26复盘-2026/6.27</t>
  </si>
  <si>
    <t xml:space="preserve">众民保中高端26复盘-2026/6.28</t>
  </si>
  <si>
    <t xml:space="preserve">众民保中高端26复盘-2026/6.29</t>
  </si>
  <si>
    <t xml:space="preserve">众民保中高端26复盘-2026/6.30</t>
  </si>
  <si>
    <t xml:space="preserve">众民保中高端26复盘-2026/5.1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</si>
  <si>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</si>
  <si>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</si>
  <si>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</si>
  <si>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</si>
  <si>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</si>
  <si>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</si>
  <si>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</si>
  <si>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</si>
  <si>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</si>
  <si>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</si>
  <si>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聂凡</t>
  </si>
  <si>
    <t xml:space="preserve">08:00-12:00 </t>
  </si>
  <si>
    <t xml:space="preserve">商红苗</t>
  </si>
  <si>
    <t xml:space="preserve">12:00-14:00</t>
  </si>
  <si>
    <t xml:space="preserve">车明鑫</t>
  </si>
  <si>
    <t xml:space="preserve">14:00-19:00</t>
  </si>
  <si>
    <t xml:space="preserve">董志慧</t>
  </si>
  <si>
    <t xml:space="preserve">19:00-24:00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</si>
  <si>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</si>
  <si>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</si>
  <si>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</si>
  <si>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</si>
  <si>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</si>
  <si>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</si>
  <si>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</si>
  <si>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</si>
  <si>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</si>
  <si>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</si>
  <si>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</si>
  <si>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众民保中高端26复盘-2026/5.2</t>
  </si>
  <si>
    <t xml:space="preserve">众民保中高端26复盘-2026/5.3</t>
  </si>
  <si>
    <t xml:space="preserve">08:00-13:00 </t>
  </si>
  <si>
    <t xml:space="preserve">王梦</t>
  </si>
  <si>
    <t xml:space="preserve">13:00-17:00</t>
  </si>
  <si>
    <t xml:space="preserve">17:00-19:00</t>
  </si>
  <si>
    <t xml:space="preserve">众民保中高端26复盘-2026/5.4</t>
  </si>
  <si>
    <t xml:space="preserve">马浩东 </t>
  </si>
  <si>
    <t xml:space="preserve">众民保中高端26复盘-2026/5.5</t>
  </si>
  <si>
    <t xml:space="preserve">众民保中高端26复盘-2026/5.6</t>
  </si>
  <si>
    <t xml:space="preserve">众民保中高端26复盘-2026/5.7</t>
  </si>
  <si>
    <t xml:space="preserve">众民保中高端26复盘-2026/5.8</t>
  </si>
  <si>
    <t xml:space="preserve">众民保中高端26复盘-2026/5.9</t>
  </si>
  <si>
    <t xml:space="preserve">08:00-12:00</t>
  </si>
  <si>
    <t xml:space="preserve">12:00-16:00</t>
  </si>
  <si>
    <t xml:space="preserve">16:00-20:00</t>
  </si>
  <si>
    <t xml:space="preserve">众民保中高端26复盘-2026/5.10</t>
  </si>
  <si>
    <t xml:space="preserve">众民保中高端26复盘-2026/5.11</t>
  </si>
  <si>
    <t xml:space="preserve">众民保中高端26复盘-2026/5.12</t>
  </si>
  <si>
    <t xml:space="preserve">众民保中高端26复盘-2026/5.13</t>
  </si>
  <si>
    <t xml:space="preserve">20:00-24:00</t>
  </si>
  <si>
    <t xml:space="preserve">众民保中高端26复盘-2026/5.14</t>
  </si>
  <si>
    <t xml:space="preserve">众民保中高端26复盘-2026/5.15</t>
  </si>
  <si>
    <t xml:space="preserve">众民保中高端26复盘-2026/5.16</t>
  </si>
  <si>
    <t xml:space="preserve">众民保中高端26复盘-2026/5.17</t>
  </si>
  <si>
    <t xml:space="preserve">众民保中高端26复盘-2026/5.18</t>
  </si>
  <si>
    <t xml:space="preserve">众民保中高端26复盘-2026/5.19</t>
  </si>
  <si>
    <t xml:space="preserve">众民保中高端26复盘-2026/5.20</t>
  </si>
  <si>
    <t xml:space="preserve">众民保中高端26复盘-2026/5.21</t>
  </si>
  <si>
    <t xml:space="preserve">众民保中高端26复盘-2026/5.22</t>
  </si>
  <si>
    <t xml:space="preserve">众民保中高端26复盘-2026/5.23</t>
  </si>
  <si>
    <t xml:space="preserve">众民保中高端26复盘-2026/5.24</t>
  </si>
  <si>
    <t xml:space="preserve">众民保中高端26复盘-2026/5.25</t>
  </si>
  <si>
    <t xml:space="preserve">众民保中高端26复盘-2026/5.26</t>
  </si>
  <si>
    <t xml:space="preserve">众民保中高端26复盘-2026/5.27</t>
  </si>
  <si>
    <t xml:space="preserve">众民保中高端26复盘-2026/5.28</t>
  </si>
  <si>
    <t xml:space="preserve">众民保中高端26复盘-2026/5.29</t>
  </si>
  <si>
    <t xml:space="preserve">孔丹阳</t>
  </si>
  <si>
    <t xml:space="preserve">16:00-19:00</t>
  </si>
  <si>
    <t xml:space="preserve">众民保中高端26复盘-2026/5.30</t>
  </si>
  <si>
    <t xml:space="preserve">众民保中高端26复盘-2026/5.31</t>
  </si>
  <si>
    <t xml:space="preserve">13:00-16:00</t>
  </si>
  <si>
    <t xml:space="preserve">众民保中高端26复盘-2026/4.1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</si>
  <si>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</si>
  <si>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</si>
  <si>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</si>
  <si>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</si>
  <si>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</si>
  <si>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</si>
  <si>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</si>
  <si>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</si>
  <si>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</si>
  <si>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</si>
  <si>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聂凡</t>
  </si>
  <si>
    <t xml:space="preserve">08:00-12:00</t>
  </si>
  <si>
    <t xml:space="preserve">董志慧</t>
  </si>
  <si>
    <t xml:space="preserve">12:00-14:00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</si>
  <si>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</si>
  <si>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</si>
  <si>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</si>
  <si>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</si>
  <si>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</si>
  <si>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</si>
  <si>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</si>
  <si>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</si>
  <si>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</si>
  <si>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</si>
  <si>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</si>
  <si>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众民保中高端26复盘-2026/4.2</t>
  </si>
  <si>
    <t xml:space="preserve">12:00-16:00</t>
  </si>
  <si>
    <t xml:space="preserve">马浩东</t>
  </si>
  <si>
    <t xml:space="preserve">16:00-20:00</t>
  </si>
  <si>
    <t xml:space="preserve">车明鑫</t>
  </si>
  <si>
    <t xml:space="preserve">20:00-24:00</t>
  </si>
  <si>
    <t xml:space="preserve">众民保中高端26复盘-2026/4.3</t>
  </si>
  <si>
    <t xml:space="preserve">众民保中高端26复盘-2026/4.4</t>
  </si>
  <si>
    <t xml:space="preserve">王梦</t>
  </si>
  <si>
    <t xml:space="preserve">众民保中高端26复盘-2026/4.5</t>
  </si>
  <si>
    <t xml:space="preserve">众民保中高端26复盘-2026/4.6</t>
  </si>
  <si>
    <t xml:space="preserve">众民保中高端26复盘-2026/4.7</t>
  </si>
  <si>
    <t xml:space="preserve">众民保中高端26复盘-2026/4.8</t>
  </si>
  <si>
    <t xml:space="preserve">众民保中高端26复盘-2026/4.9</t>
  </si>
  <si>
    <t xml:space="preserve">16:00-19:00</t>
  </si>
  <si>
    <t xml:space="preserve">19:00-24:00</t>
  </si>
  <si>
    <t xml:space="preserve">众民保中高端26复盘-2026/4.10</t>
  </si>
  <si>
    <t xml:space="preserve">众民保中高端26复盘-2026/4.11</t>
  </si>
  <si>
    <t xml:space="preserve">众民保中高端26复盘-2026/4.12</t>
  </si>
  <si>
    <t xml:space="preserve">08:00-13:00</t>
  </si>
  <si>
    <t xml:space="preserve">13:00-18:00</t>
  </si>
  <si>
    <t xml:space="preserve">18:00-23:00</t>
  </si>
  <si>
    <t xml:space="preserve">众民保中高端26复盘-2026/4.13</t>
  </si>
  <si>
    <t xml:space="preserve">众民保中高端26复盘-2026/4.14</t>
  </si>
  <si>
    <t xml:space="preserve">众民保中高端26复盘-2026/4.15</t>
  </si>
  <si>
    <t xml:space="preserve">众民保中高端26复盘-2026/4.16</t>
  </si>
  <si>
    <t xml:space="preserve">众民保中高端26复盘-2026/4.17</t>
  </si>
  <si>
    <t xml:space="preserve">众民保中高端26复盘-2026/4.18</t>
  </si>
  <si>
    <t xml:space="preserve">众民保中高端26复盘-2026/4.19</t>
  </si>
  <si>
    <t xml:space="preserve">众民保中高端26复盘-2026/4.20</t>
  </si>
  <si>
    <t xml:space="preserve">众民保中高端26复盘-2026/4.21</t>
  </si>
  <si>
    <t xml:space="preserve">06:00-11:00</t>
  </si>
  <si>
    <t xml:space="preserve">11:00-15:00</t>
  </si>
  <si>
    <t xml:space="preserve">15:00-20:00</t>
  </si>
  <si>
    <t xml:space="preserve">众民保中高端26复盘-2026/4.22</t>
  </si>
  <si>
    <t xml:space="preserve">15:00-19:00</t>
  </si>
  <si>
    <t xml:space="preserve">众民保中高端26复盘-2026/4.23</t>
  </si>
  <si>
    <t xml:space="preserve">众民保中高端26复盘-2026/4.24</t>
  </si>
  <si>
    <t xml:space="preserve">13:00-16:00</t>
  </si>
  <si>
    <t xml:space="preserve">众民保中高端26复盘-2026/4.25</t>
  </si>
  <si>
    <t xml:space="preserve">众民保中高端26复盘-2026/4.26</t>
  </si>
  <si>
    <t xml:space="preserve">众民保中高端26复盘-2026/4.27</t>
  </si>
  <si>
    <t xml:space="preserve">众民保中高端26复盘-2026/4.28</t>
  </si>
  <si>
    <t xml:space="preserve">16:00-21:00</t>
  </si>
  <si>
    <t xml:space="preserve">21:00-24:00</t>
  </si>
  <si>
    <t xml:space="preserve">众民保中高端26复盘-2026/4.29</t>
  </si>
  <si>
    <t xml:space="preserve">众民保中高端26复盘-2026/4.30</t>
  </si>
  <si>
    <t xml:space="preserve">21:30-01:30</t>
  </si>
  <si>
    <t xml:space="preserve">众民保百万医疗26复盘-2026/3.1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</si>
  <si>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</si>
  <si>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</si>
  <si>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</si>
  <si>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</si>
  <si>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</si>
  <si>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</si>
  <si>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</si>
  <si>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</si>
  <si>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</si>
  <si>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</si>
  <si>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聂凡</t>
  </si>
  <si>
    <t xml:space="preserve">08:00-12:00</t>
  </si>
  <si>
    <t xml:space="preserve">车明鑫</t>
  </si>
  <si>
    <t xml:space="preserve">12:00-16:00</t>
  </si>
  <si>
    <t xml:space="preserve">马浩东</t>
  </si>
  <si>
    <t xml:space="preserve">16:00-20:00</t>
  </si>
  <si>
    <t xml:space="preserve">董志慧</t>
  </si>
  <si>
    <t xml:space="preserve">20:00-24:00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</si>
  <si>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</si>
  <si>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</si>
  <si>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</si>
  <si>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</si>
  <si>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</si>
  <si>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</si>
  <si>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</si>
  <si>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</si>
  <si>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</si>
  <si>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</si>
  <si>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</si>
  <si>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众民保百万医疗26复盘-2026/3.2</t>
  </si>
  <si>
    <t xml:space="preserve">王梦</t>
  </si>
  <si>
    <t xml:space="preserve">12:00-15:00</t>
  </si>
  <si>
    <t xml:space="preserve">15:00-19:00</t>
  </si>
  <si>
    <t xml:space="preserve">19:00-24:00</t>
  </si>
  <si>
    <t xml:space="preserve">众民保百万医疗26复盘-2026/3.3</t>
  </si>
  <si>
    <t xml:space="preserve">16:00-19:00</t>
  </si>
  <si>
    <t xml:space="preserve">众民保百万医疗26复盘-2026/3.4</t>
  </si>
  <si>
    <t xml:space="preserve">众民保百万医疗26复盘-2026/3.5</t>
  </si>
  <si>
    <t xml:space="preserve">众民保百万医疗26复盘-2026/3.6</t>
  </si>
  <si>
    <t xml:space="preserve">众民保百万医疗26复盘-2026/3.7</t>
  </si>
  <si>
    <t xml:space="preserve">众民保百万医疗26复盘-2026/3.8</t>
  </si>
  <si>
    <t xml:space="preserve">众民保百万医疗26复盘-2026/3.9</t>
  </si>
  <si>
    <t xml:space="preserve">18:00-21:00</t>
  </si>
  <si>
    <t xml:space="preserve">21:00-01:00</t>
  </si>
  <si>
    <t xml:space="preserve">众民保百万医疗26复盘-2026/3.10</t>
  </si>
  <si>
    <t xml:space="preserve">众民保百万医疗26复盘-2026/3.11</t>
  </si>
  <si>
    <t xml:space="preserve">众民保百万医疗26复盘-2026/3.12</t>
  </si>
  <si>
    <t xml:space="preserve">众民保百万医疗26复盘-2026/3.13</t>
  </si>
  <si>
    <t xml:space="preserve">众民保百万医疗26复盘-2026/3.14</t>
  </si>
  <si>
    <t xml:space="preserve">08:00-13:00</t>
  </si>
  <si>
    <t xml:space="preserve">13:00-19:00</t>
  </si>
  <si>
    <t xml:space="preserve">众民保中高端26复盘-2026/3.16</t>
  </si>
  <si>
    <t xml:space="preserve">众民保中高端26复盘-2026/3.17</t>
  </si>
  <si>
    <t xml:space="preserve">众民保中高端26复盘-2026/3.18</t>
  </si>
  <si>
    <t xml:space="preserve">众民保中高端26复盘-2026/3.19</t>
  </si>
  <si>
    <t xml:space="preserve">众民保中高端26复盘-2026/3.20</t>
  </si>
  <si>
    <t xml:space="preserve">众民保中高端26复盘-2026/3.21</t>
  </si>
  <si>
    <t xml:space="preserve">众民保中高端26复盘-2026/3.22</t>
  </si>
  <si>
    <t xml:space="preserve">众民保中高端26复盘-2026/3.23</t>
  </si>
  <si>
    <t xml:space="preserve">众民保中高端26复盘-2026/3.24</t>
  </si>
  <si>
    <t xml:space="preserve">众民保中高端26复盘-2026/3.25</t>
  </si>
  <si>
    <t xml:space="preserve">众民保中高端26复盘-2026/3.26</t>
  </si>
  <si>
    <t xml:space="preserve">众民保中高端26复盘-2026/3.27</t>
  </si>
  <si>
    <t xml:space="preserve">13:00-16:00</t>
  </si>
  <si>
    <t xml:space="preserve">众民保中高端26复盘-2026/3.28</t>
  </si>
  <si>
    <t xml:space="preserve">众民保中高端26复盘-2026/3.29</t>
  </si>
  <si>
    <t xml:space="preserve">众民保中高端26复盘-2026/3.30</t>
  </si>
  <si>
    <t xml:space="preserve">众民保中高端26复盘-2026/3.31</t>
  </si>
  <si>
    <t xml:space="preserve">众民保百万医疗25复盘-2026/2.1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</si>
  <si>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</si>
  <si>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</si>
  <si>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</si>
  <si>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</si>
  <si>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</si>
  <si>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</si>
  <si>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</si>
  <si>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ROI</t>
  </si>
  <si>
    <t xml:space="preserve">平均时耗</t>
  </si>
  <si>
    <t xml:space="preserve">董志慧</t>
  </si>
  <si>
    <t xml:space="preserve">08:00-12:00</t>
  </si>
  <si>
    <t xml:space="preserve">车明鑫</t>
  </si>
  <si>
    <t xml:space="preserve">12:00-16:00</t>
  </si>
  <si>
    <t xml:space="preserve">王梦</t>
  </si>
  <si>
    <t xml:space="preserve">16:00-19:00</t>
  </si>
  <si>
    <t xml:space="preserve">聂凡</t>
  </si>
  <si>
    <t xml:space="preserve">19:00-24:00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</si>
  <si>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</si>
  <si>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</si>
  <si>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</si>
  <si>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</si>
  <si>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</si>
  <si>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</si>
  <si>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</si>
  <si>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</si>
  <si>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</si>
  <si>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</si>
  <si>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</si>
  <si>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众民保百万医疗25复盘-2026/2.2</t>
  </si>
  <si>
    <t xml:space="preserve">马浩东</t>
  </si>
  <si>
    <t xml:space="preserve">众民保百万医疗25复盘-2026/2/3</t>
  </si>
  <si>
    <t xml:space="preserve">10:00-12:00</t>
  </si>
  <si>
    <t xml:space="preserve">16:00-21:00</t>
  </si>
  <si>
    <t xml:space="preserve">21:00-02:00</t>
  </si>
  <si>
    <t xml:space="preserve">众民保百万医疗25复盘-2026/2.4</t>
  </si>
  <si>
    <t xml:space="preserve">16:00-17:00</t>
  </si>
  <si>
    <t xml:space="preserve">17:00-23:00</t>
  </si>
  <si>
    <t xml:space="preserve">众民保百万医疗25复盘-2026/2.6</t>
  </si>
  <si>
    <t xml:space="preserve">众民保百万医疗25复盘-2026/2.7</t>
  </si>
  <si>
    <t xml:space="preserve">12:00-15:00</t>
  </si>
  <si>
    <t xml:space="preserve">15:00-19:00</t>
  </si>
  <si>
    <t xml:space="preserve">众民保百万医疗25复盘-2026/2.8</t>
  </si>
  <si>
    <t xml:space="preserve">成本</t>
  </si>
  <si>
    <t xml:space="preserve">众民保百万医疗25复盘-2026/2.9</t>
  </si>
  <si>
    <t xml:space="preserve">众民保百万医疗25复盘-2026/2.10</t>
  </si>
  <si>
    <t xml:space="preserve">16:00-20:00</t>
  </si>
  <si>
    <t xml:space="preserve">20:00-24:00</t>
  </si>
  <si>
    <t xml:space="preserve">众民保百万医疗25复盘-2026/2.11</t>
  </si>
  <si>
    <t xml:space="preserve">众民保百万医疗25复盘-2026/2.12</t>
  </si>
  <si>
    <t xml:space="preserve">众民保百万医疗25复盘-2026/2.13</t>
  </si>
  <si>
    <t xml:space="preserve">众民保百万医疗25复盘-2026/2.14</t>
  </si>
  <si>
    <t xml:space="preserve">众民保百万医疗25复盘-2026/2.15</t>
  </si>
  <si>
    <t xml:space="preserve">09:00-12:00</t>
  </si>
  <si>
    <t xml:space="preserve">20:00-1:00</t>
  </si>
  <si>
    <t xml:space="preserve">众民保百万医疗25复盘-2026/2.16</t>
  </si>
  <si>
    <t xml:space="preserve">08:00-13:00</t>
  </si>
  <si>
    <t xml:space="preserve">13:00-18:00</t>
  </si>
  <si>
    <t xml:space="preserve">众民保百万医疗25复盘-2026/2.17</t>
  </si>
  <si>
    <t xml:space="preserve">12:00-17:00</t>
  </si>
  <si>
    <t xml:space="preserve">众民保百万医疗25复盘-2026/2.18</t>
  </si>
  <si>
    <t xml:space="preserve">众民保百万医疗25复盘-2026/2.19</t>
  </si>
  <si>
    <t xml:space="preserve">众民保百万医疗25复盘-2026/2.20</t>
  </si>
  <si>
    <t xml:space="preserve">众民保百万医疗25复盘-2026/2.21</t>
  </si>
  <si>
    <t xml:space="preserve">09:00-14:00</t>
  </si>
  <si>
    <t xml:space="preserve">14:00-19:00</t>
  </si>
  <si>
    <t xml:space="preserve">众民保百万医疗25复盘-2026/2.22</t>
  </si>
  <si>
    <t xml:space="preserve">18:00-23:00</t>
  </si>
  <si>
    <t xml:space="preserve">众民保百万医疗25复盘-2026/2.23</t>
  </si>
  <si>
    <t xml:space="preserve">众民保百万医疗25复盘-2026/2.24</t>
  </si>
  <si>
    <t xml:space="preserve">众民保百万医疗25复盘-2026/2.25</t>
  </si>
  <si>
    <t xml:space="preserve">众民保百万医疗25复盘-2026/2.26</t>
  </si>
  <si>
    <t xml:space="preserve">众民保百万医疗25复盘-2026/2.27</t>
  </si>
  <si>
    <t xml:space="preserve">众民保百万医疗25复盘-2026/2.28</t>
  </si>
  <si>
    <t xml:space="preserve">众民保百万医疗25复盘-2026/1.1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</si>
  <si>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</si>
  <si>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</si>
  <si>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</si>
  <si>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</si>
  <si>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</si>
  <si>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</si>
  <si>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件均</t>
  </si>
  <si>
    <t xml:space="preserve">成本</t>
  </si>
  <si>
    <t xml:space="preserve">ROI</t>
  </si>
  <si>
    <t xml:space="preserve">平均时耗</t>
  </si>
  <si>
    <t xml:space="preserve">聂凡</t>
  </si>
  <si>
    <t xml:space="preserve">08:00-12:00</t>
  </si>
  <si>
    <t xml:space="preserve">董志慧</t>
  </si>
  <si>
    <t xml:space="preserve">12:00-16:00</t>
  </si>
  <si>
    <t xml:space="preserve">车明鑫</t>
  </si>
  <si>
    <t xml:space="preserve">16:00-20:00</t>
  </si>
  <si>
    <t xml:space="preserve">总合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</si>
  <si>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</si>
  <si>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</si>
  <si>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</si>
  <si>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</si>
  <si>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</si>
  <si>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</si>
  <si>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</si>
  <si>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家庭单</t>
  </si>
  <si>
    <t xml:space="preserve">订单数</t>
  </si>
  <si>
    <t xml:space="preserve">保单数</t>
  </si>
  <si>
    <t xml:space="preserve">众民保百万医疗25复盘-2026/1.2</t>
  </si>
  <si>
    <t xml:space="preserve">08:00-13:00</t>
  </si>
  <si>
    <t xml:space="preserve">王梦</t>
  </si>
  <si>
    <t xml:space="preserve">13:00-18:00</t>
  </si>
  <si>
    <t xml:space="preserve">18:00-24:00</t>
  </si>
  <si>
    <t xml:space="preserve">众民保百万医疗25复盘-2026/1.3</t>
  </si>
  <si>
    <t xml:space="preserve">20:00-24:00</t>
  </si>
  <si>
    <t xml:space="preserve">众民保百万医疗25复盘-2026/1.4</t>
  </si>
  <si>
    <t xml:space="preserve">众民保百万医疗25复盘-2026/1.5</t>
  </si>
  <si>
    <t xml:space="preserve">众民保百万医疗25复盘-2026/1.6</t>
  </si>
  <si>
    <t xml:space="preserve">12:00-17:00</t>
  </si>
  <si>
    <t xml:space="preserve">马浩东</t>
  </si>
  <si>
    <t xml:space="preserve">17:00-20:00</t>
  </si>
  <si>
    <t xml:space="preserve">众民保百万医疗25复盘-2026/1.7</t>
  </si>
  <si>
    <t xml:space="preserve">众民保百万医疗25复盘-2026/1.8</t>
  </si>
  <si>
    <t xml:space="preserve">众民保百万医疗25复盘-2026/1.9</t>
  </si>
  <si>
    <t xml:space="preserve">08:00-12:30</t>
  </si>
  <si>
    <t xml:space="preserve">12:30-16:00</t>
  </si>
  <si>
    <t xml:space="preserve">众民保百万医疗25复盘-2026/1.10</t>
  </si>
  <si>
    <t xml:space="preserve">众民保百万医疗25复盘-2026/1.11</t>
  </si>
  <si>
    <t xml:space="preserve">众民保百万医疗25复盘-2026/1.12</t>
  </si>
  <si>
    <t xml:space="preserve">众民保百万医疗25复盘-2026/1.13</t>
  </si>
  <si>
    <t xml:space="preserve">众民保百万医疗25复盘-2026/1.14</t>
  </si>
  <si>
    <t xml:space="preserve">众民保百万医疗25复盘-2026/1.15</t>
  </si>
  <si>
    <t xml:space="preserve">众民保百万医疗25复盘-2026/1.16</t>
  </si>
  <si>
    <t xml:space="preserve">众民保百万医疗25复盘-2026/1.17</t>
  </si>
  <si>
    <t xml:space="preserve">众民保百万医疗25复盘-2026/1.18</t>
  </si>
  <si>
    <t xml:space="preserve">众民保百万医疗25复盘-2026/1.19</t>
  </si>
  <si>
    <t xml:space="preserve">众民保百万医疗25复盘-2026/1.20</t>
  </si>
  <si>
    <t xml:space="preserve">16:00-19:00</t>
  </si>
  <si>
    <t xml:space="preserve">19:00-24:00</t>
  </si>
  <si>
    <t xml:space="preserve">众民保百万医疗25复盘-2026/1.21</t>
  </si>
  <si>
    <t xml:space="preserve">13:00-16:00</t>
  </si>
  <si>
    <t xml:space="preserve">众民保百万医疗25复盘-2026/1.22</t>
  </si>
  <si>
    <t xml:space="preserve">13:00-17:00</t>
  </si>
  <si>
    <t xml:space="preserve">众民保百万医疗25复盘-2026/1.23</t>
  </si>
  <si>
    <t xml:space="preserve">众民保百万医疗25复盘-2026/1.24</t>
  </si>
  <si>
    <t xml:space="preserve">众民保百万医疗25复盘-2026/1.25</t>
  </si>
  <si>
    <t xml:space="preserve">众民保百万医疗25复盘-2026/1.26</t>
  </si>
  <si>
    <t xml:space="preserve">17:00-18:30</t>
  </si>
  <si>
    <t xml:space="preserve">众民保百万医疗25复盘-2026/1.27</t>
  </si>
  <si>
    <t xml:space="preserve">众民保百万医疗25复盘-2026/1.28</t>
  </si>
  <si>
    <t xml:space="preserve">众民保百万医疗25复盘-2026/1.29</t>
  </si>
  <si>
    <t xml:space="preserve">众民保百万医疗25复盘-2026/1.30</t>
  </si>
  <si>
    <t xml:space="preserve">众民保百万医疗25复盘-2026/1.31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</si>
  <si>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</si>
  <si>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</si>
  <si>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</si>
  <si>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</si>
  <si>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</si>
  <si>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</si>
  <si>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</si>
  <si>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</si>
  <si>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</si>
  <si>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</si>
  <si>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</si>
  <si>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</si>
  <si>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</si>
  <si>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</si>
  <si>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观看成本</t>
  </si>
  <si>
    <t xml:space="preserve">超1分钟观看率</t>
  </si>
  <si>
    <t xml:space="preserve">保单转化率</t>
  </si>
  <si>
    <t xml:space="preserve">家庭单占比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</si>
  <si>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</si>
  <si>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</si>
  <si>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</si>
  <si>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</si>
  <si>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</si>
  <si>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</si>
  <si>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</si>
  <si>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后台订单提交数</t>
  </si>
  <si>
    <t xml:space="preserve">家庭单</t>
  </si>
  <si>
    <t xml:space="preserve">有效评论</t>
  </si>
  <si>
    <t xml:space="preserve">2025.10.25</t>
  </si>
  <si>
    <t xml:space="preserve">聂凡</t>
  </si>
  <si>
    <t xml:space="preserve">12:00-13:00</t>
  </si>
  <si>
    <t xml:space="preserve">张德华</t>
  </si>
  <si>
    <t xml:space="preserve">闫雪儒</t>
  </si>
  <si>
    <t xml:space="preserve">13:00-14:00</t>
  </si>
  <si>
    <t xml:space="preserve">14:00-15:00</t>
  </si>
  <si>
    <t xml:space="preserve">15:00-16:00</t>
  </si>
  <si>
    <t xml:space="preserve">分主播汇总</t>
  </si>
  <si>
    <t xml:space="preserve">车明鑫</t>
  </si>
  <si>
    <t xml:space="preserve">16:00-17:00</t>
  </si>
  <si>
    <t xml:space="preserve">邓大攀</t>
  </si>
  <si>
    <t xml:space="preserve">魏迪</t>
  </si>
  <si>
    <t xml:space="preserve">17:00-18:00</t>
  </si>
  <si>
    <t xml:space="preserve">18:00-19:00</t>
  </si>
  <si>
    <t xml:space="preserve">19:00-20:00</t>
  </si>
  <si>
    <t xml:space="preserve">董志慧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</si>
  <si>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</si>
  <si>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</si>
  <si>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</si>
  <si>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</si>
  <si>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</si>
  <si>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2025.10.26</t>
  </si>
  <si>
    <t xml:space="preserve">2025.10.27</t>
  </si>
  <si>
    <t xml:space="preserve">陈思钰</t>
  </si>
  <si>
    <t xml:space="preserve">2025.10.28</t>
  </si>
  <si>
    <t xml:space="preserve">李哲</t>
  </si>
  <si>
    <t xml:space="preserve">2025.10.29</t>
  </si>
  <si>
    <t xml:space="preserve">刘梦</t>
  </si>
  <si>
    <t xml:space="preserve">2025.10.30</t>
  </si>
  <si>
    <t xml:space="preserve">张滋怡</t>
  </si>
  <si>
    <t xml:space="preserve">2025.10.31</t>
  </si>
  <si>
    <t xml:space="preserve">2025.10.310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</si>
  <si>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</si>
  <si>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</si>
  <si>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</si>
  <si>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</si>
  <si>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</si>
  <si>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</si>
  <si>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</si>
  <si>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</si>
  <si>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</si>
  <si>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</si>
  <si>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</si>
  <si>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</si>
  <si>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</si>
  <si>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</si>
  <si>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观看成本</t>
  </si>
  <si>
    <t xml:space="preserve">超1分钟观看率</t>
  </si>
  <si>
    <t xml:space="preserve">保单转化率</t>
  </si>
  <si>
    <t xml:space="preserve">家庭单占比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</si>
  <si>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</si>
  <si>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</si>
  <si>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</si>
  <si>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</si>
  <si>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</si>
  <si>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</si>
  <si>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</si>
  <si>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后台订单提交数</t>
  </si>
  <si>
    <t xml:space="preserve">家庭单</t>
  </si>
  <si>
    <t xml:space="preserve">有效评论</t>
  </si>
  <si>
    <t xml:space="preserve">2025.11.1</t>
  </si>
  <si>
    <t xml:space="preserve">聂凡</t>
  </si>
  <si>
    <t xml:space="preserve">12:00-13:00</t>
  </si>
  <si>
    <t xml:space="preserve">张德华</t>
  </si>
  <si>
    <t xml:space="preserve">陈思钰</t>
  </si>
  <si>
    <t xml:space="preserve">13:00-14:00</t>
  </si>
  <si>
    <t xml:space="preserve">14:00-15:00</t>
  </si>
  <si>
    <t xml:space="preserve">15:00-16:00</t>
  </si>
  <si>
    <t xml:space="preserve">分主播汇总</t>
  </si>
  <si>
    <t xml:space="preserve">车明鑫</t>
  </si>
  <si>
    <t xml:space="preserve">16:00-17:00</t>
  </si>
  <si>
    <t xml:space="preserve">邓大攀</t>
  </si>
  <si>
    <t xml:space="preserve">魏迪</t>
  </si>
  <si>
    <t xml:space="preserve">17:00-18:00</t>
  </si>
  <si>
    <t xml:space="preserve">18:00-19:00</t>
  </si>
  <si>
    <t xml:space="preserve">19:00-20:00</t>
  </si>
  <si>
    <t xml:space="preserve">董志慧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</si>
  <si>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</si>
  <si>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</si>
  <si>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</si>
  <si>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</si>
  <si>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</si>
  <si>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2025.11.2</t>
  </si>
  <si>
    <t xml:space="preserve">刘梦</t>
  </si>
  <si>
    <t xml:space="preserve">2025.11.3</t>
  </si>
  <si>
    <t xml:space="preserve">闫雪儒</t>
  </si>
  <si>
    <t xml:space="preserve">回传</t>
  </si>
  <si>
    <t xml:space="preserve">2025.11.4</t>
  </si>
  <si>
    <t xml:space="preserve">08:00-09:00</t>
  </si>
  <si>
    <t xml:space="preserve">高琎梅</t>
  </si>
  <si>
    <t xml:space="preserve">09:00-10:00</t>
  </si>
  <si>
    <t xml:space="preserve">10:00-11:00</t>
  </si>
  <si>
    <t xml:space="preserve">11:00-12:00</t>
  </si>
  <si>
    <t xml:space="preserve">2025.11.5</t>
  </si>
  <si>
    <t xml:space="preserve">杨博</t>
  </si>
  <si>
    <t xml:space="preserve">2025.11.6</t>
  </si>
  <si>
    <t xml:space="preserve">郝子航</t>
  </si>
  <si>
    <t xml:space="preserve">2025.11.7</t>
  </si>
  <si>
    <t xml:space="preserve">2025.11.8</t>
  </si>
  <si>
    <t xml:space="preserve">众民保百万医疗25复盘-2025/11/8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</si>
  <si>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</si>
  <si>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</si>
  <si>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</si>
  <si>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</si>
  <si>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</si>
  <si>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</si>
  <si>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成本</t>
  </si>
  <si>
    <t xml:space="preserve">平均时耗</t>
  </si>
  <si>
    <t xml:space="preserve">08:00-12:00</t>
  </si>
  <si>
    <t xml:space="preserve">12:00-16:00</t>
  </si>
  <si>
    <t xml:space="preserve">16:00-20:00</t>
  </si>
  <si>
    <t xml:space="preserve">20:00-24:00</t>
  </si>
  <si>
    <t xml:space="preserve">当日数据概览:
消耗:             保费:           含时薪RO1:
保单成本:              件均:
支付率:多单占比:</t>
  </si>
  <si>
    <t xml:space="preserve">当日数据概览: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</si>
  <si>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</si>
  <si>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</si>
  <si>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</si>
  <si>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</si>
  <si>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</si>
  <si>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</si>
  <si>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订单数</t>
  </si>
  <si>
    <t xml:space="preserve">保单数</t>
  </si>
  <si>
    <t xml:space="preserve">2025.11.9</t>
  </si>
  <si>
    <t xml:space="preserve">众民保百万医疗25复盘-2025/11/9</t>
  </si>
  <si>
    <t xml:space="preserve">2025.11.10</t>
  </si>
  <si>
    <t xml:space="preserve">2025.11.11</t>
  </si>
  <si>
    <t xml:space="preserve">2025.11.12</t>
  </si>
  <si>
    <t xml:space="preserve">众民保百万医疗25复盘-2025/11/12</t>
  </si>
  <si>
    <t xml:space="preserve">9:00-13:00</t>
  </si>
  <si>
    <t xml:space="preserve">13:00-17:00</t>
  </si>
  <si>
    <t xml:space="preserve">17:00-21:00</t>
  </si>
  <si>
    <t xml:space="preserve">21:00-01:00</t>
  </si>
  <si>
    <t xml:space="preserve">24:00-01:00</t>
  </si>
  <si>
    <t xml:space="preserve">2025.11.13</t>
  </si>
  <si>
    <t xml:space="preserve">众民保百万医疗25复盘-2025/11/13</t>
  </si>
  <si>
    <t xml:space="preserve">2025.11.14</t>
  </si>
  <si>
    <t xml:space="preserve">众民保百万医疗25复盘-2025/11/14</t>
  </si>
  <si>
    <t xml:space="preserve">2025.11.15</t>
  </si>
  <si>
    <t xml:space="preserve">众民保百万医疗25复盘-2025/11/15</t>
  </si>
  <si>
    <t xml:space="preserve">08:00-13:00</t>
  </si>
  <si>
    <t xml:space="preserve">13:00-18:00</t>
  </si>
  <si>
    <t xml:space="preserve">18:00-24:00</t>
  </si>
  <si>
    <t xml:space="preserve">2025.11.16</t>
  </si>
  <si>
    <t xml:space="preserve">众民保百万医疗25复盘-2025/11/16</t>
  </si>
  <si>
    <t xml:space="preserve">2025.11.17</t>
  </si>
  <si>
    <t xml:space="preserve">杨得草</t>
  </si>
  <si>
    <t xml:space="preserve">2025.11.18</t>
  </si>
  <si>
    <t xml:space="preserve">众民保百万医疗25复盘-2025/11/18</t>
  </si>
  <si>
    <t xml:space="preserve">2025.11.19</t>
  </si>
  <si>
    <t xml:space="preserve">众民保百万医疗25复盘-2025/11/19</t>
  </si>
  <si>
    <t xml:space="preserve">2025.11.20</t>
  </si>
  <si>
    <t xml:space="preserve">众民保百万医疗25复盘-2025/11/20</t>
  </si>
  <si>
    <t xml:space="preserve">13:00-16:00</t>
  </si>
  <si>
    <t xml:space="preserve">19:00-24:00</t>
  </si>
  <si>
    <t xml:space="preserve">2025.11.21</t>
  </si>
  <si>
    <t xml:space="preserve">12:00-18:00</t>
  </si>
  <si>
    <t xml:space="preserve">2025.11.22</t>
  </si>
  <si>
    <t xml:space="preserve">众民保百万医疗25复盘-2025/11/22</t>
  </si>
  <si>
    <t xml:space="preserve">李哲</t>
  </si>
  <si>
    <t xml:space="preserve">2025.11.23</t>
  </si>
  <si>
    <t xml:space="preserve"> </t>
  </si>
  <si>
    <t xml:space="preserve">众民保百万医疗25复盘-2025/11/24</t>
  </si>
  <si>
    <t xml:space="preserve">2025.11.24</t>
  </si>
  <si>
    <t xml:space="preserve">余祝海</t>
  </si>
  <si>
    <t xml:space="preserve">众民保百万医疗25复盘-2025/11/25</t>
  </si>
  <si>
    <t xml:space="preserve">2025.11.25</t>
  </si>
  <si>
    <t xml:space="preserve">v</t>
  </si>
  <si>
    <t xml:space="preserve">2025.11.26</t>
  </si>
  <si>
    <t xml:space="preserve">任子硕</t>
  </si>
  <si>
    <t xml:space="preserve">众民保百万医疗25复盘-2025/11/27</t>
  </si>
  <si>
    <t xml:space="preserve">2025.11.27</t>
  </si>
  <si>
    <t xml:space="preserve">众民保百万医疗25复盘-2025/11/26</t>
  </si>
  <si>
    <t xml:space="preserve">2025.11.28</t>
  </si>
  <si>
    <t xml:space="preserve">2025.11.29</t>
  </si>
  <si>
    <t xml:space="preserve">众民保百万医疗25复盘-2025/11/30</t>
  </si>
  <si>
    <t xml:space="preserve">2025.11.30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</si>
  <si>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</si>
  <si>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</si>
  <si>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</si>
  <si>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</si>
  <si>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众民保百万医疗25复盘-2025/12.1</t>
  </si>
  <si>
    <t xml:space="preserve">日期</t>
  </si>
  <si>
    <t xml:space="preserve">主播</t>
  </si>
  <si>
    <t xml:space="preserve">时间段</t>
  </si>
  <si>
    <t xml:space="preserve">总消耗</t>
  </si>
  <si>
    <t xml:space="preserve">成交单量</t>
  </si>
  <si>
    <t xml:space="preserve">回传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</si>
  <si>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</si>
  <si>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</si>
  <si>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</si>
  <si>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</si>
  <si>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</si>
  <si>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观看成本</t>
  </si>
  <si>
    <t xml:space="preserve">超1分钟观看率</t>
  </si>
  <si>
    <t xml:space="preserve">保单转化率</t>
  </si>
  <si>
    <t xml:space="preserve">家庭单占比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</si>
  <si>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</si>
  <si>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</si>
  <si>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</si>
  <si>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</si>
  <si>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</si>
  <si>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</si>
  <si>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</si>
  <si>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后台订单提交数</t>
  </si>
  <si>
    <t xml:space="preserve">家庭单</t>
  </si>
  <si>
    <t xml:space="preserve">有效评论</t>
  </si>
  <si>
    <t xml:space="preserve">主播姓名</t>
  </si>
  <si>
    <t xml:space="preserve">上播时段</t>
  </si>
  <si>
    <t xml:space="preserve">时长</t>
  </si>
  <si>
    <t xml:space="preserve">消耗</t>
  </si>
  <si>
    <t xml:space="preserve">保费</t>
  </si>
  <si>
    <t xml:space="preserve">单量</t>
  </si>
  <si>
    <t xml:space="preserve">成本</t>
  </si>
  <si>
    <t xml:space="preserve">平均时耗</t>
  </si>
  <si>
    <t xml:space="preserve">2025.12.1</t>
  </si>
  <si>
    <t xml:space="preserve">聂凡</t>
  </si>
  <si>
    <t xml:space="preserve">08:00-09:00</t>
  </si>
  <si>
    <t xml:space="preserve">邓大攀</t>
  </si>
  <si>
    <t xml:space="preserve">陈思钰</t>
  </si>
  <si>
    <t xml:space="preserve">08:00-13:00</t>
  </si>
  <si>
    <t xml:space="preserve">09:00-10:00</t>
  </si>
  <si>
    <t xml:space="preserve">车明鑫</t>
  </si>
  <si>
    <t xml:space="preserve">13:00-18:00</t>
  </si>
  <si>
    <t xml:space="preserve">10:00-11:00</t>
  </si>
  <si>
    <t xml:space="preserve">董志慧</t>
  </si>
  <si>
    <t xml:space="preserve">18:00-24:00</t>
  </si>
  <si>
    <t xml:space="preserve">11:00-12:00</t>
  </si>
  <si>
    <t xml:space="preserve">总合</t>
  </si>
  <si>
    <t xml:space="preserve">12:00-13:00</t>
  </si>
  <si>
    <t xml:space="preserve">当日数据概览:</t>
  </si>
  <si>
    <t xml:space="preserve">分主播汇总</t>
  </si>
  <si>
    <t xml:space="preserve">保费:</t>
  </si>
  <si>
    <t xml:space="preserve">业务RO1:</t>
  </si>
  <si>
    <t xml:space="preserve">保单成本:</t>
  </si>
  <si>
    <t xml:space="preserve">件均:</t>
  </si>
  <si>
    <t xml:space="preserve">支付率:</t>
  </si>
  <si>
    <t xml:space="preserve">多单占比:</t>
  </si>
  <si>
    <t xml:space="preserve">订单数</t>
  </si>
  <si>
    <t xml:space="preserve">保单数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</si>
  <si>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</si>
  <si>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</si>
  <si>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</si>
  <si>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</si>
  <si>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魏迪</t>
  </si>
  <si>
    <t xml:space="preserve">17:00-18:00</t>
  </si>
  <si>
    <t xml:space="preserve">18:00-19:00</t>
  </si>
  <si>
    <t xml:space="preserve">张德华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</si>
  <si>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</si>
  <si>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</si>
  <si>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</si>
  <si>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</si>
  <si>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</si>
  <si>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</si>
  <si>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众民保百万医疗25复盘-2025/12.2</t>
  </si>
  <si>
    <t xml:space="preserve">2025.12.2</t>
  </si>
  <si>
    <t xml:space="preserve">刘梦</t>
  </si>
  <si>
    <t xml:space="preserve">杨博</t>
  </si>
  <si>
    <t xml:space="preserve">众民保百万医疗25复盘-2025/12.3</t>
  </si>
  <si>
    <t xml:space="preserve">2025.12.3</t>
  </si>
  <si>
    <t xml:space="preserve">13:00-17:00</t>
  </si>
  <si>
    <t xml:space="preserve">王梦</t>
  </si>
  <si>
    <t xml:space="preserve">17:00-20:00</t>
  </si>
  <si>
    <t xml:space="preserve">20:00-24:00</t>
  </si>
  <si>
    <t xml:space="preserve">任子硕</t>
  </si>
  <si>
    <t xml:space="preserve">众民保百万医疗25复盘-2025/12.4</t>
  </si>
  <si>
    <t xml:space="preserve">2025.12.4</t>
  </si>
  <si>
    <t xml:space="preserve">众民保百万医疗25复盘-2025/12.5</t>
  </si>
  <si>
    <t xml:space="preserve">2025.12.5</t>
  </si>
  <si>
    <t xml:space="preserve">08:00-16:00</t>
  </si>
  <si>
    <t xml:space="preserve">马浩东</t>
  </si>
  <si>
    <t xml:space="preserve">12:00-16:00</t>
  </si>
  <si>
    <t xml:space="preserve">16:00-19:00</t>
  </si>
  <si>
    <t xml:space="preserve">19:00-24:00</t>
  </si>
  <si>
    <t xml:space="preserve">2025.12/6</t>
  </si>
  <si>
    <t xml:space="preserve">众民保百万医疗25复盘-2025/12.6</t>
  </si>
  <si>
    <t xml:space="preserve">16:00-20:00</t>
  </si>
  <si>
    <t xml:space="preserve">众民保百万医疗25复盘-2025/12.7</t>
  </si>
  <si>
    <t xml:space="preserve">2025.12/7</t>
  </si>
  <si>
    <t xml:space="preserve">众民保百万医疗25复盘-2025/12.8</t>
  </si>
  <si>
    <t xml:space="preserve">2025.12/8</t>
  </si>
  <si>
    <t xml:space="preserve">众民保百万医疗25复盘-2025/12.9</t>
  </si>
  <si>
    <t xml:space="preserve">2025.12/9</t>
  </si>
  <si>
    <t xml:space="preserve">何钰梦</t>
  </si>
  <si>
    <t xml:space="preserve">众民保百万医疗25复盘-2025/12.10</t>
  </si>
  <si>
    <t xml:space="preserve">2025.12/10</t>
  </si>
  <si>
    <t xml:space="preserve">众民保百万医疗25复盘-2025/12.11</t>
  </si>
  <si>
    <t xml:space="preserve">2025.12.11</t>
  </si>
  <si>
    <t xml:space="preserve">11:00-16:00</t>
  </si>
  <si>
    <t xml:space="preserve">16:00-21:00</t>
  </si>
  <si>
    <t xml:space="preserve">21:00-02:00</t>
  </si>
  <si>
    <t xml:space="preserve">24:00-01:00</t>
  </si>
  <si>
    <t xml:space="preserve">01:00-02:00</t>
  </si>
  <si>
    <t xml:space="preserve">众民保百万医疗25复盘-2025/12.12</t>
  </si>
  <si>
    <t xml:space="preserve">2025.12/12</t>
  </si>
  <si>
    <t xml:space="preserve">李哲</t>
  </si>
  <si>
    <t xml:space="preserve">众民保百万医疗25复盘-2025/12.13</t>
  </si>
  <si>
    <t xml:space="preserve">2025.12/13</t>
  </si>
  <si>
    <t xml:space="preserve">众民保百万医疗25复盘-2025/12.14</t>
  </si>
  <si>
    <t xml:space="preserve">2025.12/14</t>
  </si>
  <si>
    <t xml:space="preserve">闫雪儒</t>
  </si>
  <si>
    <t xml:space="preserve">17:00-17:30</t>
  </si>
  <si>
    <t xml:space="preserve">18:30-19:00</t>
  </si>
  <si>
    <t xml:space="preserve">众民保百万医疗25复盘-2025/12.15</t>
  </si>
  <si>
    <t xml:space="preserve">2025.12/15</t>
  </si>
  <si>
    <t xml:space="preserve">众民保百万医疗25复盘-2025/12.16</t>
  </si>
  <si>
    <t xml:space="preserve">2025.12/16</t>
  </si>
  <si>
    <t xml:space="preserve">众民保百万医疗25复盘-2025/12.17</t>
  </si>
  <si>
    <t xml:space="preserve">众民保百万医疗25复盘-2025/12.18</t>
  </si>
  <si>
    <t xml:space="preserve">众民保百万医疗25复盘-2025/12.19</t>
  </si>
  <si>
    <t xml:space="preserve">12:00-15:00</t>
  </si>
  <si>
    <t xml:space="preserve">众民保百万医疗25复盘-2025/12.20</t>
  </si>
  <si>
    <t xml:space="preserve">众民保百万医疗25复盘-2025/12.21</t>
  </si>
  <si>
    <t xml:space="preserve">众民保百万医疗25复盘-2025/12.22</t>
  </si>
  <si>
    <t xml:space="preserve">08:00-12:00</t>
  </si>
  <si>
    <t xml:space="preserve">众民保百万医疗25复盘-2025/12.23</t>
  </si>
  <si>
    <t xml:space="preserve">众民保百万医疗25复盘-2025/12.24</t>
  </si>
  <si>
    <t xml:space="preserve">众民保百万医疗25复盘-2025/12.25</t>
  </si>
  <si>
    <t xml:space="preserve">众民保百万医疗25复盘-2025/12.26</t>
  </si>
  <si>
    <t xml:space="preserve">众民保百万医疗25复盘-2025/12.27</t>
  </si>
  <si>
    <t xml:space="preserve">众民保百万医疗25复盘-2025/12.28</t>
  </si>
  <si>
    <t xml:space="preserve">众民保百万医疗25复盘-2025/12.29</t>
  </si>
  <si>
    <t xml:space="preserve">众民保百万医疗25复盘-2025/12.30</t>
  </si>
  <si>
    <t xml:space="preserve">众民保百万医疗25复盘-2025/12.31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</si>
</sst>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6">
    <numFmt numFmtId="164" formatCode="@"/>
    <numFmt numFmtId="165" formatCode="General"/>
    <numFmt numFmtId="166" formatCode="0.00"/>
    <numFmt numFmtId="167" formatCode="0.00_);(0.00)"/>
    <numFmt numFmtId="168" formatCode="0.00%"/>
    <numFmt numFmtId="169" formatCode="#,##0.00"/>
    <numFmt numFmtId="170" formatCode="0"/>
    <numFmt numFmtId="171" formatCode="@"/>
    <numFmt numFmtId="172" formatCode="General"/>
    <numFmt numFmtId="173" formatCode="0.00_);(0.00)"/>
    <numFmt numFmtId="174" formatCode="#,##0.00"/>
    <numFmt numFmtId="175" formatCode="0.00"/>
    <numFmt numFmtId="176" formatCode="0.00%"/>
    <numFmt numFmtId="177" formatCode="0"/>
    <numFmt numFmtId="178" formatCode="@"/>
    <numFmt numFmtId="179" formatCode="General"/>
    <numFmt numFmtId="180" formatCode="0.00_);(0.00)"/>
    <numFmt numFmtId="181" formatCode="0.00"/>
    <numFmt numFmtId="182" formatCode="0.00%"/>
    <numFmt numFmtId="183" formatCode="#,##0.00"/>
    <numFmt numFmtId="184" formatCode="@"/>
    <numFmt numFmtId="185" formatCode="General"/>
    <numFmt numFmtId="186" formatCode="0.00_);(0.00)"/>
    <numFmt numFmtId="187" formatCode="0.00"/>
    <numFmt numFmtId="188" formatCode="0.00%"/>
    <numFmt numFmtId="189" formatCode="@"/>
    <numFmt numFmtId="190" formatCode="General"/>
    <numFmt numFmtId="191" formatCode="0.00_);(0.00)"/>
    <numFmt numFmtId="192" formatCode="0.00"/>
    <numFmt numFmtId="193" formatCode="0.00%"/>
    <numFmt numFmtId="194" formatCode="@"/>
    <numFmt numFmtId="195" formatCode="General"/>
    <numFmt numFmtId="196" formatCode="0.00_);(0.00)"/>
    <numFmt numFmtId="197" formatCode="0.00"/>
    <numFmt numFmtId="198" formatCode="0.00%"/>
    <numFmt numFmtId="199" formatCode="@"/>
    <numFmt numFmtId="200" formatCode="General"/>
    <numFmt numFmtId="201" formatCode="0.00_);(0.00)"/>
    <numFmt numFmtId="202" formatCode="0.00"/>
    <numFmt numFmtId="203" formatCode="0.00%"/>
    <numFmt numFmtId="204" formatCode="@"/>
    <numFmt numFmtId="205" formatCode="General"/>
    <numFmt numFmtId="206" formatCode="0.00_);(0.00)"/>
    <numFmt numFmtId="207" formatCode="0.00"/>
    <numFmt numFmtId="208" formatCode="0.00%"/>
    <numFmt numFmtId="209" formatCode="@"/>
    <numFmt numFmtId="210" formatCode="0.00_);(0.00)"/>
    <numFmt numFmtId="211" formatCode="#,##0.00"/>
    <numFmt numFmtId="212" formatCode="General"/>
    <numFmt numFmtId="213" formatCode="0.00"/>
    <numFmt numFmtId="214" formatCode="0.00%"/>
    <numFmt numFmtId="215" formatCode="@"/>
    <numFmt numFmtId="216" formatCode="0.00_);(0.00)"/>
    <numFmt numFmtId="217" formatCode="General"/>
    <numFmt numFmtId="218" formatCode="0.00"/>
    <numFmt numFmtId="219" formatCode="0.00%"/>
    <numFmt numFmtId="220" formatCode="#,##0.00"/>
    <numFmt numFmtId="221" formatCode="yyyy/m/d"/>
    <numFmt numFmtId="222" formatCode="0.00_);(0.00)"/>
    <numFmt numFmtId="223" formatCode="0_);[Red](0)"/>
    <numFmt numFmtId="224" formatCode="0_);(0)"/>
    <numFmt numFmtId="225" formatCode="0.00;[Red]0.00"/>
    <numFmt numFmtId="226" formatCode="0.00_ "/>
    <numFmt numFmtId="227" formatCode="0.00%"/>
    <numFmt numFmtId="228" formatCode="0.00_);[Red](0.00)"/>
    <numFmt numFmtId="229" formatCode="0.00"/>
    <numFmt numFmtId="230" formatCode="#,##0.00"/>
    <numFmt numFmtId="231" formatCode="0"/>
    <numFmt numFmtId="232" formatCode="General"/>
    <numFmt numFmtId="233" formatCode="yyyy/m/d"/>
    <numFmt numFmtId="234" formatCode="0.00_);(0.00)"/>
    <numFmt numFmtId="235" formatCode="0_);[Red](0)"/>
    <numFmt numFmtId="236" formatCode="0_);(0)"/>
    <numFmt numFmtId="237" formatCode="0.00;[Red]0.00"/>
    <numFmt numFmtId="238" formatCode="0.00_ "/>
    <numFmt numFmtId="239" formatCode="0.00%"/>
    <numFmt numFmtId="240" formatCode="0.00_);[Red](0.00)"/>
    <numFmt numFmtId="241" formatCode="0.00"/>
    <numFmt numFmtId="242" formatCode="#,##0.00"/>
    <numFmt numFmtId="243" formatCode="General"/>
    <numFmt numFmtId="244" formatCode="0"/>
    <numFmt numFmtId="245" formatCode="@"/>
    <numFmt numFmtId="246" formatCode="yyyy/m/d"/>
    <numFmt numFmtId="247" formatCode="0.00_);(0.00)"/>
    <numFmt numFmtId="248" formatCode="0_);[Red](0)"/>
    <numFmt numFmtId="249" formatCode="0_);(0)"/>
    <numFmt numFmtId="250" formatCode="@"/>
    <numFmt numFmtId="251" formatCode="0.00;[Red]0.00"/>
    <numFmt numFmtId="252" formatCode="0.00_ "/>
    <numFmt numFmtId="253" formatCode="0.00%"/>
    <numFmt numFmtId="254" formatCode="0.00_);[Red](0.00)"/>
    <numFmt numFmtId="255" formatCode="0.0_);(0.0)"/>
    <numFmt numFmtId="256" formatCode="0.00"/>
    <numFmt numFmtId="257" formatCode="#,##0.00"/>
    <numFmt numFmtId="258" formatCode="General"/>
    <numFmt numFmtId="259" formatCode="0"/>
  </numFmts>
  <fonts count="13">
    <font>
      <sz val="12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2333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C00000"/>
      <name val="Calibri"/>
      <family val="2"/>
      <scheme val="minor"/>
    </font>
    <font>
      <sz val="11"/>
      <color rgb="FFC60900"/>
      <name val="Calibri"/>
      <family val="2"/>
      <scheme val="minor"/>
    </font>
    <font>
      <sz val="12"/>
      <color rgb="FFC609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31343B"/>
      <name val="Calibri"/>
      <family val="2"/>
      <scheme val="minor"/>
    </font>
  </fonts>
  <fills count="5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AD355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FFF"/>
        <bgColor/>
      </patternFill>
    </fill>
    <fill>
      <patternFill patternType="solid">
        <fgColor rgb="FFBACEFD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AD355"/>
        <bgColor/>
      </patternFill>
    </fill>
  </fills>
  <borders count="6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EBEBE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0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true" applyFont="true" applyNumberFormat="true" applyProtection="false" borderId="1" fillId="3" fontId="1" numFmtId="168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 wrapText="true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70" xfId="0">
      <alignment horizontal="center" vertical="center"/>
    </xf>
    <xf applyAlignment="true" applyBorder="false" applyFill="true" applyFont="true" applyNumberFormat="true" applyProtection="false" borderId="3" fillId="2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 wrapText="true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4" fillId="4" fontId="1" numFmtId="171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true" applyFont="true" applyNumberFormat="true" applyProtection="false" borderId="4" fillId="5" fontId="1" numFmtId="172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74" xfId="0">
      <alignment horizontal="center" vertical="center"/>
    </xf>
    <xf applyAlignment="true" applyBorder="false" applyFill="true" applyFont="true" applyNumberFormat="true" applyProtection="false" borderId="4" fillId="5" fontId="1" numFmtId="173" xfId="0">
      <alignment horizontal="center" vertical="center"/>
    </xf>
    <xf applyAlignment="true" applyBorder="false" applyFill="true" applyFont="true" applyNumberFormat="true" applyProtection="false" borderId="6" fillId="4" fontId="2" numFmtId="172" xfId="0">
      <alignment horizontal="center" vertical="center"/>
    </xf>
    <xf applyAlignment="true" applyBorder="false" applyFill="true" applyFont="true" applyNumberFormat="true" applyProtection="false" borderId="4" fillId="5" fontId="2" numFmtId="172" xfId="0">
      <alignment horizontal="center" vertical="center"/>
    </xf>
    <xf applyAlignment="true" applyBorder="false" applyFill="true" applyFont="true" applyNumberFormat="true" applyProtection="false" borderId="4" fillId="5" fontId="2" numFmtId="172" xfId="0">
      <alignment horizontal="center" vertical="center" wrapText="true"/>
    </xf>
    <xf applyAlignment="true" applyBorder="false" applyFill="false" applyFont="true" applyNumberFormat="true" applyProtection="false" borderId="4" fillId="0" fontId="2" numFmtId="172" xfId="0">
      <alignment horizontal="center" vertical="center"/>
    </xf>
    <xf applyAlignment="true" applyBorder="false" applyFill="false" applyFont="true" applyNumberFormat="true" applyProtection="false" borderId="4" fillId="0" fontId="2" numFmtId="175" xfId="0">
      <alignment horizontal="center" vertical="center"/>
    </xf>
    <xf applyAlignment="true" applyBorder="false" applyFill="false" applyFont="true" applyNumberFormat="true" applyProtection="false" borderId="4" fillId="0" fontId="2" numFmtId="173" xfId="0">
      <alignment horizontal="center" vertical="center"/>
    </xf>
    <xf applyAlignment="true" applyBorder="false" applyFill="false" applyFont="true" applyNumberFormat="true" applyProtection="false" borderId="4" fillId="0" fontId="2" numFmtId="176" xfId="0">
      <alignment horizontal="center" vertical="center"/>
    </xf>
    <xf applyAlignment="true" applyBorder="false" applyFill="false" applyFont="true" applyNumberFormat="true" applyProtection="false" borderId="4" fillId="0" fontId="2" numFmtId="172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true" applyFont="true" applyNumberFormat="true" applyProtection="false" borderId="4" fillId="4" fontId="1" numFmtId="171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4" fillId="0" fontId="1" numFmtId="174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2" numFmtId="172" xfId="0">
      <alignment horizontal="center" vertical="center" wrapText="true"/>
    </xf>
    <xf applyAlignment="true" applyBorder="false" applyFill="false" applyFont="true" applyNumberFormat="true" applyProtection="false" borderId="4" fillId="0" fontId="2" numFmtId="172" xfId="0">
      <alignment horizontal="center" vertical="center"/>
    </xf>
    <xf applyAlignment="true" applyBorder="false" applyFill="false" applyFont="true" applyNumberFormat="true" applyProtection="false" borderId="4" fillId="0" fontId="2" numFmtId="172" xfId="0">
      <alignment horizontal="center" vertical="center"/>
    </xf>
    <xf applyAlignment="true" applyBorder="false" applyFill="true" applyFont="true" applyNumberFormat="true" applyProtection="false" borderId="4" fillId="5" fontId="1" numFmtId="175" xfId="0">
      <alignment horizontal="center" vertical="center"/>
    </xf>
    <xf applyAlignment="true" applyBorder="false" applyFill="true" applyFont="true" applyNumberFormat="true" applyProtection="false" borderId="4" fillId="5" fontId="1" numFmtId="176" xfId="0">
      <alignment horizontal="center" vertical="center"/>
    </xf>
    <xf applyAlignment="true" applyBorder="false" applyFill="false" applyFont="true" applyNumberFormat="true" applyProtection="false" borderId="5" fillId="0" fontId="1" numFmtId="172" xfId="0">
      <alignment horizontal="center" vertical="center"/>
    </xf>
    <xf applyAlignment="true" applyBorder="false" applyFill="false" applyFont="true" applyNumberFormat="true" applyProtection="false" borderId="4" fillId="0" fontId="2" numFmtId="175" xfId="0">
      <alignment horizontal="center" vertical="center" wrapText="true"/>
    </xf>
    <xf applyAlignment="true" applyBorder="false" applyFill="false" applyFont="true" applyNumberFormat="true" applyProtection="false" borderId="4" fillId="0" fontId="1" numFmtId="172" xfId="0">
      <alignment horizontal="center"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true" applyProtection="false" borderId="4" fillId="0" fontId="1" numFmtId="172" xfId="0">
      <alignment horizontal="center" vertical="center"/>
    </xf>
    <xf applyAlignment="true" applyBorder="false" applyFill="false" applyFont="true" applyNumberFormat="true" applyProtection="false" borderId="5" fillId="0" fontId="1" numFmtId="172" xfId="0">
      <alignment horizontal="center"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true" applyProtection="false" borderId="4" fillId="0" fontId="1" numFmtId="175" xfId="0">
      <alignment horizontal="center" vertical="center"/>
    </xf>
    <xf applyAlignment="true" applyBorder="false" applyFill="false" applyFont="true" applyNumberFormat="true" applyProtection="false" borderId="4" fillId="0" fontId="2" numFmtId="175" xfId="0">
      <alignment horizontal="center" vertical="center" wrapText="true"/>
    </xf>
    <xf applyAlignment="true" applyBorder="false" applyFill="true" applyFont="true" applyNumberFormat="true" applyProtection="false" borderId="4" fillId="5" fontId="1" numFmtId="17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7" fillId="6" fontId="1" numFmtId="178" xfId="0">
      <alignment horizontal="center" vertical="center"/>
    </xf>
    <xf applyAlignment="true" applyBorder="false" applyFill="true" applyFont="true" applyNumberFormat="false" applyProtection="false" borderId="7" fillId="7" fontId="1" numFmtId="0" xfId="0">
      <alignment horizontal="center" vertical="center"/>
    </xf>
    <xf applyAlignment="true" applyBorder="false" applyFill="true" applyFont="true" applyNumberFormat="true" applyProtection="false" borderId="7" fillId="7" fontId="1" numFmtId="179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8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true" applyProtection="false" borderId="7" fillId="7" fontId="1" numFmtId="180" xfId="0">
      <alignment horizontal="center" vertical="center"/>
    </xf>
    <xf applyAlignment="true" applyBorder="false" applyFill="true" applyFont="true" applyNumberFormat="true" applyProtection="false" borderId="9" fillId="6" fontId="2" numFmtId="179" xfId="0">
      <alignment horizontal="center" vertical="center"/>
    </xf>
    <xf applyAlignment="true" applyBorder="false" applyFill="true" applyFont="true" applyNumberFormat="true" applyProtection="false" borderId="7" fillId="7" fontId="2" numFmtId="179" xfId="0">
      <alignment horizontal="center" vertical="center"/>
    </xf>
    <xf applyAlignment="true" applyBorder="false" applyFill="true" applyFont="true" applyNumberFormat="true" applyProtection="false" borderId="7" fillId="7" fontId="2" numFmtId="179" xfId="0">
      <alignment horizontal="center" vertical="center" wrapText="true"/>
    </xf>
    <xf applyAlignment="true" applyBorder="false" applyFill="false" applyFont="true" applyNumberFormat="true" applyProtection="false" borderId="7" fillId="0" fontId="2" numFmtId="179" xfId="0">
      <alignment horizontal="center" vertical="center"/>
    </xf>
    <xf applyAlignment="true" applyBorder="false" applyFill="false" applyFont="true" applyNumberFormat="true" applyProtection="false" borderId="7" fillId="0" fontId="2" numFmtId="181" xfId="0">
      <alignment horizontal="center" vertical="center"/>
    </xf>
    <xf applyAlignment="true" applyBorder="false" applyFill="false" applyFont="true" applyNumberFormat="true" applyProtection="false" borderId="7" fillId="0" fontId="2" numFmtId="180" xfId="0">
      <alignment horizontal="center" vertical="center"/>
    </xf>
    <xf applyAlignment="true" applyBorder="false" applyFill="false" applyFont="true" applyNumberFormat="true" applyProtection="false" borderId="7" fillId="0" fontId="2" numFmtId="182" xfId="0">
      <alignment horizontal="center" vertical="center"/>
    </xf>
    <xf applyAlignment="true" applyBorder="false" applyFill="false" applyFont="true" applyNumberFormat="true" applyProtection="false" borderId="7" fillId="0" fontId="2" numFmtId="179" xfId="0">
      <alignment horizontal="center" vertical="center" wrapText="true"/>
    </xf>
    <xf applyAlignment="true" applyBorder="false" applyFill="false" applyFont="true" applyNumberFormat="true" applyProtection="false" borderId="7" fillId="0" fontId="2" numFmtId="179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true" applyProtection="false" borderId="7" fillId="0" fontId="1" numFmtId="183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2" numFmtId="179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0" fillId="8" fontId="1" numFmtId="184" xfId="0">
      <alignment horizontal="center" vertical="center"/>
    </xf>
    <xf applyAlignment="true" applyBorder="false" applyFill="true" applyFont="true" applyNumberFormat="false" applyProtection="false" borderId="10" fillId="9" fontId="1" numFmtId="0" xfId="0">
      <alignment horizontal="center" vertical="center"/>
    </xf>
    <xf applyAlignment="true" applyBorder="false" applyFill="true" applyFont="true" applyNumberFormat="true" applyProtection="false" borderId="10" fillId="9" fontId="1" numFmtId="185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true" applyProtection="false" borderId="10" fillId="0" fontId="1" numFmtId="186" xfId="0">
      <alignment horizontal="center" vertical="center"/>
    </xf>
    <xf applyAlignment="true" applyBorder="false" applyFill="true" applyFont="true" applyNumberFormat="true" applyProtection="false" borderId="10" fillId="9" fontId="1" numFmtId="186" xfId="0">
      <alignment horizontal="center" vertical="center"/>
    </xf>
    <xf applyAlignment="true" applyBorder="false" applyFill="true" applyFont="true" applyNumberFormat="true" applyProtection="false" borderId="12" fillId="8" fontId="2" numFmtId="185" xfId="0">
      <alignment horizontal="center" vertical="center"/>
    </xf>
    <xf applyAlignment="true" applyBorder="false" applyFill="true" applyFont="true" applyNumberFormat="true" applyProtection="false" borderId="10" fillId="9" fontId="2" numFmtId="185" xfId="0">
      <alignment horizontal="center" vertical="center"/>
    </xf>
    <xf applyAlignment="true" applyBorder="false" applyFill="true" applyFont="true" applyNumberFormat="true" applyProtection="false" borderId="10" fillId="9" fontId="2" numFmtId="185" xfId="0">
      <alignment horizontal="center" vertical="center" wrapText="true"/>
    </xf>
    <xf applyAlignment="true" applyBorder="false" applyFill="false" applyFont="true" applyNumberFormat="true" applyProtection="false" borderId="10" fillId="0" fontId="2" numFmtId="185" xfId="0">
      <alignment horizontal="center" vertical="center"/>
    </xf>
    <xf applyAlignment="true" applyBorder="false" applyFill="false" applyFont="true" applyNumberFormat="true" applyProtection="false" borderId="10" fillId="0" fontId="2" numFmtId="187" xfId="0">
      <alignment horizontal="center" vertical="center"/>
    </xf>
    <xf applyAlignment="true" applyBorder="false" applyFill="false" applyFont="true" applyNumberFormat="true" applyProtection="false" borderId="10" fillId="0" fontId="2" numFmtId="186" xfId="0">
      <alignment horizontal="center" vertical="center"/>
    </xf>
    <xf applyAlignment="true" applyBorder="false" applyFill="false" applyFont="true" applyNumberFormat="true" applyProtection="false" borderId="10" fillId="0" fontId="2" numFmtId="188" xfId="0">
      <alignment horizontal="center" vertical="center"/>
    </xf>
    <xf applyAlignment="true" applyBorder="false" applyFill="false" applyFont="true" applyNumberFormat="true" applyProtection="false" borderId="10" fillId="0" fontId="2" numFmtId="185" xfId="0">
      <alignment horizontal="center" vertical="center" wrapText="true"/>
    </xf>
    <xf applyAlignment="true" applyBorder="false" applyFill="false" applyFont="true" applyNumberFormat="true" applyProtection="false" borderId="10" fillId="0" fontId="2" numFmtId="185" xfId="0">
      <alignment horizontal="center" vertical="center" wrapText="true"/>
    </xf>
    <xf applyAlignment="true" applyBorder="false" applyFill="false" applyFont="true" applyNumberFormat="false" applyProtection="false" borderId="1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0" fillId="8" fontId="1" numFmtId="184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13" fillId="10" fontId="1" numFmtId="189" xfId="0">
      <alignment horizontal="center" vertical="center"/>
    </xf>
    <xf applyAlignment="true" applyBorder="false" applyFill="true" applyFont="true" applyNumberFormat="false" applyProtection="false" borderId="13" fillId="11" fontId="1" numFmtId="0" xfId="0">
      <alignment horizontal="center" vertical="center"/>
    </xf>
    <xf applyAlignment="true" applyBorder="false" applyFill="true" applyFont="true" applyNumberFormat="true" applyProtection="false" borderId="13" fillId="11" fontId="1" numFmtId="19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91" xfId="0">
      <alignment horizontal="center" vertical="center"/>
    </xf>
    <xf applyAlignment="true" applyBorder="false" applyFill="true" applyFont="true" applyNumberFormat="true" applyProtection="false" borderId="13" fillId="11" fontId="1" numFmtId="191" xfId="0">
      <alignment horizontal="center" vertical="center"/>
    </xf>
    <xf applyAlignment="true" applyBorder="false" applyFill="true" applyFont="true" applyNumberFormat="true" applyProtection="false" borderId="15" fillId="10" fontId="2" numFmtId="190" xfId="0">
      <alignment horizontal="center" vertical="center"/>
    </xf>
    <xf applyAlignment="true" applyBorder="false" applyFill="true" applyFont="true" applyNumberFormat="true" applyProtection="false" borderId="13" fillId="11" fontId="2" numFmtId="190" xfId="0">
      <alignment horizontal="center" vertical="center"/>
    </xf>
    <xf applyAlignment="true" applyBorder="false" applyFill="true" applyFont="true" applyNumberFormat="true" applyProtection="false" borderId="13" fillId="11" fontId="2" numFmtId="190" xfId="0">
      <alignment horizontal="center" vertical="center" wrapText="true"/>
    </xf>
    <xf applyAlignment="true" applyBorder="false" applyFill="false" applyFont="true" applyNumberFormat="true" applyProtection="false" borderId="13" fillId="0" fontId="2" numFmtId="190" xfId="0">
      <alignment horizontal="center" vertical="center"/>
    </xf>
    <xf applyAlignment="true" applyBorder="false" applyFill="false" applyFont="true" applyNumberFormat="true" applyProtection="false" borderId="13" fillId="0" fontId="2" numFmtId="192" xfId="0">
      <alignment horizontal="center" vertical="center"/>
    </xf>
    <xf applyAlignment="true" applyBorder="false" applyFill="false" applyFont="true" applyNumberFormat="true" applyProtection="false" borderId="13" fillId="0" fontId="2" numFmtId="191" xfId="0">
      <alignment horizontal="center" vertical="center"/>
    </xf>
    <xf applyAlignment="true" applyBorder="false" applyFill="false" applyFont="true" applyNumberFormat="true" applyProtection="false" borderId="13" fillId="0" fontId="2" numFmtId="193" xfId="0">
      <alignment horizontal="center" vertical="center"/>
    </xf>
    <xf applyAlignment="true" applyBorder="false" applyFill="false" applyFont="true" applyNumberFormat="true" applyProtection="false" borderId="13" fillId="0" fontId="2" numFmtId="190" xfId="0">
      <alignment horizontal="center" vertical="center" wrapText="true"/>
    </xf>
    <xf applyAlignment="true" applyBorder="false" applyFill="true" applyFont="true" applyNumberFormat="true" applyProtection="false" borderId="16" fillId="10" fontId="1" numFmtId="189" xfId="0">
      <alignment horizontal="center" vertical="center"/>
    </xf>
    <xf applyAlignment="true" applyBorder="false" applyFill="true" applyFont="true" applyNumberFormat="true" applyProtection="false" borderId="16" fillId="10" fontId="1" numFmtId="189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6" fillId="11" fontId="1" numFmtId="0" xfId="0">
      <alignment horizontal="center" vertical="center"/>
    </xf>
    <xf applyAlignment="true" applyBorder="false" applyFill="true" applyFont="true" applyNumberFormat="true" applyProtection="false" borderId="16" fillId="11" fontId="1" numFmtId="19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true" applyProtection="false" borderId="16" fillId="0" fontId="1" numFmtId="191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true" applyFont="true" applyNumberFormat="true" applyProtection="false" borderId="16" fillId="11" fontId="1" numFmtId="191" xfId="0">
      <alignment horizontal="center" vertical="center"/>
    </xf>
    <xf applyAlignment="true" applyBorder="false" applyFill="true" applyFont="true" applyNumberFormat="true" applyProtection="false" borderId="18" fillId="10" fontId="2" numFmtId="190" xfId="0">
      <alignment horizontal="center" vertical="center"/>
    </xf>
    <xf applyAlignment="true" applyBorder="false" applyFill="true" applyFont="true" applyNumberFormat="true" applyProtection="false" borderId="16" fillId="11" fontId="2" numFmtId="190" xfId="0">
      <alignment horizontal="center" vertical="center"/>
    </xf>
    <xf applyAlignment="true" applyBorder="false" applyFill="true" applyFont="true" applyNumberFormat="true" applyProtection="false" borderId="16" fillId="11" fontId="2" numFmtId="190" xfId="0">
      <alignment horizontal="center" vertical="center" wrapText="true"/>
    </xf>
    <xf applyAlignment="true" applyBorder="false" applyFill="false" applyFont="true" applyNumberFormat="true" applyProtection="false" borderId="16" fillId="0" fontId="2" numFmtId="190" xfId="0">
      <alignment horizontal="center" vertical="center"/>
    </xf>
    <xf applyAlignment="true" applyBorder="false" applyFill="false" applyFont="true" applyNumberFormat="true" applyProtection="false" borderId="16" fillId="0" fontId="2" numFmtId="192" xfId="0">
      <alignment horizontal="center" vertical="center"/>
    </xf>
    <xf applyAlignment="true" applyBorder="false" applyFill="false" applyFont="true" applyNumberFormat="true" applyProtection="false" borderId="16" fillId="0" fontId="2" numFmtId="191" xfId="0">
      <alignment horizontal="center" vertical="center"/>
    </xf>
    <xf applyAlignment="true" applyBorder="false" applyFill="false" applyFont="true" applyNumberFormat="true" applyProtection="false" borderId="16" fillId="0" fontId="2" numFmtId="193" xfId="0">
      <alignment horizontal="center" vertical="center"/>
    </xf>
    <xf applyAlignment="true" applyBorder="false" applyFill="false" applyFont="true" applyNumberFormat="true" applyProtection="false" borderId="16" fillId="0" fontId="2" numFmtId="190" xfId="0">
      <alignment horizontal="center" vertical="center" wrapText="true"/>
    </xf>
    <xf applyAlignment="true" applyBorder="false" applyFill="false" applyFont="true" applyNumberFormat="true" applyProtection="false" borderId="16" fillId="0" fontId="2" numFmtId="19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true" applyProtection="false" borderId="16" fillId="0" fontId="2" numFmtId="19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true" applyProtection="false" borderId="19" fillId="12" fontId="1" numFmtId="194" xfId="0">
      <alignment horizontal="center" vertical="center"/>
    </xf>
    <xf applyAlignment="true" applyBorder="false" applyFill="true" applyFont="true" applyNumberFormat="false" applyProtection="false" borderId="19" fillId="13" fontId="1" numFmtId="0" xfId="0">
      <alignment horizontal="center" vertical="center"/>
    </xf>
    <xf applyAlignment="true" applyBorder="false" applyFill="true" applyFont="true" applyNumberFormat="true" applyProtection="false" borderId="19" fillId="13" fontId="1" numFmtId="195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 wrapText="true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true" applyProtection="false" borderId="19" fillId="0" fontId="1" numFmtId="196" xfId="0">
      <alignment horizontal="center" vertical="center"/>
    </xf>
    <xf applyAlignment="true" applyBorder="false" applyFill="true" applyFont="true" applyNumberFormat="true" applyProtection="false" borderId="19" fillId="13" fontId="1" numFmtId="196" xfId="0">
      <alignment horizontal="center" vertical="center"/>
    </xf>
    <xf applyAlignment="true" applyBorder="false" applyFill="true" applyFont="true" applyNumberFormat="true" applyProtection="false" borderId="21" fillId="12" fontId="2" numFmtId="195" xfId="0">
      <alignment horizontal="center" vertical="center"/>
    </xf>
    <xf applyAlignment="true" applyBorder="false" applyFill="true" applyFont="true" applyNumberFormat="true" applyProtection="false" borderId="22" fillId="13" fontId="2" numFmtId="195" xfId="0">
      <alignment horizontal="center" vertical="center"/>
    </xf>
    <xf applyAlignment="true" applyBorder="false" applyFill="true" applyFont="true" applyNumberFormat="true" applyProtection="false" borderId="22" fillId="13" fontId="2" numFmtId="195" xfId="0">
      <alignment horizontal="center" vertical="center" wrapText="true"/>
    </xf>
    <xf applyAlignment="true" applyBorder="false" applyFill="false" applyFont="true" applyNumberFormat="true" applyProtection="false" borderId="23" fillId="0" fontId="2" numFmtId="195" xfId="0">
      <alignment horizontal="center" vertical="center"/>
    </xf>
    <xf applyAlignment="true" applyBorder="false" applyFill="false" applyFont="true" applyNumberFormat="true" applyProtection="false" borderId="23" fillId="0" fontId="2" numFmtId="197" xfId="0">
      <alignment horizontal="center" vertical="center"/>
    </xf>
    <xf applyAlignment="true" applyBorder="false" applyFill="false" applyFont="true" applyNumberFormat="true" applyProtection="false" borderId="23" fillId="0" fontId="2" numFmtId="196" xfId="0">
      <alignment horizontal="center" vertical="center"/>
    </xf>
    <xf applyAlignment="true" applyBorder="false" applyFill="false" applyFont="true" applyNumberFormat="true" applyProtection="false" borderId="23" fillId="0" fontId="2" numFmtId="198" xfId="0">
      <alignment horizontal="center" vertical="center"/>
    </xf>
    <xf applyAlignment="true" applyBorder="false" applyFill="false" applyFont="true" applyNumberFormat="true" applyProtection="false" borderId="23" fillId="0" fontId="2" numFmtId="195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22" fillId="12" fontId="2" numFmtId="195" xfId="0">
      <alignment horizontal="center" vertical="center"/>
    </xf>
    <xf applyAlignment="true" applyBorder="false" applyFill="true" applyFont="true" applyNumberFormat="true" applyProtection="false" borderId="19" fillId="13" fontId="2" numFmtId="195" xfId="0">
      <alignment horizontal="center" vertical="center"/>
    </xf>
    <xf applyAlignment="true" applyBorder="false" applyFill="true" applyFont="true" applyNumberFormat="true" applyProtection="false" borderId="19" fillId="13" fontId="2" numFmtId="195" xfId="0">
      <alignment horizontal="center" vertical="center" wrapText="true"/>
    </xf>
    <xf applyAlignment="true" applyBorder="false" applyFill="false" applyFont="true" applyNumberFormat="false" applyProtection="false" borderId="19" fillId="0" fontId="2" numFmtId="0" xfId="0">
      <alignment horizontal="center" vertical="center" wrapText="true"/>
    </xf>
    <xf applyAlignment="true" applyBorder="false" applyFill="true" applyFont="true" applyNumberFormat="true" applyProtection="false" borderId="19" fillId="12" fontId="1" numFmtId="194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true" applyProtection="false" borderId="19" fillId="0" fontId="2" numFmtId="195" xfId="0">
      <alignment horizontal="center" vertical="center"/>
    </xf>
    <xf applyAlignment="true" applyBorder="false" applyFill="false" applyFont="true" applyNumberFormat="true" applyProtection="false" borderId="19" fillId="0" fontId="2" numFmtId="197" xfId="0">
      <alignment horizontal="center" vertical="center"/>
    </xf>
    <xf applyAlignment="true" applyBorder="false" applyFill="false" applyFont="true" applyNumberFormat="true" applyProtection="false" borderId="19" fillId="0" fontId="2" numFmtId="196" xfId="0">
      <alignment horizontal="center" vertical="center"/>
    </xf>
    <xf applyAlignment="true" applyBorder="false" applyFill="false" applyFont="true" applyNumberFormat="true" applyProtection="false" borderId="19" fillId="0" fontId="2" numFmtId="198" xfId="0">
      <alignment horizontal="center" vertical="center"/>
    </xf>
    <xf applyAlignment="true" applyBorder="false" applyFill="false" applyFont="true" applyNumberFormat="true" applyProtection="false" borderId="19" fillId="0" fontId="2" numFmtId="195" xfId="0">
      <alignment horizontal="center" vertical="center" wrapText="true"/>
    </xf>
    <xf applyAlignment="true" applyBorder="false" applyFill="false" applyFont="true" applyNumberFormat="true" applyProtection="false" borderId="19" fillId="0" fontId="2" numFmtId="195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24" fillId="14" fontId="1" numFmtId="199" xfId="0">
      <alignment horizontal="center" vertical="center"/>
    </xf>
    <xf applyAlignment="true" applyBorder="false" applyFill="true" applyFont="true" applyNumberFormat="false" applyProtection="false" borderId="24" fillId="15" fontId="1" numFmtId="0" xfId="0">
      <alignment horizontal="center" vertical="center"/>
    </xf>
    <xf applyAlignment="true" applyBorder="false" applyFill="true" applyFont="true" applyNumberFormat="true" applyProtection="false" borderId="24" fillId="15" fontId="1" numFmtId="20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 wrapText="true"/>
    </xf>
    <xf applyAlignment="true" applyBorder="false" applyFill="false" applyFont="true" applyNumberFormat="true" applyProtection="false" borderId="24" fillId="0" fontId="1" numFmtId="201" xfId="0">
      <alignment horizontal="center" vertical="center"/>
    </xf>
    <xf applyAlignment="true" applyBorder="false" applyFill="true" applyFont="true" applyNumberFormat="true" applyProtection="false" borderId="24" fillId="15" fontId="1" numFmtId="201" xfId="0">
      <alignment horizontal="center" vertical="center"/>
    </xf>
    <xf applyAlignment="true" applyBorder="false" applyFill="true" applyFont="true" applyNumberFormat="true" applyProtection="false" borderId="25" fillId="14" fontId="2" numFmtId="200" xfId="0">
      <alignment horizontal="center" vertical="center"/>
    </xf>
    <xf applyAlignment="true" applyBorder="false" applyFill="true" applyFont="true" applyNumberFormat="true" applyProtection="false" borderId="24" fillId="15" fontId="2" numFmtId="200" xfId="0">
      <alignment horizontal="center" vertical="center"/>
    </xf>
    <xf applyAlignment="true" applyBorder="false" applyFill="true" applyFont="true" applyNumberFormat="true" applyProtection="false" borderId="24" fillId="15" fontId="2" numFmtId="200" xfId="0">
      <alignment horizontal="center" vertical="center" wrapText="true"/>
    </xf>
    <xf applyAlignment="true" applyBorder="false" applyFill="false" applyFont="true" applyNumberFormat="true" applyProtection="false" borderId="24" fillId="0" fontId="2" numFmtId="200" xfId="0">
      <alignment horizontal="center" vertical="center"/>
    </xf>
    <xf applyAlignment="true" applyBorder="false" applyFill="false" applyFont="true" applyNumberFormat="true" applyProtection="false" borderId="24" fillId="0" fontId="2" numFmtId="202" xfId="0">
      <alignment horizontal="center" vertical="center"/>
    </xf>
    <xf applyAlignment="true" applyBorder="false" applyFill="false" applyFont="true" applyNumberFormat="true" applyProtection="false" borderId="24" fillId="0" fontId="2" numFmtId="201" xfId="0">
      <alignment horizontal="center" vertical="center"/>
    </xf>
    <xf applyAlignment="true" applyBorder="false" applyFill="false" applyFont="true" applyNumberFormat="true" applyProtection="false" borderId="24" fillId="0" fontId="2" numFmtId="203" xfId="0">
      <alignment horizontal="center" vertical="center"/>
    </xf>
    <xf applyAlignment="true" applyBorder="false" applyFill="false" applyFont="true" applyNumberFormat="true" applyProtection="false" borderId="24" fillId="0" fontId="2" numFmtId="200" xfId="0">
      <alignment horizontal="center" vertical="center" wrapText="true"/>
    </xf>
    <xf applyAlignment="true" applyBorder="false" applyFill="false" applyFont="true" applyNumberFormat="true" applyProtection="false" borderId="24" fillId="0" fontId="2" numFmtId="200" xfId="0">
      <alignment horizontal="center" vertical="center" wrapText="true"/>
    </xf>
    <xf applyAlignment="true" applyBorder="false" applyFill="false" applyFont="true" applyNumberFormat="false" applyProtection="false" borderId="24" fillId="0" fontId="2" numFmtId="0" xfId="0">
      <alignment horizontal="center" vertical="center" wrapText="true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8" fillId="0" fontId="2" numFmtId="200" xfId="0">
      <alignment horizontal="center" vertical="center"/>
    </xf>
    <xf applyAlignment="true" applyBorder="false" applyFill="false" applyFont="true" applyNumberFormat="true" applyProtection="false" borderId="28" fillId="0" fontId="2" numFmtId="202" xfId="0">
      <alignment horizontal="center" vertical="center"/>
    </xf>
    <xf applyAlignment="true" applyBorder="false" applyFill="false" applyFont="true" applyNumberFormat="true" applyProtection="false" borderId="28" fillId="0" fontId="2" numFmtId="201" xfId="0">
      <alignment horizontal="center" vertical="center"/>
    </xf>
    <xf applyAlignment="true" applyBorder="false" applyFill="false" applyFont="true" applyNumberFormat="true" applyProtection="false" borderId="28" fillId="0" fontId="2" numFmtId="203" xfId="0">
      <alignment horizontal="center" vertical="center"/>
    </xf>
    <xf applyAlignment="true" applyBorder="false" applyFill="false" applyFont="true" applyNumberFormat="true" applyProtection="false" borderId="28" fillId="0" fontId="2" numFmtId="200" xfId="0">
      <alignment horizontal="center" vertical="center" wrapText="true"/>
    </xf>
    <xf applyAlignment="true" applyBorder="false" applyFill="true" applyFont="true" applyNumberFormat="true" applyProtection="false" borderId="24" fillId="14" fontId="1" numFmtId="199" xfId="0">
      <alignment horizontal="center" vertical="center"/>
    </xf>
    <xf applyAlignment="true" applyBorder="false" applyFill="true" applyFont="true" applyNumberFormat="true" applyProtection="false" borderId="24" fillId="16" fontId="2" numFmtId="202" xfId="0">
      <alignment horizontal="center" vertical="center"/>
    </xf>
    <xf applyAlignment="true" applyBorder="false" applyFill="true" applyFont="true" applyNumberFormat="true" applyProtection="false" borderId="24" fillId="16" fontId="2" numFmtId="202" xfId="0">
      <alignment horizontal="center" vertical="center"/>
    </xf>
    <xf applyAlignment="true" applyBorder="false" applyFill="true" applyFont="true" applyNumberFormat="true" applyProtection="false" borderId="29" fillId="17" fontId="1" numFmtId="204" xfId="0">
      <alignment horizontal="center" vertical="center"/>
    </xf>
    <xf applyAlignment="true" applyBorder="false" applyFill="true" applyFont="true" applyNumberFormat="false" applyProtection="false" borderId="29" fillId="18" fontId="1" numFmtId="0" xfId="0">
      <alignment horizontal="center" vertical="center"/>
    </xf>
    <xf applyAlignment="true" applyBorder="false" applyFill="true" applyFont="true" applyNumberFormat="true" applyProtection="false" borderId="29" fillId="18" fontId="1" numFmtId="205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2" numFmtId="0" xfId="0">
      <alignment horizontal="center" vertical="center" wrapText="true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true" applyProtection="false" borderId="29" fillId="0" fontId="1" numFmtId="206" xfId="0">
      <alignment horizontal="center" vertical="center"/>
    </xf>
    <xf applyAlignment="true" applyBorder="false" applyFill="true" applyFont="true" applyNumberFormat="true" applyProtection="false" borderId="29" fillId="18" fontId="1" numFmtId="206" xfId="0">
      <alignment horizontal="center" vertical="center"/>
    </xf>
    <xf applyAlignment="true" applyBorder="false" applyFill="true" applyFont="true" applyNumberFormat="true" applyProtection="false" borderId="30" fillId="17" fontId="2" numFmtId="205" xfId="0">
      <alignment horizontal="center" vertical="center"/>
    </xf>
    <xf applyAlignment="true" applyBorder="false" applyFill="true" applyFont="true" applyNumberFormat="true" applyProtection="false" borderId="29" fillId="18" fontId="2" numFmtId="205" xfId="0">
      <alignment horizontal="center" vertical="center"/>
    </xf>
    <xf applyAlignment="true" applyBorder="false" applyFill="true" applyFont="true" applyNumberFormat="true" applyProtection="false" borderId="29" fillId="18" fontId="2" numFmtId="205" xfId="0">
      <alignment horizontal="center" vertical="center" wrapText="true"/>
    </xf>
    <xf applyAlignment="true" applyBorder="false" applyFill="false" applyFont="true" applyNumberFormat="true" applyProtection="false" borderId="29" fillId="0" fontId="2" numFmtId="205" xfId="0">
      <alignment horizontal="center" vertical="center"/>
    </xf>
    <xf applyAlignment="true" applyBorder="false" applyFill="false" applyFont="true" applyNumberFormat="true" applyProtection="false" borderId="29" fillId="0" fontId="2" numFmtId="207" xfId="0">
      <alignment horizontal="center" vertical="center"/>
    </xf>
    <xf applyAlignment="true" applyBorder="false" applyFill="false" applyFont="true" applyNumberFormat="true" applyProtection="false" borderId="29" fillId="0" fontId="2" numFmtId="206" xfId="0">
      <alignment horizontal="center" vertical="center"/>
    </xf>
    <xf applyAlignment="true" applyBorder="false" applyFill="false" applyFont="true" applyNumberFormat="true" applyProtection="false" borderId="29" fillId="0" fontId="2" numFmtId="208" xfId="0">
      <alignment horizontal="center" vertical="center"/>
    </xf>
    <xf applyAlignment="true" applyBorder="false" applyFill="false" applyFont="true" applyNumberFormat="true" applyProtection="false" borderId="29" fillId="0" fontId="2" numFmtId="205" xfId="0">
      <alignment horizontal="center" vertical="center" wrapText="true"/>
    </xf>
    <xf applyAlignment="true" applyBorder="false" applyFill="false" applyFont="true" applyNumberFormat="true" applyProtection="false" borderId="29" fillId="0" fontId="2" numFmtId="205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horizontal="center" vertical="center" wrapText="true"/>
    </xf>
    <xf applyAlignment="true" applyBorder="false" applyFill="false" applyFont="true" applyNumberFormat="true" applyProtection="false" borderId="29" fillId="0" fontId="2" numFmtId="205" xfId="0">
      <alignment horizontal="center" vertical="center" wrapText="true"/>
    </xf>
    <xf applyAlignment="true" applyBorder="false" applyFill="true" applyFont="true" applyNumberFormat="true" applyProtection="false" borderId="31" fillId="19" fontId="1" numFmtId="209" xfId="0">
      <alignment horizontal="center" vertical="center"/>
    </xf>
    <xf applyAlignment="true" applyBorder="false" applyFill="true" applyFont="true" applyNumberFormat="false" applyProtection="false" borderId="31" fillId="20" fontId="1" numFmtId="0" xfId="0">
      <alignment horizontal="center" vertical="center"/>
    </xf>
    <xf applyAlignment="true" applyBorder="false" applyFill="true" applyFont="true" applyNumberFormat="false" applyProtection="false" borderId="31" fillId="20" fontId="1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 wrapText="true"/>
    </xf>
    <xf applyAlignment="true" applyBorder="false" applyFill="false" applyFont="true" applyNumberFormat="true" applyProtection="false" borderId="31" fillId="0" fontId="1" numFmtId="210" xfId="0">
      <alignment horizontal="center" vertical="center"/>
    </xf>
    <xf applyAlignment="true" applyBorder="false" applyFill="false" applyFont="true" applyNumberFormat="true" applyProtection="false" borderId="31" fillId="0" fontId="1" numFmtId="211" xfId="0">
      <alignment horizontal="center" vertical="center"/>
    </xf>
    <xf applyAlignment="true" applyBorder="false" applyFill="true" applyFont="true" applyNumberFormat="true" applyProtection="false" borderId="31" fillId="20" fontId="1" numFmtId="210" xfId="0">
      <alignment horizontal="center" vertical="center"/>
    </xf>
    <xf applyAlignment="true" applyBorder="false" applyFill="true" applyFont="true" applyNumberFormat="true" applyProtection="false" borderId="32" fillId="19" fontId="2" numFmtId="212" xfId="0">
      <alignment horizontal="center" vertical="center"/>
    </xf>
    <xf applyAlignment="true" applyBorder="false" applyFill="true" applyFont="true" applyNumberFormat="true" applyProtection="false" borderId="31" fillId="20" fontId="2" numFmtId="212" xfId="0">
      <alignment horizontal="center" vertical="center"/>
    </xf>
    <xf applyAlignment="true" applyBorder="false" applyFill="true" applyFont="true" applyNumberFormat="true" applyProtection="false" borderId="31" fillId="20" fontId="2" numFmtId="212" xfId="0">
      <alignment horizontal="center" vertical="center" wrapText="true"/>
    </xf>
    <xf applyAlignment="true" applyBorder="false" applyFill="false" applyFont="true" applyNumberFormat="true" applyProtection="false" borderId="31" fillId="0" fontId="2" numFmtId="212" xfId="0">
      <alignment horizontal="center" vertical="center"/>
    </xf>
    <xf applyAlignment="true" applyBorder="false" applyFill="false" applyFont="true" applyNumberFormat="true" applyProtection="false" borderId="31" fillId="0" fontId="2" numFmtId="213" xfId="0">
      <alignment horizontal="center" vertical="center"/>
    </xf>
    <xf applyAlignment="true" applyBorder="false" applyFill="false" applyFont="true" applyNumberFormat="true" applyProtection="false" borderId="31" fillId="0" fontId="2" numFmtId="210" xfId="0">
      <alignment horizontal="center" vertical="center"/>
    </xf>
    <xf applyAlignment="true" applyBorder="false" applyFill="false" applyFont="true" applyNumberFormat="true" applyProtection="false" borderId="31" fillId="0" fontId="2" numFmtId="214" xfId="0">
      <alignment horizontal="center" vertical="center"/>
    </xf>
    <xf applyAlignment="true" applyBorder="false" applyFill="false" applyFont="true" applyNumberFormat="true" applyProtection="false" borderId="31" fillId="0" fontId="2" numFmtId="212" xfId="0">
      <alignment horizontal="center" vertical="center" wrapText="true"/>
    </xf>
    <xf applyAlignment="true" applyBorder="false" applyFill="true" applyFont="true" applyNumberFormat="true" applyProtection="false" borderId="31" fillId="19" fontId="1" numFmtId="209" xfId="0">
      <alignment horizontal="center" vertical="center"/>
    </xf>
    <xf applyAlignment="true" applyBorder="false" applyFill="true" applyFont="true" applyNumberFormat="true" applyProtection="false" borderId="31" fillId="20" fontId="1" numFmtId="212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 wrapText="true"/>
    </xf>
    <xf applyAlignment="true" applyBorder="false" applyFill="false" applyFont="true" applyNumberFormat="true" applyProtection="false" borderId="31" fillId="0" fontId="2" numFmtId="212" xfId="0">
      <alignment horizontal="center" vertical="center" wrapText="true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true" applyProtection="false" borderId="31" fillId="0" fontId="2" numFmtId="212" xfId="0">
      <alignment horizontal="center" vertical="center" wrapText="true"/>
    </xf>
    <xf applyAlignment="true" applyBorder="false" applyFill="false" applyFont="true" applyNumberFormat="true" applyProtection="false" borderId="31" fillId="0" fontId="2" numFmtId="210" xfId="0">
      <alignment horizontal="center" vertical="center"/>
    </xf>
    <xf applyAlignment="true" applyBorder="false" applyFill="false" applyFont="true" applyNumberFormat="true" applyProtection="false" borderId="31" fillId="0" fontId="2" numFmtId="213" xfId="0">
      <alignment horizontal="center" vertical="center"/>
    </xf>
    <xf applyAlignment="true" applyBorder="false" applyFill="true" applyFont="true" applyNumberFormat="true" applyProtection="false" borderId="33" fillId="21" fontId="1" numFmtId="215" xfId="0">
      <alignment horizontal="center" vertical="center"/>
    </xf>
    <xf applyAlignment="true" applyBorder="false" applyFill="true" applyFont="true" applyNumberFormat="false" applyProtection="false" borderId="33" fillId="22" fontId="1" numFmtId="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 wrapText="true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false" applyFont="true" applyNumberFormat="true" applyProtection="false" borderId="33" fillId="0" fontId="1" numFmtId="216" xfId="0">
      <alignment horizontal="center" vertical="center"/>
    </xf>
    <xf applyAlignment="true" applyBorder="false" applyFill="true" applyFont="true" applyNumberFormat="true" applyProtection="false" borderId="33" fillId="22" fontId="1" numFmtId="216" xfId="0">
      <alignment horizontal="center" vertical="center"/>
    </xf>
    <xf applyAlignment="true" applyBorder="false" applyFill="true" applyFont="true" applyNumberFormat="true" applyProtection="false" borderId="34" fillId="21" fontId="2" numFmtId="217" xfId="0">
      <alignment horizontal="center" vertical="center"/>
    </xf>
    <xf applyAlignment="true" applyBorder="false" applyFill="true" applyFont="true" applyNumberFormat="true" applyProtection="false" borderId="33" fillId="22" fontId="2" numFmtId="217" xfId="0">
      <alignment horizontal="center" vertical="center"/>
    </xf>
    <xf applyAlignment="true" applyBorder="false" applyFill="true" applyFont="true" applyNumberFormat="true" applyProtection="false" borderId="33" fillId="22" fontId="2" numFmtId="217" xfId="0">
      <alignment horizontal="center" vertical="center" wrapText="true"/>
    </xf>
    <xf applyAlignment="true" applyBorder="false" applyFill="false" applyFont="true" applyNumberFormat="true" applyProtection="false" borderId="33" fillId="0" fontId="2" numFmtId="217" xfId="0">
      <alignment horizontal="center" vertical="center"/>
    </xf>
    <xf applyAlignment="true" applyBorder="false" applyFill="false" applyFont="true" applyNumberFormat="true" applyProtection="false" borderId="33" fillId="0" fontId="2" numFmtId="218" xfId="0">
      <alignment horizontal="center" vertical="center"/>
    </xf>
    <xf applyAlignment="true" applyBorder="false" applyFill="false" applyFont="true" applyNumberFormat="true" applyProtection="false" borderId="33" fillId="0" fontId="2" numFmtId="216" xfId="0">
      <alignment horizontal="center" vertical="center"/>
    </xf>
    <xf applyAlignment="true" applyBorder="false" applyFill="false" applyFont="true" applyNumberFormat="true" applyProtection="false" borderId="33" fillId="0" fontId="2" numFmtId="219" xfId="0">
      <alignment horizontal="center" vertical="center"/>
    </xf>
    <xf applyAlignment="true" applyBorder="false" applyFill="false" applyFont="true" applyNumberFormat="true" applyProtection="false" borderId="33" fillId="0" fontId="2" numFmtId="217" xfId="0">
      <alignment horizontal="center" vertical="center" wrapText="true"/>
    </xf>
    <xf applyAlignment="true" applyBorder="false" applyFill="false" applyFont="true" applyNumberFormat="true" applyProtection="false" borderId="33" fillId="0" fontId="2" numFmtId="217" xfId="0">
      <alignment horizontal="center" vertical="center" wrapText="true"/>
    </xf>
    <xf applyAlignment="true" applyBorder="false" applyFill="false" applyFont="true" applyNumberFormat="false" applyProtection="false" borderId="33" fillId="0" fontId="2" numFmtId="0" xfId="0">
      <alignment horizontal="center" vertical="center" wrapText="true"/>
    </xf>
    <xf applyAlignment="true" applyBorder="false" applyFill="true" applyFont="true" applyNumberFormat="true" applyProtection="false" borderId="33" fillId="21" fontId="1" numFmtId="215" xfId="0">
      <alignment horizontal="center" vertical="center"/>
    </xf>
    <xf applyAlignment="true" applyBorder="false" applyFill="false" applyFont="true" applyNumberFormat="true" applyProtection="false" borderId="33" fillId="0" fontId="1" numFmtId="220" xfId="0">
      <alignment horizontal="center" vertical="center"/>
    </xf>
    <xf applyAlignment="true" applyBorder="false" applyFill="true" applyFont="true" applyNumberFormat="false" applyProtection="false" borderId="33" fillId="22" fontId="1" numFmtId="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center"/>
    </xf>
    <xf applyAlignment="true" applyBorder="false" applyFill="false" applyFont="true" applyNumberFormat="true" applyProtection="false" borderId="33" fillId="0" fontId="2" numFmtId="217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35" fillId="23" fontId="2" numFmtId="221" xfId="0">
      <alignment horizontal="center" vertical="center"/>
    </xf>
    <xf applyAlignment="true" applyBorder="false" applyFill="true" applyFont="true" applyNumberFormat="true" applyProtection="false" borderId="35" fillId="24" fontId="2" numFmtId="222" xfId="0">
      <alignment horizontal="center" vertical="center"/>
    </xf>
    <xf applyAlignment="true" applyBorder="false" applyFill="true" applyFont="true" applyNumberFormat="false" applyProtection="false" borderId="35" fillId="25" fontId="2" numFmtId="0" xfId="0">
      <alignment horizontal="center" vertical="center"/>
    </xf>
    <xf applyAlignment="true" applyBorder="false" applyFill="true" applyFont="true" applyNumberFormat="true" applyProtection="false" borderId="36" fillId="26" fontId="4" numFmtId="223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37" fillId="23" fontId="2" numFmtId="0" xfId="0">
      <alignment horizontal="center" vertical="center"/>
    </xf>
    <xf applyAlignment="true" applyBorder="false" applyFill="true" applyFont="true" applyNumberFormat="true" applyProtection="false" borderId="37" fillId="24" fontId="2" numFmtId="222" xfId="0">
      <alignment horizontal="center" vertical="center"/>
    </xf>
    <xf applyAlignment="true" applyBorder="false" applyFill="true" applyFont="true" applyNumberFormat="true" applyProtection="false" borderId="37" fillId="24" fontId="2" numFmtId="224" xfId="0">
      <alignment horizontal="center" vertical="center"/>
    </xf>
    <xf applyAlignment="true" applyBorder="false" applyFill="true" applyFont="true" applyNumberFormat="true" applyProtection="false" borderId="37" fillId="24" fontId="2" numFmtId="225" xfId="0">
      <alignment horizontal="center" vertical="center"/>
    </xf>
    <xf applyAlignment="true" applyBorder="false" applyFill="true" applyFont="true" applyNumberFormat="true" applyProtection="false" borderId="37" fillId="24" fontId="2" numFmtId="226" xfId="0">
      <alignment horizontal="center" vertical="center"/>
    </xf>
    <xf applyAlignment="true" applyBorder="false" applyFill="true" applyFont="true" applyNumberFormat="true" applyProtection="false" borderId="37" fillId="25" fontId="2" numFmtId="227" xfId="0">
      <alignment horizontal="center" vertical="center"/>
    </xf>
    <xf applyAlignment="true" applyBorder="false" applyFill="true" applyFont="true" applyNumberFormat="true" applyProtection="false" borderId="37" fillId="25" fontId="2" numFmtId="228" xfId="0">
      <alignment horizontal="center" vertical="center"/>
    </xf>
    <xf applyAlignment="true" applyBorder="false" applyFill="true" applyFont="true" applyNumberFormat="true" applyProtection="false" borderId="0" fillId="25" fontId="2" numFmtId="227" xfId="0">
      <alignment horizontal="center" vertical="center"/>
    </xf>
    <xf applyAlignment="true" applyBorder="false" applyFill="true" applyFont="true" applyNumberFormat="false" applyProtection="false" borderId="0" fillId="25" fontId="2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/>
    </xf>
    <xf applyAlignment="true" applyBorder="false" applyFill="false" applyFont="true" applyNumberFormat="true" applyProtection="false" borderId="35" fillId="0" fontId="5" numFmtId="221" xfId="0">
      <alignment horizontal="center" vertical="center"/>
    </xf>
    <xf applyAlignment="true" applyBorder="false" applyFill="false" applyFont="true" applyNumberFormat="true" applyProtection="false" borderId="35" fillId="0" fontId="5" numFmtId="222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true" applyProtection="false" borderId="35" fillId="0" fontId="5" numFmtId="222" xfId="0">
      <alignment horizontal="center" vertical="center"/>
    </xf>
    <xf applyAlignment="true" applyBorder="false" applyFill="false" applyFont="true" applyNumberFormat="true" applyProtection="false" borderId="35" fillId="0" fontId="5" numFmtId="224" xfId="0">
      <alignment horizontal="center" vertical="center"/>
    </xf>
    <xf applyAlignment="true" applyBorder="false" applyFill="false" applyFont="true" applyNumberFormat="true" applyProtection="false" borderId="35" fillId="0" fontId="5" numFmtId="226" xfId="0">
      <alignment horizontal="center" vertical="center"/>
    </xf>
    <xf applyAlignment="true" applyBorder="false" applyFill="false" applyFont="true" applyNumberFormat="true" applyProtection="false" borderId="35" fillId="0" fontId="6" numFmtId="227" xfId="0">
      <alignment horizontal="center" vertical="center"/>
    </xf>
    <xf applyAlignment="true" applyBorder="false" applyFill="false" applyFont="true" applyNumberFormat="true" applyProtection="false" borderId="35" fillId="0" fontId="5" numFmtId="228" xfId="0">
      <alignment horizontal="center" vertical="center"/>
    </xf>
    <xf applyAlignment="true" applyBorder="false" applyFill="false" applyFont="true" applyNumberFormat="true" applyProtection="false" borderId="35" fillId="0" fontId="5" numFmtId="227" xfId="0">
      <alignment horizontal="center" vertical="center"/>
    </xf>
    <xf applyAlignment="true" applyBorder="false" applyFill="false" applyFont="true" applyNumberFormat="true" applyProtection="false" borderId="35" fillId="0" fontId="5" numFmtId="229" xfId="0">
      <alignment horizontal="center" vertical="center"/>
    </xf>
    <xf applyAlignment="true" applyBorder="false" applyFill="false" applyFont="true" applyNumberFormat="true" applyProtection="false" borderId="35" fillId="0" fontId="5" numFmtId="230" xfId="0">
      <alignment horizontal="center" vertical="center"/>
    </xf>
    <xf applyAlignment="true" applyBorder="false" applyFill="true" applyFont="true" applyNumberFormat="true" applyProtection="false" borderId="35" fillId="27" fontId="5" numFmtId="23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/>
    </xf>
    <xf applyAlignment="true" applyBorder="false" applyFill="false" applyFont="true" applyNumberFormat="true" applyProtection="false" borderId="35" fillId="0" fontId="5" numFmtId="221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true" applyFont="true" applyNumberFormat="false" applyProtection="false" borderId="35" fillId="28" fontId="7" numFmtId="0" xfId="0">
      <alignment horizontal="center" vertical="center"/>
    </xf>
    <xf applyAlignment="true" applyBorder="false" applyFill="true" applyFont="true" applyNumberFormat="true" applyProtection="false" borderId="35" fillId="28" fontId="8" numFmtId="222" xfId="0">
      <alignment horizontal="center" vertical="center"/>
    </xf>
    <xf applyAlignment="true" applyBorder="false" applyFill="true" applyFont="true" applyNumberFormat="true" applyProtection="false" borderId="35" fillId="28" fontId="8" numFmtId="224" xfId="0">
      <alignment horizontal="center" vertical="center"/>
    </xf>
    <xf applyAlignment="true" applyBorder="false" applyFill="true" applyFont="true" applyNumberFormat="true" applyProtection="false" borderId="35" fillId="28" fontId="8" numFmtId="228" xfId="0">
      <alignment horizontal="center" vertical="center"/>
    </xf>
    <xf applyAlignment="true" applyBorder="false" applyFill="true" applyFont="true" applyNumberFormat="true" applyProtection="false" borderId="35" fillId="28" fontId="8" numFmtId="226" xfId="0">
      <alignment horizontal="center" vertical="center"/>
    </xf>
    <xf applyAlignment="true" applyBorder="false" applyFill="true" applyFont="true" applyNumberFormat="true" applyProtection="false" borderId="35" fillId="28" fontId="8" numFmtId="229" xfId="0">
      <alignment horizontal="center" vertical="center"/>
    </xf>
    <xf applyAlignment="true" applyBorder="false" applyFill="true" applyFont="true" applyNumberFormat="true" applyProtection="false" borderId="35" fillId="28" fontId="7" numFmtId="227" xfId="0">
      <alignment horizontal="center" vertical="center"/>
    </xf>
    <xf applyAlignment="true" applyBorder="false" applyFill="true" applyFont="true" applyNumberFormat="true" applyProtection="false" borderId="35" fillId="28" fontId="7" numFmtId="228" xfId="0">
      <alignment horizontal="center" vertical="center"/>
    </xf>
    <xf applyAlignment="true" applyBorder="false" applyFill="true" applyFont="true" applyNumberFormat="true" applyProtection="false" borderId="35" fillId="28" fontId="5" numFmtId="227" xfId="0">
      <alignment horizontal="center" vertical="center"/>
    </xf>
    <xf applyAlignment="true" applyBorder="false" applyFill="true" applyFont="true" applyNumberFormat="true" applyProtection="false" borderId="35" fillId="28" fontId="5" numFmtId="228" xfId="0">
      <alignment horizontal="center" vertical="center"/>
    </xf>
    <xf applyAlignment="true" applyBorder="false" applyFill="true" applyFont="true" applyNumberFormat="true" applyProtection="false" borderId="39" fillId="28" fontId="2" numFmtId="223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true" applyFont="true" applyNumberFormat="true" applyProtection="false" borderId="35" fillId="29" fontId="8" numFmtId="228" xfId="0">
      <alignment horizontal="center" vertical="center"/>
    </xf>
    <xf applyAlignment="true" applyBorder="false" applyFill="true" applyFont="true" applyNumberFormat="true" applyProtection="false" borderId="35" fillId="29" fontId="8" numFmtId="222" xfId="0">
      <alignment horizontal="center" vertical="center"/>
    </xf>
    <xf applyAlignment="true" applyBorder="false" applyFill="true" applyFont="true" applyNumberFormat="true" applyProtection="false" borderId="35" fillId="29" fontId="8" numFmtId="224" xfId="0">
      <alignment horizontal="center" vertical="center"/>
    </xf>
    <xf applyAlignment="true" applyBorder="false" applyFill="true" applyFont="true" applyNumberFormat="true" applyProtection="false" borderId="35" fillId="29" fontId="8" numFmtId="227" xfId="0">
      <alignment horizontal="center" vertical="center"/>
    </xf>
    <xf applyAlignment="true" applyBorder="false" applyFill="true" applyFont="true" applyNumberFormat="true" applyProtection="false" borderId="35" fillId="29" fontId="9" numFmtId="231" xfId="0">
      <alignment horizontal="center" vertical="center"/>
    </xf>
    <xf applyAlignment="true" applyBorder="false" applyFill="true" applyFont="true" applyNumberFormat="true" applyProtection="false" borderId="38" fillId="29" fontId="10" numFmtId="231" xfId="0">
      <alignment horizontal="center" vertical="center"/>
    </xf>
    <xf applyAlignment="true" applyBorder="false" applyFill="true" applyFont="true" applyNumberFormat="true" applyProtection="false" borderId="36" fillId="30" fontId="4" numFmtId="223" xfId="0">
      <alignment horizontal="center" vertical="center"/>
    </xf>
    <xf applyAlignment="true" applyBorder="false" applyFill="true" applyFont="true" applyNumberFormat="false" applyProtection="false" borderId="36" fillId="30" fontId="4" numFmtId="0" xfId="0">
      <alignment horizontal="center" vertical="center"/>
    </xf>
    <xf applyAlignment="true" applyBorder="false" applyFill="true" applyFont="true" applyNumberFormat="false" applyProtection="false" borderId="35" fillId="30" fontId="4" numFmtId="0" xfId="0">
      <alignment horizontal="center" vertical="center"/>
    </xf>
    <xf applyAlignment="true" applyBorder="false" applyFill="false" applyFont="true" applyNumberFormat="true" applyProtection="false" borderId="42" fillId="0" fontId="2" numFmtId="222" xfId="0">
      <alignment horizontal="center" vertical="center"/>
    </xf>
    <xf applyAlignment="true" applyBorder="false" applyFill="false" applyFont="true" applyNumberFormat="true" applyProtection="false" borderId="41" fillId="0" fontId="2" numFmtId="232" xfId="0">
      <alignment horizontal="center" vertical="center"/>
    </xf>
    <xf applyAlignment="true" applyBorder="false" applyFill="false" applyFont="true" applyNumberFormat="true" applyProtection="false" borderId="41" fillId="0" fontId="2" numFmtId="232" xfId="0">
      <alignment horizontal="center" vertical="center"/>
    </xf>
    <xf applyAlignment="true" applyBorder="false" applyFill="false" applyFont="true" applyNumberFormat="true" applyProtection="false" borderId="42" fillId="0" fontId="2" numFmtId="222" xfId="0">
      <alignment horizontal="center" vertical="center"/>
    </xf>
    <xf applyAlignment="true" applyBorder="false" applyFill="true" applyFont="true" applyNumberFormat="true" applyProtection="false" borderId="35" fillId="23" fontId="2" numFmtId="221" xfId="0">
      <alignment horizontal="center" vertical="center"/>
    </xf>
    <xf applyAlignment="true" applyBorder="false" applyFill="true" applyFont="true" applyNumberFormat="true" applyProtection="false" borderId="35" fillId="24" fontId="2" numFmtId="222" xfId="0">
      <alignment horizontal="center" vertical="center"/>
    </xf>
    <xf applyAlignment="true" applyBorder="false" applyFill="true" applyFont="true" applyNumberFormat="false" applyProtection="false" borderId="35" fillId="25" fontId="2" numFmtId="0" xfId="0">
      <alignment horizontal="center" vertical="center"/>
    </xf>
    <xf applyAlignment="true" applyBorder="false" applyFill="true" applyFont="true" applyNumberFormat="true" applyProtection="false" borderId="36" fillId="30" fontId="4" numFmtId="223" xfId="0">
      <alignment horizontal="center" vertical="center"/>
    </xf>
    <xf applyAlignment="true" applyBorder="false" applyFill="true" applyFont="true" applyNumberFormat="false" applyProtection="false" borderId="37" fillId="23" fontId="2" numFmtId="0" xfId="0">
      <alignment horizontal="center" vertical="center"/>
    </xf>
    <xf applyAlignment="true" applyBorder="false" applyFill="true" applyFont="true" applyNumberFormat="true" applyProtection="false" borderId="37" fillId="24" fontId="2" numFmtId="222" xfId="0">
      <alignment horizontal="center" vertical="center"/>
    </xf>
    <xf applyAlignment="true" applyBorder="false" applyFill="true" applyFont="true" applyNumberFormat="true" applyProtection="false" borderId="37" fillId="24" fontId="2" numFmtId="224" xfId="0">
      <alignment horizontal="center" vertical="center"/>
    </xf>
    <xf applyAlignment="true" applyBorder="false" applyFill="true" applyFont="true" applyNumberFormat="true" applyProtection="false" borderId="37" fillId="24" fontId="2" numFmtId="225" xfId="0">
      <alignment horizontal="center" vertical="center"/>
    </xf>
    <xf applyAlignment="true" applyBorder="false" applyFill="true" applyFont="true" applyNumberFormat="true" applyProtection="false" borderId="37" fillId="24" fontId="2" numFmtId="226" xfId="0">
      <alignment horizontal="center" vertical="center"/>
    </xf>
    <xf applyAlignment="true" applyBorder="false" applyFill="true" applyFont="true" applyNumberFormat="true" applyProtection="false" borderId="37" fillId="25" fontId="2" numFmtId="227" xfId="0">
      <alignment horizontal="center" vertical="center"/>
    </xf>
    <xf applyAlignment="true" applyBorder="false" applyFill="true" applyFont="true" applyNumberFormat="true" applyProtection="false" borderId="37" fillId="25" fontId="2" numFmtId="228" xfId="0">
      <alignment horizontal="center" vertical="center"/>
    </xf>
    <xf applyAlignment="true" applyBorder="false" applyFill="true" applyFont="true" applyNumberFormat="true" applyProtection="false" borderId="0" fillId="25" fontId="2" numFmtId="227" xfId="0">
      <alignment horizontal="center" vertical="center"/>
    </xf>
    <xf applyAlignment="true" applyBorder="false" applyFill="true" applyFont="true" applyNumberFormat="false" applyProtection="false" borderId="0" fillId="25" fontId="2" numFmtId="0" xfId="0">
      <alignment horizontal="center" vertical="center"/>
    </xf>
    <xf applyAlignment="true" applyBorder="false" applyFill="true" applyFont="true" applyNumberFormat="false" applyProtection="false" borderId="36" fillId="30" fontId="4" numFmtId="0" xfId="0">
      <alignment horizontal="center" vertical="center"/>
    </xf>
    <xf applyAlignment="true" applyBorder="false" applyFill="true" applyFont="true" applyNumberFormat="false" applyProtection="false" borderId="35" fillId="30" fontId="4" numFmtId="0" xfId="0">
      <alignment horizontal="center" vertical="center"/>
    </xf>
    <xf applyAlignment="true" applyBorder="false" applyFill="false" applyFont="true" applyNumberFormat="true" applyProtection="false" borderId="35" fillId="0" fontId="5" numFmtId="221" xfId="0">
      <alignment horizontal="center" vertical="center"/>
    </xf>
    <xf applyAlignment="true" applyBorder="false" applyFill="false" applyFont="true" applyNumberFormat="true" applyProtection="false" borderId="35" fillId="0" fontId="5" numFmtId="222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true" applyProtection="false" borderId="41" fillId="0" fontId="2" numFmtId="232" xfId="0">
      <alignment horizontal="center" vertical="center"/>
    </xf>
    <xf applyAlignment="true" applyBorder="false" applyFill="false" applyFont="true" applyNumberFormat="true" applyProtection="false" borderId="35" fillId="0" fontId="5" numFmtId="226" xfId="0">
      <alignment horizontal="center" vertical="center"/>
    </xf>
    <xf applyAlignment="true" applyBorder="false" applyFill="false" applyFont="true" applyNumberFormat="true" applyProtection="false" borderId="35" fillId="0" fontId="6" numFmtId="227" xfId="0">
      <alignment horizontal="center" vertical="center"/>
    </xf>
    <xf applyAlignment="true" applyBorder="false" applyFill="false" applyFont="true" applyNumberFormat="true" applyProtection="false" borderId="35" fillId="0" fontId="5" numFmtId="228" xfId="0">
      <alignment horizontal="center" vertical="center"/>
    </xf>
    <xf applyAlignment="true" applyBorder="false" applyFill="false" applyFont="true" applyNumberFormat="true" applyProtection="false" borderId="35" fillId="0" fontId="5" numFmtId="227" xfId="0">
      <alignment horizontal="center" vertical="center"/>
    </xf>
    <xf applyAlignment="true" applyBorder="false" applyFill="false" applyFont="true" applyNumberFormat="true" applyProtection="false" borderId="35" fillId="0" fontId="5" numFmtId="229" xfId="0">
      <alignment horizontal="center" vertical="center"/>
    </xf>
    <xf applyAlignment="true" applyBorder="false" applyFill="false" applyFont="true" applyNumberFormat="true" applyProtection="false" borderId="35" fillId="0" fontId="5" numFmtId="230" xfId="0">
      <alignment horizontal="center" vertical="center"/>
    </xf>
    <xf applyAlignment="true" applyBorder="false" applyFill="true" applyFont="true" applyNumberFormat="true" applyProtection="false" borderId="35" fillId="27" fontId="5" numFmtId="230" xfId="0">
      <alignment horizontal="center" vertical="center"/>
    </xf>
    <xf applyAlignment="true" applyBorder="false" applyFill="false" applyFont="true" applyNumberFormat="false" applyProtection="false" borderId="38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4" numFmtId="0" xfId="0">
      <alignment horizontal="center" vertical="center"/>
    </xf>
    <xf applyAlignment="true" applyBorder="false" applyFill="false" applyFont="true" applyNumberFormat="true" applyProtection="false" borderId="35" fillId="0" fontId="5" numFmtId="222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true" applyFont="true" applyNumberFormat="false" applyProtection="false" borderId="35" fillId="28" fontId="7" numFmtId="0" xfId="0">
      <alignment horizontal="center" vertical="center"/>
    </xf>
    <xf applyAlignment="true" applyBorder="false" applyFill="true" applyFont="true" applyNumberFormat="true" applyProtection="false" borderId="35" fillId="28" fontId="8" numFmtId="222" xfId="0">
      <alignment horizontal="center" vertical="center"/>
    </xf>
    <xf applyAlignment="true" applyBorder="false" applyFill="true" applyFont="true" applyNumberFormat="true" applyProtection="false" borderId="35" fillId="28" fontId="8" numFmtId="224" xfId="0">
      <alignment horizontal="center" vertical="center"/>
    </xf>
    <xf applyAlignment="true" applyBorder="false" applyFill="true" applyFont="true" applyNumberFormat="true" applyProtection="false" borderId="35" fillId="28" fontId="8" numFmtId="228" xfId="0">
      <alignment horizontal="center" vertical="center"/>
    </xf>
    <xf applyAlignment="true" applyBorder="false" applyFill="true" applyFont="true" applyNumberFormat="true" applyProtection="false" borderId="35" fillId="28" fontId="8" numFmtId="226" xfId="0">
      <alignment horizontal="center" vertical="center"/>
    </xf>
    <xf applyAlignment="true" applyBorder="false" applyFill="true" applyFont="true" applyNumberFormat="true" applyProtection="false" borderId="35" fillId="28" fontId="8" numFmtId="229" xfId="0">
      <alignment horizontal="center" vertical="center"/>
    </xf>
    <xf applyAlignment="true" applyBorder="false" applyFill="true" applyFont="true" applyNumberFormat="true" applyProtection="false" borderId="35" fillId="28" fontId="7" numFmtId="227" xfId="0">
      <alignment horizontal="center" vertical="center"/>
    </xf>
    <xf applyAlignment="true" applyBorder="false" applyFill="true" applyFont="true" applyNumberFormat="true" applyProtection="false" borderId="35" fillId="28" fontId="7" numFmtId="228" xfId="0">
      <alignment horizontal="center" vertical="center"/>
    </xf>
    <xf applyAlignment="true" applyBorder="false" applyFill="true" applyFont="true" applyNumberFormat="true" applyProtection="false" borderId="35" fillId="28" fontId="5" numFmtId="227" xfId="0">
      <alignment horizontal="center" vertical="center"/>
    </xf>
    <xf applyAlignment="true" applyBorder="false" applyFill="true" applyFont="true" applyNumberFormat="true" applyProtection="false" borderId="35" fillId="28" fontId="5" numFmtId="228" xfId="0">
      <alignment horizontal="center" vertical="center"/>
    </xf>
    <xf applyAlignment="true" applyBorder="false" applyFill="true" applyFont="true" applyNumberFormat="true" applyProtection="false" borderId="39" fillId="28" fontId="2" numFmtId="223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true" applyFont="true" applyNumberFormat="true" applyProtection="false" borderId="35" fillId="29" fontId="8" numFmtId="228" xfId="0">
      <alignment horizontal="center" vertical="center"/>
    </xf>
    <xf applyAlignment="true" applyBorder="false" applyFill="true" applyFont="true" applyNumberFormat="true" applyProtection="false" borderId="35" fillId="29" fontId="8" numFmtId="222" xfId="0">
      <alignment horizontal="center" vertical="center"/>
    </xf>
    <xf applyAlignment="true" applyBorder="false" applyFill="true" applyFont="true" applyNumberFormat="true" applyProtection="false" borderId="35" fillId="29" fontId="8" numFmtId="224" xfId="0">
      <alignment horizontal="center" vertical="center"/>
    </xf>
    <xf applyAlignment="true" applyBorder="false" applyFill="true" applyFont="true" applyNumberFormat="true" applyProtection="false" borderId="35" fillId="29" fontId="8" numFmtId="227" xfId="0">
      <alignment horizontal="center" vertical="center"/>
    </xf>
    <xf applyAlignment="true" applyBorder="false" applyFill="true" applyFont="true" applyNumberFormat="true" applyProtection="false" borderId="35" fillId="29" fontId="9" numFmtId="231" xfId="0">
      <alignment horizontal="center" vertical="center"/>
    </xf>
    <xf applyAlignment="true" applyBorder="false" applyFill="true" applyFont="true" applyNumberFormat="true" applyProtection="false" borderId="38" fillId="29" fontId="10" numFmtId="231" xfId="0">
      <alignment horizontal="center" vertical="center"/>
    </xf>
    <xf applyAlignment="true" applyBorder="false" applyFill="true" applyFont="true" applyNumberFormat="true" applyProtection="false" borderId="43" fillId="31" fontId="2" numFmtId="233" xfId="0">
      <alignment horizontal="center" vertical="center"/>
    </xf>
    <xf applyAlignment="true" applyBorder="false" applyFill="true" applyFont="true" applyNumberFormat="true" applyProtection="false" borderId="43" fillId="32" fontId="2" numFmtId="234" xfId="0">
      <alignment horizontal="center" vertical="center"/>
    </xf>
    <xf applyAlignment="true" applyBorder="false" applyFill="true" applyFont="true" applyNumberFormat="false" applyProtection="false" borderId="43" fillId="33" fontId="2" numFmtId="0" xfId="0">
      <alignment horizontal="center" vertical="center"/>
    </xf>
    <xf applyAlignment="true" applyBorder="false" applyFill="true" applyFont="true" applyNumberFormat="true" applyProtection="false" borderId="44" fillId="34" fontId="4" numFmtId="235" xfId="0">
      <alignment horizontal="center" vertical="center"/>
    </xf>
    <xf applyAlignment="true" applyBorder="false" applyFill="true" applyFont="true" applyNumberFormat="false" applyProtection="false" borderId="45" fillId="31" fontId="2" numFmtId="0" xfId="0">
      <alignment horizontal="center" vertical="center"/>
    </xf>
    <xf applyAlignment="true" applyBorder="false" applyFill="true" applyFont="true" applyNumberFormat="true" applyProtection="false" borderId="45" fillId="32" fontId="2" numFmtId="234" xfId="0">
      <alignment horizontal="center" vertical="center"/>
    </xf>
    <xf applyAlignment="true" applyBorder="false" applyFill="true" applyFont="true" applyNumberFormat="true" applyProtection="false" borderId="45" fillId="32" fontId="2" numFmtId="236" xfId="0">
      <alignment horizontal="center" vertical="center"/>
    </xf>
    <xf applyAlignment="true" applyBorder="false" applyFill="true" applyFont="true" applyNumberFormat="true" applyProtection="false" borderId="45" fillId="32" fontId="2" numFmtId="237" xfId="0">
      <alignment horizontal="center" vertical="center"/>
    </xf>
    <xf applyAlignment="true" applyBorder="false" applyFill="true" applyFont="true" applyNumberFormat="true" applyProtection="false" borderId="45" fillId="32" fontId="2" numFmtId="238" xfId="0">
      <alignment horizontal="center" vertical="center"/>
    </xf>
    <xf applyAlignment="true" applyBorder="false" applyFill="true" applyFont="true" applyNumberFormat="true" applyProtection="false" borderId="45" fillId="33" fontId="2" numFmtId="239" xfId="0">
      <alignment horizontal="center" vertical="center"/>
    </xf>
    <xf applyAlignment="true" applyBorder="false" applyFill="true" applyFont="true" applyNumberFormat="true" applyProtection="false" borderId="45" fillId="33" fontId="2" numFmtId="240" xfId="0">
      <alignment horizontal="center" vertical="center"/>
    </xf>
    <xf applyAlignment="true" applyBorder="false" applyFill="true" applyFont="true" applyNumberFormat="true" applyProtection="false" borderId="0" fillId="33" fontId="2" numFmtId="239" xfId="0">
      <alignment horizontal="center" vertical="center"/>
    </xf>
    <xf applyAlignment="true" applyBorder="false" applyFill="true" applyFont="true" applyNumberFormat="false" applyProtection="false" borderId="0" fillId="33" fontId="2" numFmtId="0" xfId="0">
      <alignment horizontal="center" vertical="center"/>
    </xf>
    <xf applyAlignment="true" applyBorder="false" applyFill="false" applyFont="true" applyNumberFormat="false" applyProtection="false" borderId="44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true" applyProtection="false" borderId="43" fillId="0" fontId="5" numFmtId="233" xfId="0">
      <alignment horizontal="center" vertical="center"/>
    </xf>
    <xf applyAlignment="true" applyBorder="false" applyFill="false" applyFont="true" applyNumberFormat="true" applyProtection="false" borderId="43" fillId="0" fontId="5" numFmtId="234" xfId="0">
      <alignment horizontal="center" vertical="center"/>
    </xf>
    <xf applyAlignment="true" applyBorder="false" applyFill="false" applyFont="true" applyNumberFormat="false" applyProtection="false" borderId="43" fillId="0" fontId="5" numFmtId="0" xfId="0">
      <alignment horizontal="center" vertical="center"/>
    </xf>
    <xf applyAlignment="true" applyBorder="false" applyFill="false" applyFont="true" applyNumberFormat="true" applyProtection="false" borderId="43" fillId="0" fontId="5" numFmtId="236" xfId="0">
      <alignment horizontal="center" vertical="center"/>
    </xf>
    <xf applyAlignment="true" applyBorder="false" applyFill="false" applyFont="true" applyNumberFormat="true" applyProtection="false" borderId="43" fillId="0" fontId="5" numFmtId="238" xfId="0">
      <alignment horizontal="center" vertical="center"/>
    </xf>
    <xf applyAlignment="true" applyBorder="false" applyFill="false" applyFont="true" applyNumberFormat="true" applyProtection="false" borderId="43" fillId="0" fontId="6" numFmtId="239" xfId="0">
      <alignment horizontal="center" vertical="center"/>
    </xf>
    <xf applyAlignment="true" applyBorder="false" applyFill="false" applyFont="true" applyNumberFormat="true" applyProtection="false" borderId="43" fillId="0" fontId="5" numFmtId="240" xfId="0">
      <alignment horizontal="center" vertical="center"/>
    </xf>
    <xf applyAlignment="true" applyBorder="false" applyFill="false" applyFont="true" applyNumberFormat="true" applyProtection="false" borderId="43" fillId="0" fontId="5" numFmtId="239" xfId="0">
      <alignment horizontal="center" vertical="center"/>
    </xf>
    <xf applyAlignment="true" applyBorder="false" applyFill="false" applyFont="true" applyNumberFormat="true" applyProtection="false" borderId="43" fillId="0" fontId="5" numFmtId="241" xfId="0">
      <alignment horizontal="center" vertical="center"/>
    </xf>
    <xf applyAlignment="true" applyBorder="false" applyFill="false" applyFont="true" applyNumberFormat="true" applyProtection="false" borderId="43" fillId="0" fontId="5" numFmtId="242" xfId="0">
      <alignment horizontal="center" vertical="center"/>
    </xf>
    <xf applyAlignment="true" applyBorder="false" applyFill="true" applyFont="true" applyNumberFormat="true" applyProtection="false" borderId="43" fillId="35" fontId="5" numFmtId="242" xfId="0">
      <alignment horizontal="center" vertical="center"/>
    </xf>
    <xf applyAlignment="true" applyBorder="false" applyFill="false" applyFont="true" applyNumberFormat="false" applyProtection="false" borderId="46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/>
    </xf>
    <xf applyAlignment="true" applyBorder="false" applyFill="false" applyFont="true" applyNumberFormat="true" applyProtection="false" borderId="43" fillId="0" fontId="5" numFmtId="234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true" applyFont="true" applyNumberFormat="false" applyProtection="false" borderId="43" fillId="36" fontId="7" numFmtId="0" xfId="0">
      <alignment horizontal="center" vertical="center"/>
    </xf>
    <xf applyAlignment="true" applyBorder="false" applyFill="true" applyFont="true" applyNumberFormat="true" applyProtection="false" borderId="43" fillId="36" fontId="8" numFmtId="234" xfId="0">
      <alignment horizontal="center" vertical="center"/>
    </xf>
    <xf applyAlignment="true" applyBorder="false" applyFill="true" applyFont="true" applyNumberFormat="true" applyProtection="false" borderId="43" fillId="36" fontId="8" numFmtId="236" xfId="0">
      <alignment horizontal="center" vertical="center"/>
    </xf>
    <xf applyAlignment="true" applyBorder="false" applyFill="true" applyFont="true" applyNumberFormat="true" applyProtection="false" borderId="43" fillId="36" fontId="8" numFmtId="240" xfId="0">
      <alignment horizontal="center" vertical="center"/>
    </xf>
    <xf applyAlignment="true" applyBorder="false" applyFill="true" applyFont="true" applyNumberFormat="true" applyProtection="false" borderId="43" fillId="36" fontId="8" numFmtId="238" xfId="0">
      <alignment horizontal="center" vertical="center"/>
    </xf>
    <xf applyAlignment="true" applyBorder="false" applyFill="true" applyFont="true" applyNumberFormat="true" applyProtection="false" borderId="43" fillId="36" fontId="8" numFmtId="241" xfId="0">
      <alignment horizontal="center" vertical="center"/>
    </xf>
    <xf applyAlignment="true" applyBorder="false" applyFill="true" applyFont="true" applyNumberFormat="true" applyProtection="false" borderId="43" fillId="36" fontId="7" numFmtId="239" xfId="0">
      <alignment horizontal="center" vertical="center"/>
    </xf>
    <xf applyAlignment="true" applyBorder="false" applyFill="true" applyFont="true" applyNumberFormat="true" applyProtection="false" borderId="43" fillId="36" fontId="7" numFmtId="240" xfId="0">
      <alignment horizontal="center" vertical="center"/>
    </xf>
    <xf applyAlignment="true" applyBorder="false" applyFill="true" applyFont="true" applyNumberFormat="true" applyProtection="false" borderId="43" fillId="36" fontId="5" numFmtId="239" xfId="0">
      <alignment horizontal="center" vertical="center"/>
    </xf>
    <xf applyAlignment="true" applyBorder="false" applyFill="true" applyFont="true" applyNumberFormat="true" applyProtection="false" borderId="43" fillId="36" fontId="5" numFmtId="240" xfId="0">
      <alignment horizontal="center" vertical="center"/>
    </xf>
    <xf applyAlignment="true" applyBorder="false" applyFill="true" applyFont="true" applyNumberFormat="true" applyProtection="false" borderId="47" fillId="36" fontId="2" numFmtId="235" xfId="0">
      <alignment horizontal="center" vertical="center"/>
    </xf>
    <xf applyAlignment="true" applyBorder="false" applyFill="false" applyFont="true" applyNumberFormat="false" applyProtection="false" borderId="49" fillId="0" fontId="4" numFmtId="0" xfId="0">
      <alignment horizontal="center" vertical="center"/>
    </xf>
    <xf applyAlignment="true" applyBorder="false" applyFill="false" applyFont="true" applyNumberFormat="true" applyProtection="false" borderId="50" fillId="0" fontId="11" numFmtId="234" xfId="0">
      <alignment horizontal="center" vertical="center"/>
    </xf>
    <xf applyAlignment="true" applyBorder="false" applyFill="false" applyFont="true" applyNumberFormat="true" applyProtection="false" borderId="49" fillId="0" fontId="11" numFmtId="243" xfId="0">
      <alignment horizontal="center" vertical="center"/>
    </xf>
    <xf applyAlignment="true" applyBorder="false" applyFill="false" applyFont="true" applyNumberFormat="false" applyProtection="false" borderId="43" fillId="0" fontId="5" numFmtId="0" xfId="0">
      <alignment horizontal="center" vertical="center"/>
    </xf>
    <xf applyAlignment="true" applyBorder="false" applyFill="true" applyFont="true" applyNumberFormat="true" applyProtection="false" borderId="43" fillId="37" fontId="8" numFmtId="240" xfId="0">
      <alignment horizontal="center" vertical="center"/>
    </xf>
    <xf applyAlignment="true" applyBorder="false" applyFill="true" applyFont="true" applyNumberFormat="true" applyProtection="false" borderId="43" fillId="37" fontId="8" numFmtId="234" xfId="0">
      <alignment horizontal="center" vertical="center"/>
    </xf>
    <xf applyAlignment="true" applyBorder="false" applyFill="true" applyFont="true" applyNumberFormat="true" applyProtection="false" borderId="43" fillId="37" fontId="8" numFmtId="236" xfId="0">
      <alignment horizontal="center" vertical="center"/>
    </xf>
    <xf applyAlignment="true" applyBorder="false" applyFill="true" applyFont="true" applyNumberFormat="true" applyProtection="false" borderId="43" fillId="37" fontId="8" numFmtId="239" xfId="0">
      <alignment horizontal="center" vertical="center"/>
    </xf>
    <xf applyAlignment="true" applyBorder="false" applyFill="true" applyFont="true" applyNumberFormat="true" applyProtection="false" borderId="43" fillId="37" fontId="9" numFmtId="244" xfId="0">
      <alignment horizontal="center" vertical="center"/>
    </xf>
    <xf applyAlignment="true" applyBorder="false" applyFill="true" applyFont="true" applyNumberFormat="true" applyProtection="false" borderId="46" fillId="37" fontId="10" numFmtId="244" xfId="0">
      <alignment horizontal="center" vertical="center"/>
    </xf>
    <xf applyAlignment="true" applyBorder="false" applyFill="false" applyFont="true" applyNumberFormat="true" applyProtection="false" borderId="43" fillId="0" fontId="11" numFmtId="243" xfId="0">
      <alignment horizontal="center" vertical="center"/>
    </xf>
    <xf applyAlignment="true" applyBorder="false" applyFill="false" applyFont="true" applyNumberFormat="true" applyProtection="false" borderId="50" fillId="0" fontId="11" numFmtId="234" xfId="0">
      <alignment horizontal="center" vertical="center"/>
    </xf>
    <xf applyAlignment="true" applyBorder="false" applyFill="false" applyFont="true" applyNumberFormat="true" applyProtection="false" borderId="49" fillId="0" fontId="11" numFmtId="243" xfId="0">
      <alignment horizontal="center" vertical="center"/>
    </xf>
    <xf applyAlignment="true" applyBorder="false" applyFill="false" applyFont="true" applyNumberFormat="false" applyProtection="false" borderId="46" fillId="0" fontId="4" numFmtId="0" xfId="0">
      <alignment horizontal="center" vertical="center"/>
    </xf>
    <xf applyAlignment="true" applyBorder="false" applyFill="false" applyFont="true" applyNumberFormat="true" applyProtection="false" borderId="43" fillId="0" fontId="11" numFmtId="243" xfId="0">
      <alignment horizontal="center" vertical="center"/>
    </xf>
    <xf applyAlignment="true" applyBorder="false" applyFill="true" applyFont="true" applyNumberFormat="true" applyProtection="false" borderId="45" fillId="32" fontId="2" numFmtId="236" xfId="0">
      <alignment horizontal="center" vertical="center"/>
    </xf>
    <xf applyAlignment="true" applyBorder="false" applyFill="false" applyFont="true" applyNumberFormat="true" applyProtection="false" borderId="49" fillId="0" fontId="2" numFmtId="243" xfId="0">
      <alignment horizontal="center" vertical="center"/>
    </xf>
    <xf applyAlignment="true" applyBorder="false" applyFill="false" applyFont="true" applyNumberFormat="true" applyProtection="false" borderId="43" fillId="0" fontId="2" numFmtId="243" xfId="0">
      <alignment horizontal="center" vertical="center"/>
    </xf>
    <xf applyAlignment="true" applyBorder="false" applyFill="true" applyFont="true" applyNumberFormat="true" applyProtection="false" borderId="43" fillId="37" fontId="8" numFmtId="243" xfId="0">
      <alignment horizontal="center" vertical="center"/>
    </xf>
    <xf applyAlignment="true" applyBorder="false" applyFill="false" applyFont="true" applyNumberFormat="true" applyProtection="false" borderId="49" fillId="0" fontId="2" numFmtId="243" xfId="0">
      <alignment horizontal="center" vertical="center"/>
    </xf>
    <xf applyAlignment="true" applyBorder="false" applyFill="false" applyFont="true" applyNumberFormat="true" applyProtection="false" borderId="43" fillId="0" fontId="2" numFmtId="243" xfId="0">
      <alignment horizontal="center" vertical="center"/>
    </xf>
    <xf applyAlignment="true" applyBorder="false" applyFill="true" applyFont="true" applyNumberFormat="true" applyProtection="false" borderId="43" fillId="38" fontId="1" numFmtId="24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43" fillId="39" fontId="1" numFmtId="0" xfId="0">
      <alignment horizontal="center" vertical="center"/>
    </xf>
    <xf applyAlignment="true" applyBorder="false" applyFill="false" applyFont="true" applyNumberFormat="false" applyProtection="false" borderId="43" fillId="0" fontId="1" numFmtId="0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 wrapText="true"/>
    </xf>
    <xf applyAlignment="true" applyBorder="false" applyFill="false" applyFont="true" applyNumberFormat="false" applyProtection="false" borderId="43" fillId="0" fontId="1" numFmtId="0" xfId="0">
      <alignment horizontal="center" vertical="center"/>
    </xf>
    <xf applyAlignment="true" applyBorder="false" applyFill="false" applyFont="true" applyNumberFormat="true" applyProtection="false" borderId="43" fillId="0" fontId="1" numFmtId="234" xfId="0">
      <alignment horizontal="center" vertical="center"/>
    </xf>
    <xf applyAlignment="true" applyBorder="false" applyFill="false" applyFont="true" applyNumberFormat="false" applyProtection="false" borderId="43" fillId="0" fontId="1" numFmtId="0" xfId="0">
      <alignment vertical="center"/>
    </xf>
    <xf applyAlignment="true" applyBorder="false" applyFill="true" applyFont="true" applyNumberFormat="true" applyProtection="false" borderId="43" fillId="38" fontId="2" numFmtId="243" xfId="0">
      <alignment horizontal="center" vertical="center"/>
    </xf>
    <xf applyAlignment="true" applyBorder="false" applyFill="true" applyFont="true" applyNumberFormat="true" applyProtection="false" borderId="43" fillId="39" fontId="2" numFmtId="243" xfId="0">
      <alignment horizontal="center" vertical="center"/>
    </xf>
    <xf applyAlignment="true" applyBorder="false" applyFill="true" applyFont="true" applyNumberFormat="true" applyProtection="false" borderId="43" fillId="39" fontId="2" numFmtId="243" xfId="0">
      <alignment horizontal="center" vertical="center"/>
    </xf>
    <xf applyAlignment="true" applyBorder="false" applyFill="true" applyFont="true" applyNumberFormat="true" applyProtection="false" borderId="43" fillId="39" fontId="2" numFmtId="243" xfId="0">
      <alignment horizontal="center" vertical="center" wrapText="true"/>
    </xf>
    <xf applyAlignment="true" applyBorder="false" applyFill="false" applyFont="true" applyNumberFormat="true" applyProtection="false" borderId="43" fillId="0" fontId="2" numFmtId="241" xfId="0">
      <alignment horizontal="center" vertical="center"/>
    </xf>
    <xf applyAlignment="true" applyBorder="false" applyFill="false" applyFont="true" applyNumberFormat="true" applyProtection="false" borderId="43" fillId="0" fontId="2" numFmtId="234" xfId="0">
      <alignment horizontal="center" vertical="center"/>
    </xf>
    <xf applyAlignment="true" applyBorder="false" applyFill="false" applyFont="true" applyNumberFormat="true" applyProtection="false" borderId="43" fillId="0" fontId="2" numFmtId="239" xfId="0">
      <alignment horizontal="center" vertical="center"/>
    </xf>
    <xf applyAlignment="true" applyBorder="false" applyFill="false" applyFont="true" applyNumberFormat="true" applyProtection="false" borderId="43" fillId="0" fontId="2" numFmtId="243" xfId="0">
      <alignment horizontal="center" vertical="center" wrapText="true"/>
    </xf>
    <xf applyAlignment="true" applyBorder="false" applyFill="false" applyFont="true" applyNumberFormat="true" applyProtection="false" borderId="43" fillId="0" fontId="2" numFmtId="243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51" fillId="38" fontId="1" numFmtId="245" xfId="0">
      <alignment horizontal="center" vertical="center"/>
    </xf>
    <xf applyAlignment="true" applyBorder="false" applyFill="true" applyFont="true" applyNumberFormat="true" applyProtection="false" borderId="51" fillId="38" fontId="1" numFmtId="245" xfId="0">
      <alignment horizontal="center" vertical="center"/>
    </xf>
    <xf applyAlignment="true" applyBorder="false" applyFill="true" applyFont="true" applyNumberFormat="false" applyProtection="false" borderId="51" fillId="39" fontId="1" numFmtId="0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horizontal="center" vertical="center"/>
    </xf>
    <xf applyAlignment="true" applyBorder="false" applyFill="false" applyFont="true" applyNumberFormat="false" applyProtection="false" borderId="51" fillId="0" fontId="2" numFmtId="0" xfId="0">
      <alignment horizontal="center" vertical="center" wrapText="true"/>
    </xf>
    <xf applyAlignment="true" applyBorder="false" applyFill="false" applyFont="true" applyNumberFormat="false" applyProtection="false" borderId="51" fillId="0" fontId="1" numFmtId="0" xfId="0">
      <alignment horizontal="center" vertical="center"/>
    </xf>
    <xf applyAlignment="true" applyBorder="false" applyFill="false" applyFont="true" applyNumberFormat="true" applyProtection="false" borderId="51" fillId="0" fontId="1" numFmtId="234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vertical="center"/>
    </xf>
    <xf applyAlignment="true" applyBorder="false" applyFill="true" applyFont="true" applyNumberFormat="true" applyProtection="false" borderId="52" fillId="38" fontId="2" numFmtId="243" xfId="0">
      <alignment horizontal="center" vertical="center"/>
    </xf>
    <xf applyAlignment="true" applyBorder="false" applyFill="false" applyFont="true" applyNumberFormat="false" applyProtection="false" borderId="51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43" fillId="0" fontId="2" numFmtId="241" xfId="0">
      <alignment horizontal="center" vertical="center"/>
    </xf>
    <xf applyAlignment="true" applyBorder="false" applyFill="false" applyFont="true" applyNumberFormat="true" applyProtection="false" borderId="43" fillId="0" fontId="5" numFmtId="242" xfId="0">
      <alignment horizontal="center" vertical="center"/>
    </xf>
    <xf applyAlignment="true" applyBorder="false" applyFill="true" applyFont="true" applyNumberFormat="true" applyProtection="false" borderId="47" fillId="36" fontId="2" numFmtId="235" xfId="0">
      <alignment horizontal="center" vertical="center"/>
    </xf>
    <xf applyAlignment="true" applyBorder="false" applyFill="true" applyFont="true" applyNumberFormat="true" applyProtection="false" borderId="43" fillId="40" fontId="1" numFmtId="245" xfId="0">
      <alignment horizontal="center" vertical="center"/>
    </xf>
    <xf applyAlignment="true" applyBorder="false" applyFill="true" applyFont="true" applyNumberFormat="false" applyProtection="false" borderId="43" fillId="41" fontId="1" numFmtId="0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 wrapText="true"/>
    </xf>
    <xf applyAlignment="true" applyBorder="false" applyFill="true" applyFont="true" applyNumberFormat="true" applyProtection="false" borderId="52" fillId="40" fontId="2" numFmtId="243" xfId="0">
      <alignment horizontal="center" vertical="center"/>
    </xf>
    <xf applyAlignment="true" applyBorder="false" applyFill="true" applyFont="true" applyNumberFormat="true" applyProtection="false" borderId="43" fillId="41" fontId="2" numFmtId="243" xfId="0">
      <alignment horizontal="center" vertical="center"/>
    </xf>
    <xf applyAlignment="true" applyBorder="false" applyFill="true" applyFont="true" applyNumberFormat="true" applyProtection="false" borderId="43" fillId="41" fontId="2" numFmtId="243" xfId="0">
      <alignment horizontal="center" vertical="center" wrapText="true"/>
    </xf>
    <xf applyAlignment="true" applyBorder="false" applyFill="true" applyFont="true" applyNumberFormat="true" applyProtection="false" borderId="43" fillId="40" fontId="1" numFmtId="245" xfId="0">
      <alignment horizontal="center" vertical="center"/>
    </xf>
    <xf applyAlignment="true" applyBorder="false" applyFill="false" applyFont="true" applyNumberFormat="false" applyProtection="false" borderId="43" fillId="0" fontId="1" numFmtId="0" xfId="0">
      <alignment horizontal="center" vertical="center"/>
    </xf>
    <xf applyAlignment="true" applyBorder="false" applyFill="false" applyFont="true" applyNumberFormat="true" applyProtection="false" borderId="50" fillId="0" fontId="2" numFmtId="243" xfId="0">
      <alignment horizontal="center" vertical="center" wrapText="true"/>
    </xf>
    <xf applyAlignment="true" applyBorder="false" applyFill="false" applyFont="true" applyNumberFormat="true" applyProtection="false" borderId="43" fillId="0" fontId="5" numFmtId="234" xfId="0">
      <alignment horizontal="center" vertical="center"/>
    </xf>
    <xf applyAlignment="true" applyBorder="false" applyFill="false" applyFont="true" applyNumberFormat="true" applyProtection="false" borderId="43" fillId="0" fontId="5" numFmtId="236" xfId="0">
      <alignment horizontal="center"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false" applyFont="true" applyNumberFormat="false" applyProtection="false" borderId="49" fillId="0" fontId="4" numFmtId="0" xfId="0">
      <alignment horizontal="center" vertical="center"/>
    </xf>
    <xf applyAlignment="true" applyBorder="false" applyFill="false" applyFont="true" applyNumberFormat="true" applyProtection="false" borderId="43" fillId="0" fontId="5" numFmtId="243" xfId="0">
      <alignment horizontal="center" vertical="center"/>
    </xf>
    <xf applyAlignment="true" applyBorder="false" applyFill="true" applyFont="true" applyNumberFormat="true" applyProtection="false" borderId="53" fillId="42" fontId="2" numFmtId="246" xfId="0">
      <alignment horizontal="center" vertical="center"/>
    </xf>
    <xf applyAlignment="true" applyBorder="false" applyFill="true" applyFont="true" applyNumberFormat="true" applyProtection="false" borderId="53" fillId="43" fontId="2" numFmtId="247" xfId="0">
      <alignment horizontal="center" vertical="center"/>
    </xf>
    <xf applyAlignment="true" applyBorder="false" applyFill="true" applyFont="true" applyNumberFormat="false" applyProtection="false" borderId="53" fillId="44" fontId="2" numFmtId="0" xfId="0">
      <alignment horizontal="center" vertical="center"/>
    </xf>
    <xf applyAlignment="true" applyBorder="false" applyFill="true" applyFont="true" applyNumberFormat="true" applyProtection="false" borderId="54" fillId="45" fontId="4" numFmtId="248" xfId="0">
      <alignment horizontal="center" vertical="center"/>
    </xf>
    <xf applyAlignment="true" applyBorder="false" applyFill="false" applyFont="true" applyNumberFormat="true" applyProtection="false" borderId="53" fillId="0" fontId="5" numFmtId="249" xfId="0">
      <alignment horizontal="center" vertical="center"/>
    </xf>
    <xf applyAlignment="true" applyBorder="false" applyFill="true" applyFont="true" applyNumberFormat="true" applyProtection="false" borderId="53" fillId="46" fontId="1" numFmtId="250" xfId="0">
      <alignment horizontal="center" vertical="center"/>
    </xf>
    <xf applyAlignment="true" applyBorder="false" applyFill="true" applyFont="true" applyNumberFormat="false" applyProtection="false" borderId="55" fillId="42" fontId="2" numFmtId="0" xfId="0">
      <alignment horizontal="center" vertical="center"/>
    </xf>
    <xf applyAlignment="true" applyBorder="false" applyFill="true" applyFont="true" applyNumberFormat="true" applyProtection="false" borderId="55" fillId="43" fontId="2" numFmtId="247" xfId="0">
      <alignment horizontal="center" vertical="center"/>
    </xf>
    <xf applyAlignment="true" applyBorder="false" applyFill="true" applyFont="true" applyNumberFormat="true" applyProtection="false" borderId="55" fillId="43" fontId="2" numFmtId="249" xfId="0">
      <alignment horizontal="center" vertical="center"/>
    </xf>
    <xf applyAlignment="true" applyBorder="false" applyFill="true" applyFont="true" applyNumberFormat="true" applyProtection="false" borderId="55" fillId="43" fontId="2" numFmtId="249" xfId="0">
      <alignment horizontal="center" vertical="center"/>
    </xf>
    <xf applyAlignment="true" applyBorder="false" applyFill="true" applyFont="true" applyNumberFormat="true" applyProtection="false" borderId="55" fillId="43" fontId="2" numFmtId="251" xfId="0">
      <alignment horizontal="center" vertical="center"/>
    </xf>
    <xf applyAlignment="true" applyBorder="false" applyFill="true" applyFont="true" applyNumberFormat="true" applyProtection="false" borderId="55" fillId="43" fontId="2" numFmtId="252" xfId="0">
      <alignment horizontal="center" vertical="center"/>
    </xf>
    <xf applyAlignment="true" applyBorder="false" applyFill="true" applyFont="true" applyNumberFormat="true" applyProtection="false" borderId="55" fillId="44" fontId="2" numFmtId="253" xfId="0">
      <alignment horizontal="center" vertical="center"/>
    </xf>
    <xf applyAlignment="true" applyBorder="false" applyFill="true" applyFont="true" applyNumberFormat="true" applyProtection="false" borderId="55" fillId="44" fontId="2" numFmtId="254" xfId="0">
      <alignment horizontal="center" vertical="center"/>
    </xf>
    <xf applyAlignment="true" applyBorder="false" applyFill="true" applyFont="true" applyNumberFormat="true" applyProtection="false" borderId="0" fillId="44" fontId="2" numFmtId="253" xfId="0">
      <alignment horizontal="center" vertical="center"/>
    </xf>
    <xf applyAlignment="true" applyBorder="false" applyFill="true" applyFont="true" applyNumberFormat="false" applyProtection="false" borderId="0" fillId="44" fontId="2" numFmtId="0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false" applyProtection="false" borderId="53" fillId="0" fontId="4" numFmtId="0" xfId="0">
      <alignment horizontal="center" vertical="center"/>
    </xf>
    <xf applyAlignment="true" applyBorder="false" applyFill="true" applyFont="true" applyNumberFormat="false" applyProtection="false" borderId="53" fillId="47" fontId="1" numFmtId="0" xfId="0">
      <alignment horizontal="center" vertical="center"/>
    </xf>
    <xf applyAlignment="true" applyBorder="false" applyFill="false" applyFont="true" applyNumberFormat="true" applyProtection="false" borderId="53" fillId="0" fontId="5" numFmtId="246" xfId="0">
      <alignment horizontal="center" vertical="center"/>
    </xf>
    <xf applyAlignment="true" applyBorder="false" applyFill="false" applyFont="true" applyNumberFormat="true" applyProtection="false" borderId="53" fillId="0" fontId="5" numFmtId="247" xfId="0">
      <alignment horizontal="center" vertical="center"/>
    </xf>
    <xf applyAlignment="true" applyBorder="false" applyFill="false" applyFont="true" applyNumberFormat="false" applyProtection="false" borderId="53" fillId="0" fontId="5" numFmtId="0" xfId="0">
      <alignment horizontal="center" vertical="center"/>
    </xf>
    <xf applyAlignment="true" applyBorder="false" applyFill="false" applyFont="true" applyNumberFormat="true" applyProtection="false" borderId="53" fillId="0" fontId="5" numFmtId="255" xfId="0">
      <alignment horizontal="center" vertical="center"/>
    </xf>
    <xf applyAlignment="true" applyBorder="false" applyFill="false" applyFont="true" applyNumberFormat="true" applyProtection="false" borderId="53" fillId="0" fontId="5" numFmtId="252" xfId="0">
      <alignment horizontal="center" vertical="center"/>
    </xf>
    <xf applyAlignment="true" applyBorder="false" applyFill="false" applyFont="true" applyNumberFormat="true" applyProtection="false" borderId="53" fillId="0" fontId="6" numFmtId="253" xfId="0">
      <alignment horizontal="center" vertical="center"/>
    </xf>
    <xf applyAlignment="true" applyBorder="false" applyFill="false" applyFont="true" applyNumberFormat="true" applyProtection="false" borderId="53" fillId="0" fontId="5" numFmtId="254" xfId="0">
      <alignment horizontal="center" vertical="center"/>
    </xf>
    <xf applyAlignment="true" applyBorder="false" applyFill="false" applyFont="true" applyNumberFormat="true" applyProtection="false" borderId="53" fillId="0" fontId="5" numFmtId="253" xfId="0">
      <alignment horizontal="center" vertical="center"/>
    </xf>
    <xf applyAlignment="true" applyBorder="false" applyFill="false" applyFont="true" applyNumberFormat="true" applyProtection="false" borderId="53" fillId="0" fontId="5" numFmtId="256" xfId="0">
      <alignment horizontal="center" vertical="center"/>
    </xf>
    <xf applyAlignment="true" applyBorder="false" applyFill="false" applyFont="true" applyNumberFormat="true" applyProtection="false" borderId="53" fillId="0" fontId="5" numFmtId="257" xfId="0">
      <alignment horizontal="center" vertical="center"/>
    </xf>
    <xf applyAlignment="true" applyBorder="false" applyFill="true" applyFont="true" applyNumberFormat="true" applyProtection="false" borderId="53" fillId="48" fontId="5" numFmtId="257" xfId="0">
      <alignment horizontal="center" vertical="center"/>
    </xf>
    <xf applyAlignment="true" applyBorder="false" applyFill="false" applyFont="true" applyNumberFormat="false" applyProtection="false" borderId="56" fillId="0" fontId="4" numFmtId="0" xfId="0">
      <alignment horizontal="center" vertical="center"/>
    </xf>
    <xf applyAlignment="true" applyBorder="false" applyFill="false" applyFont="true" applyNumberFormat="false" applyProtection="false" borderId="53" fillId="0" fontId="1" numFmtId="0" xfId="0">
      <alignment horizontal="center" vertical="center"/>
    </xf>
    <xf applyAlignment="true" applyBorder="false" applyFill="false" applyFont="true" applyNumberFormat="false" applyProtection="false" borderId="53" fillId="0" fontId="2" numFmtId="0" xfId="0">
      <alignment horizontal="center" vertical="center" wrapText="true"/>
    </xf>
    <xf applyAlignment="true" applyBorder="false" applyFill="false" applyFont="true" applyNumberFormat="false" applyProtection="false" borderId="53" fillId="0" fontId="1" numFmtId="0" xfId="0">
      <alignment horizontal="center" vertical="center"/>
    </xf>
    <xf applyAlignment="true" applyBorder="false" applyFill="false" applyFont="true" applyNumberFormat="true" applyProtection="false" borderId="53" fillId="0" fontId="1" numFmtId="247" xfId="0">
      <alignment horizontal="center" vertical="center"/>
    </xf>
    <xf applyAlignment="true" applyBorder="false" applyFill="true" applyFont="true" applyNumberFormat="false" applyProtection="false" borderId="53" fillId="49" fontId="1" numFmtId="0" xfId="0">
      <alignment horizontal="center" vertical="center"/>
    </xf>
    <xf applyAlignment="true" applyBorder="false" applyFill="true" applyFont="true" applyNumberFormat="true" applyProtection="false" borderId="53" fillId="49" fontId="1" numFmtId="247" xfId="0">
      <alignment horizontal="center" vertical="center"/>
    </xf>
    <xf applyAlignment="true" applyBorder="false" applyFill="false" applyFont="true" applyNumberFormat="false" applyProtection="false" borderId="53" fillId="0" fontId="5" numFmtId="0" xfId="0">
      <alignment horizontal="center" vertical="center"/>
    </xf>
    <xf applyAlignment="true" applyBorder="false" applyFill="true" applyFont="true" applyNumberFormat="true" applyProtection="false" borderId="57" fillId="46" fontId="2" numFmtId="258" xfId="0">
      <alignment horizontal="center" vertical="center"/>
    </xf>
    <xf applyAlignment="true" applyBorder="false" applyFill="true" applyFont="true" applyNumberFormat="false" applyProtection="false" borderId="53" fillId="50" fontId="7" numFmtId="0" xfId="0">
      <alignment horizontal="center" vertical="center"/>
    </xf>
    <xf applyAlignment="true" applyBorder="false" applyFill="true" applyFont="true" applyNumberFormat="true" applyProtection="false" borderId="53" fillId="50" fontId="8" numFmtId="247" xfId="0">
      <alignment horizontal="center" vertical="center"/>
    </xf>
    <xf applyAlignment="true" applyBorder="false" applyFill="true" applyFont="true" applyNumberFormat="true" applyProtection="false" borderId="53" fillId="50" fontId="8" numFmtId="254" xfId="0">
      <alignment horizontal="center" vertical="center"/>
    </xf>
    <xf applyAlignment="true" applyBorder="false" applyFill="true" applyFont="true" applyNumberFormat="true" applyProtection="false" borderId="53" fillId="50" fontId="8" numFmtId="252" xfId="0">
      <alignment horizontal="center" vertical="center"/>
    </xf>
    <xf applyAlignment="true" applyBorder="false" applyFill="true" applyFont="true" applyNumberFormat="true" applyProtection="false" borderId="53" fillId="50" fontId="8" numFmtId="256" xfId="0">
      <alignment horizontal="center" vertical="center"/>
    </xf>
    <xf applyAlignment="true" applyBorder="false" applyFill="true" applyFont="true" applyNumberFormat="true" applyProtection="false" borderId="53" fillId="50" fontId="7" numFmtId="253" xfId="0">
      <alignment horizontal="center" vertical="center"/>
    </xf>
    <xf applyAlignment="true" applyBorder="false" applyFill="true" applyFont="true" applyNumberFormat="true" applyProtection="false" borderId="53" fillId="50" fontId="7" numFmtId="254" xfId="0">
      <alignment horizontal="center" vertical="center"/>
    </xf>
    <xf applyAlignment="true" applyBorder="false" applyFill="true" applyFont="true" applyNumberFormat="true" applyProtection="false" borderId="53" fillId="50" fontId="5" numFmtId="253" xfId="0">
      <alignment horizontal="center" vertical="center"/>
    </xf>
    <xf applyAlignment="true" applyBorder="false" applyFill="true" applyFont="true" applyNumberFormat="true" applyProtection="false" borderId="53" fillId="50" fontId="5" numFmtId="254" xfId="0">
      <alignment horizontal="center" vertical="center"/>
    </xf>
    <xf applyAlignment="true" applyBorder="false" applyFill="true" applyFont="true" applyNumberFormat="true" applyProtection="false" borderId="58" fillId="50" fontId="2" numFmtId="248" xfId="0">
      <alignment horizontal="center" vertical="center"/>
    </xf>
    <xf applyAlignment="true" applyBorder="false" applyFill="true" applyFont="true" applyNumberFormat="true" applyProtection="false" borderId="53" fillId="47" fontId="2" numFmtId="258" xfId="0">
      <alignment horizontal="center" vertical="center"/>
    </xf>
    <xf applyAlignment="true" applyBorder="false" applyFill="true" applyFont="true" applyNumberFormat="true" applyProtection="false" borderId="53" fillId="47" fontId="2" numFmtId="258" xfId="0">
      <alignment horizontal="center" vertical="center" wrapText="true"/>
    </xf>
    <xf applyAlignment="true" applyBorder="false" applyFill="false" applyFont="true" applyNumberFormat="true" applyProtection="false" borderId="53" fillId="0" fontId="5" numFmtId="247" xfId="0">
      <alignment horizontal="center" vertical="center"/>
    </xf>
    <xf applyAlignment="true" applyBorder="false" applyFill="false" applyFont="true" applyNumberFormat="false" applyProtection="false" borderId="59" fillId="0" fontId="4" numFmtId="0" xfId="0">
      <alignment horizontal="center" vertical="center"/>
    </xf>
    <xf applyAlignment="true" applyBorder="false" applyFill="false" applyFont="true" applyNumberFormat="true" applyProtection="false" borderId="53" fillId="0" fontId="2" numFmtId="258" xfId="0">
      <alignment horizontal="center" vertical="center"/>
    </xf>
    <xf applyAlignment="true" applyBorder="false" applyFill="false" applyFont="true" applyNumberFormat="true" applyProtection="false" borderId="53" fillId="0" fontId="2" numFmtId="256" xfId="0">
      <alignment horizontal="center" vertical="center"/>
    </xf>
    <xf applyAlignment="true" applyBorder="false" applyFill="false" applyFont="true" applyNumberFormat="true" applyProtection="false" borderId="53" fillId="0" fontId="2" numFmtId="247" xfId="0">
      <alignment horizontal="center" vertical="center"/>
    </xf>
    <xf applyAlignment="true" applyBorder="false" applyFill="false" applyFont="true" applyNumberFormat="true" applyProtection="false" borderId="53" fillId="0" fontId="2" numFmtId="253" xfId="0">
      <alignment horizontal="center" vertical="center"/>
    </xf>
    <xf applyAlignment="true" applyBorder="false" applyFill="false" applyFont="true" applyNumberFormat="true" applyProtection="false" borderId="53" fillId="0" fontId="2" numFmtId="258" xfId="0">
      <alignment horizontal="center" vertical="center" wrapText="true"/>
    </xf>
    <xf applyAlignment="true" applyBorder="false" applyFill="false" applyFont="true" applyNumberFormat="true" applyProtection="false" borderId="53" fillId="0" fontId="2" numFmtId="258" xfId="0">
      <alignment horizontal="center" vertical="center" wrapText="true"/>
    </xf>
    <xf applyAlignment="true" applyBorder="false" applyFill="false" applyFont="true" applyNumberFormat="true" applyProtection="false" borderId="60" fillId="0" fontId="2" numFmtId="258" xfId="0">
      <alignment horizontal="center" vertical="center"/>
    </xf>
    <xf applyAlignment="true" applyBorder="false" applyFill="false" applyFont="true" applyNumberFormat="false" applyProtection="false" borderId="59" fillId="0" fontId="4" numFmtId="0" xfId="0">
      <alignment horizontal="center" vertical="center"/>
    </xf>
    <xf applyAlignment="true" applyBorder="false" applyFill="false" applyFont="true" applyNumberFormat="true" applyProtection="false" borderId="53" fillId="0" fontId="11" numFmtId="258" xfId="0">
      <alignment horizontal="center" vertical="center"/>
    </xf>
    <xf applyAlignment="true" applyBorder="false" applyFill="false" applyFont="true" applyNumberFormat="false" applyProtection="false" borderId="60" fillId="0" fontId="4" numFmtId="0" xfId="0">
      <alignment horizontal="center" vertical="center"/>
    </xf>
    <xf applyAlignment="true" applyBorder="false" applyFill="false" applyFont="true" applyNumberFormat="true" applyProtection="false" borderId="61" fillId="0" fontId="2" numFmtId="258" xfId="0">
      <alignment horizontal="center" vertical="center" wrapText="true"/>
    </xf>
    <xf applyAlignment="true" applyBorder="false" applyFill="true" applyFont="true" applyNumberFormat="true" applyProtection="false" borderId="53" fillId="51" fontId="8" numFmtId="254" xfId="0">
      <alignment horizontal="center" vertical="center"/>
    </xf>
    <xf applyAlignment="true" applyBorder="false" applyFill="true" applyFont="true" applyNumberFormat="true" applyProtection="false" borderId="53" fillId="51" fontId="8" numFmtId="258" xfId="0">
      <alignment horizontal="center" vertical="center"/>
    </xf>
    <xf applyAlignment="true" applyBorder="false" applyFill="true" applyFont="true" applyNumberFormat="true" applyProtection="false" borderId="53" fillId="51" fontId="8" numFmtId="253" xfId="0">
      <alignment horizontal="center" vertical="center"/>
    </xf>
    <xf applyAlignment="true" applyBorder="false" applyFill="true" applyFont="true" applyNumberFormat="true" applyProtection="false" borderId="53" fillId="51" fontId="9" numFmtId="259" xfId="0">
      <alignment horizontal="center" vertical="center"/>
    </xf>
    <xf applyAlignment="true" applyBorder="false" applyFill="true" applyFont="true" applyNumberFormat="true" applyProtection="false" borderId="53" fillId="51" fontId="8" numFmtId="249" xfId="0">
      <alignment horizontal="center" vertical="center"/>
    </xf>
    <xf applyAlignment="true" applyBorder="false" applyFill="false" applyFont="true" applyNumberFormat="true" applyProtection="false" borderId="60" fillId="0" fontId="2" numFmtId="258" xfId="0">
      <alignment horizontal="center" vertical="center"/>
    </xf>
    <xf applyAlignment="true" applyBorder="false" applyFill="true" applyFont="true" applyNumberFormat="false" applyProtection="false" borderId="56" fillId="52" fontId="4" numFmtId="0" xfId="0">
      <alignment horizontal="center" vertical="center"/>
    </xf>
    <xf applyAlignment="true" applyBorder="false" applyFill="true" applyFont="true" applyNumberFormat="false" applyProtection="false" borderId="53" fillId="52" fontId="4" numFmtId="0" xfId="0">
      <alignment horizontal="center" vertical="center"/>
    </xf>
    <xf applyAlignment="true" applyBorder="false" applyFill="true" applyFont="true" applyNumberFormat="true" applyProtection="false" borderId="53" fillId="50" fontId="7" numFmtId="247" xfId="0">
      <alignment horizontal="center" vertical="center"/>
    </xf>
    <xf applyAlignment="true" applyBorder="false" applyFill="false" applyFont="true" applyNumberFormat="true" applyProtection="false" borderId="53" fillId="0" fontId="5" numFmtId="249" xfId="0">
      <alignment horizontal="center" vertical="center"/>
    </xf>
    <xf applyAlignment="true" applyBorder="false" applyFill="true" applyFont="true" applyNumberFormat="true" applyProtection="false" borderId="54" fillId="52" fontId="4" numFmtId="248" xfId="0">
      <alignment horizontal="center" vertical="center"/>
    </xf>
    <xf applyAlignment="true" applyBorder="false" applyFill="false" applyFont="true" applyNumberFormat="true" applyProtection="false" borderId="61" fillId="0" fontId="2" numFmtId="258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53" fillId="50" fontId="8" numFmtId="249" xfId="0">
      <alignment horizontal="center" vertical="center"/>
    </xf>
    <xf applyAlignment="true" applyBorder="false" applyFill="false" applyFont="true" applyNumberFormat="true" applyProtection="false" borderId="53" fillId="0" fontId="2" numFmtId="258" xfId="0">
      <alignment horizontal="center" vertical="center"/>
    </xf>
    <xf applyAlignment="true" applyBorder="false" applyFill="false" applyFont="true" applyNumberFormat="true" applyProtection="false" borderId="61" fillId="0" fontId="11" numFmtId="247" xfId="0">
      <alignment horizontal="center" vertical="center"/>
    </xf>
    <xf applyAlignment="true" applyBorder="false" applyFill="false" applyFont="true" applyNumberFormat="true" applyProtection="false" borderId="60" fillId="0" fontId="11" numFmtId="258" xfId="0">
      <alignment horizontal="center" vertical="center"/>
    </xf>
    <xf applyAlignment="true" applyBorder="false" applyFill="false" applyFont="true" applyNumberFormat="true" applyProtection="false" borderId="60" fillId="0" fontId="2" numFmtId="247" xfId="0">
      <alignment horizontal="center" vertical="center"/>
    </xf>
    <xf applyAlignment="true" applyBorder="false" applyFill="true" applyFont="true" applyNumberFormat="false" applyProtection="false" borderId="62" fillId="48" fontId="12" numFmtId="0" xfId="0">
      <alignment horizontal="righ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true" applyProtection="false" borderId="53" fillId="46" fontId="1" numFmtId="250" xfId="0">
      <alignment horizontal="center" vertical="center"/>
    </xf>
    <xf applyAlignment="true" applyBorder="false" applyFill="false" applyFont="true" applyNumberFormat="false" applyProtection="false" borderId="53" fillId="0" fontId="2" numFmtId="0" xfId="0">
      <alignment horizontal="center" vertical="center" wrapText="true"/>
    </xf>
    <xf applyAlignment="true" applyBorder="false" applyFill="true" applyFont="true" applyNumberFormat="true" applyProtection="false" borderId="53" fillId="47" fontId="1" numFmtId="247" xfId="0">
      <alignment horizontal="center" vertical="center"/>
    </xf>
    <xf applyAlignment="true" applyBorder="false" applyFill="false" applyFont="true" applyNumberFormat="false" applyProtection="false" borderId="53" fillId="0" fontId="1" numFmtId="0" xfId="0">
      <alignment horizontal="center" vertical="center"/>
    </xf>
    <xf applyAlignment="true" applyBorder="false" applyFill="false" applyFont="true" applyNumberFormat="true" applyProtection="false" borderId="53" fillId="0" fontId="2" numFmtId="258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11267605633802"/>
  </cols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2</v>
      </c>
      <c r="B2" s="3" t="s">
        <v>3</v>
      </c>
      <c r="C2" s="3" t="s">
        <v>4</v>
      </c>
      <c r="D2" s="4" t="s">
        <v>5</v>
      </c>
      <c r="E2" s="2" t="s">
        <v>6</v>
      </c>
      <c r="F2" s="5" t="s">
        <v>7</v>
      </c>
      <c r="G2" s="5" t="s">
        <v>8</v>
      </c>
      <c r="H2" s="2" t="s">
        <v>9</v>
      </c>
      <c r="I2" s="2" t="s">
        <v>10</v>
      </c>
      <c r="J2" s="2" t="s">
        <v>11</v>
      </c>
      <c r="K2" s="2"/>
    </row>
    <row r="3">
      <c r="A3" s="6" t="s">
        <v>12</v>
      </c>
      <c r="B3" s="7" t="s">
        <v>13</v>
      </c>
      <c r="C3" s="8">
        <v>4</v>
      </c>
      <c r="D3" s="9">
        <v>4448.08</v>
      </c>
      <c r="E3" s="10">
        <v>10944.2</v>
      </c>
      <c r="F3" s="8">
        <v>6</v>
      </c>
      <c r="G3" s="11">
        <f t="shared" ref="G3:G7" si="38">E3/F3</f>
      </c>
      <c r="H3" s="11">
        <f t="shared" ref="H3:H7" si="0">D3/F3</f>
      </c>
      <c r="I3" s="11">
        <f t="shared" ref="I3:I7" si="57">E3/D3</f>
      </c>
      <c r="J3" s="11">
        <f t="shared" ref="J3:J7" si="19">D3/C3</f>
      </c>
      <c r="K3" s="11"/>
    </row>
    <row r="4">
      <c r="A4" s="6" t="s">
        <v>14</v>
      </c>
      <c r="B4" s="7" t="s">
        <v>15</v>
      </c>
      <c r="C4" s="8">
        <v>5</v>
      </c>
      <c r="D4" s="9">
        <v>5116.9400000000005</v>
      </c>
      <c r="E4" s="8">
        <v>15488.400000000001</v>
      </c>
      <c r="F4" s="8">
        <v>6</v>
      </c>
      <c r="G4" s="11">
        <f t="shared" si="38"/>
      </c>
      <c r="H4" s="11">
        <f t="shared" si="0"/>
      </c>
      <c r="I4" s="11">
        <f t="shared" si="57"/>
      </c>
      <c r="J4" s="11">
        <f t="shared" si="19"/>
      </c>
      <c r="K4" s="11"/>
    </row>
    <row r="5">
      <c r="A5" s="6" t="s">
        <v>16</v>
      </c>
      <c r="B5" s="7" t="s">
        <v>17</v>
      </c>
      <c r="C5" s="8">
        <v>2</v>
      </c>
      <c r="D5" s="9">
        <v>2258.7999999999993</v>
      </c>
      <c r="E5" s="10">
        <v>8523.599999999999</v>
      </c>
      <c r="F5" s="8">
        <v>2</v>
      </c>
      <c r="G5" s="11">
        <f t="shared" si="38"/>
      </c>
      <c r="H5" s="11">
        <f t="shared" si="0"/>
      </c>
      <c r="I5" s="11">
        <f t="shared" si="57"/>
      </c>
      <c r="J5" s="11">
        <f t="shared" si="19"/>
      </c>
      <c r="K5" s="11"/>
    </row>
    <row r="6">
      <c r="A6" s="12" t="s">
        <v>18</v>
      </c>
      <c r="B6" s="7" t="s">
        <v>19</v>
      </c>
      <c r="C6" s="8">
        <v>5</v>
      </c>
      <c r="D6" s="11">
        <v>8117.189999999999</v>
      </c>
      <c r="E6" s="13">
        <v>26118.8</v>
      </c>
      <c r="F6" s="8">
        <v>19</v>
      </c>
      <c r="G6" s="11">
        <f t="shared" si="38"/>
      </c>
      <c r="H6" s="11">
        <f t="shared" si="0"/>
      </c>
      <c r="I6" s="11">
        <f t="shared" si="57"/>
      </c>
      <c r="J6" s="11">
        <f t="shared" si="19"/>
      </c>
      <c r="K6" s="11"/>
    </row>
    <row r="7">
      <c r="A7" s="2" t="s">
        <v>20</v>
      </c>
      <c r="B7" s="3"/>
      <c r="C7" s="14">
        <f>SUM(C3:C6)</f>
      </c>
      <c r="D7" s="3">
        <f>SUM(D3:D6)</f>
      </c>
      <c r="E7" s="3">
        <f>SUM(E3:E6)</f>
      </c>
      <c r="F7" s="2">
        <f>SUM(F3:F6)</f>
      </c>
      <c r="G7" s="4">
        <f t="shared" si="38"/>
      </c>
      <c r="H7" s="4">
        <f t="shared" si="0"/>
      </c>
      <c r="I7" s="4">
        <f t="shared" si="57"/>
      </c>
      <c r="J7" s="4">
        <f t="shared" si="19"/>
      </c>
      <c r="K7" s="4"/>
    </row>
    <row r="8">
      <c r="A8" s="15" t="s">
        <v>21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>
      <c r="A9" s="16" t="s">
        <v>5</v>
      </c>
      <c r="B9" s="16" t="s">
        <v>22</v>
      </c>
      <c r="C9" s="16" t="s">
        <v>23</v>
      </c>
      <c r="D9" s="16" t="s">
        <v>24</v>
      </c>
      <c r="E9" s="16" t="s">
        <v>25</v>
      </c>
      <c r="F9" s="16" t="s">
        <v>26</v>
      </c>
      <c r="G9" s="16" t="s">
        <v>27</v>
      </c>
      <c r="H9" s="17" t="s">
        <v>28</v>
      </c>
      <c r="I9" s="17" t="s">
        <v>29</v>
      </c>
      <c r="J9" s="17" t="s">
        <v>30</v>
      </c>
      <c r="K9" s="17" t="s">
        <v>4</v>
      </c>
    </row>
    <row r="10">
      <c r="A10" s="18">
        <f>SUM(D3:D6)</f>
      </c>
      <c r="B10" s="18">
        <f>SUM(E3:E6)</f>
      </c>
      <c r="C10" s="19">
        <f>B10/((K10*300)+A10)</f>
      </c>
      <c r="D10" s="20">
        <f>A10/J10</f>
      </c>
      <c r="E10" s="19">
        <f>B10/J10</f>
      </c>
      <c r="F10" s="21">
        <f>J10/I10</f>
      </c>
      <c r="G10" s="21">
        <f>H10/J10</f>
      </c>
      <c r="H10" s="22">
        <v>7</v>
      </c>
      <c r="I10" s="22">
        <v>43</v>
      </c>
      <c r="J10" s="23">
        <f>F7</f>
      </c>
      <c r="K10" s="23">
        <f>C7</f>
      </c>
    </row>
    <row r="11">
      <c r="A11" s="1" t="s">
        <v>31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2" t="s">
        <v>2</v>
      </c>
      <c r="B12" s="3" t="s">
        <v>3</v>
      </c>
      <c r="C12" s="3" t="s">
        <v>4</v>
      </c>
      <c r="D12" s="4" t="s">
        <v>5</v>
      </c>
      <c r="E12" s="2" t="s">
        <v>6</v>
      </c>
      <c r="F12" s="5" t="s">
        <v>7</v>
      </c>
      <c r="G12" s="5" t="s">
        <v>8</v>
      </c>
      <c r="H12" s="2" t="s">
        <v>9</v>
      </c>
      <c r="I12" s="2" t="s">
        <v>10</v>
      </c>
      <c r="J12" s="2" t="s">
        <v>11</v>
      </c>
      <c r="K12" s="2"/>
    </row>
    <row r="13">
      <c r="A13" s="6" t="s">
        <v>12</v>
      </c>
      <c r="B13" s="7" t="s">
        <v>13</v>
      </c>
      <c r="C13" s="8">
        <v>4</v>
      </c>
      <c r="D13" s="9">
        <v>5587.44</v>
      </c>
      <c r="E13" s="8">
        <v>0</v>
      </c>
      <c r="F13" s="8">
        <v>0</v>
      </c>
      <c r="G13" s="11">
        <f t="shared" ref="G13:G17" si="39">E13/F13</f>
      </c>
      <c r="H13" s="11">
        <f t="shared" ref="H13:H17" si="1">D13/F13</f>
      </c>
      <c r="I13" s="11">
        <f t="shared" ref="I13:I17" si="58">E13/D13</f>
      </c>
      <c r="J13" s="11">
        <f t="shared" ref="J13:J17" si="20">D13/C13</f>
      </c>
      <c r="K13" s="11"/>
    </row>
    <row r="14">
      <c r="A14" s="6" t="s">
        <v>18</v>
      </c>
      <c r="B14" s="7" t="s">
        <v>32</v>
      </c>
      <c r="C14" s="8">
        <v>4</v>
      </c>
      <c r="D14" s="9">
        <v>4715.2699999999995</v>
      </c>
      <c r="E14" s="8">
        <v>11111.2</v>
      </c>
      <c r="F14" s="8">
        <v>4</v>
      </c>
      <c r="G14" s="11">
        <f t="shared" si="39"/>
      </c>
      <c r="H14" s="11">
        <f t="shared" si="1"/>
      </c>
      <c r="I14" s="11">
        <f t="shared" si="58"/>
      </c>
      <c r="J14" s="11">
        <f t="shared" si="20"/>
      </c>
      <c r="K14" s="11"/>
    </row>
    <row r="15">
      <c r="A15" s="6" t="s">
        <v>16</v>
      </c>
      <c r="B15" s="7" t="s">
        <v>33</v>
      </c>
      <c r="C15" s="8">
        <v>4</v>
      </c>
      <c r="D15" s="9">
        <v>3705.9900000000016</v>
      </c>
      <c r="E15" s="10">
        <v>7106</v>
      </c>
      <c r="F15" s="8">
        <v>4</v>
      </c>
      <c r="G15" s="11">
        <f t="shared" si="39"/>
      </c>
      <c r="H15" s="11">
        <f t="shared" si="1"/>
      </c>
      <c r="I15" s="11">
        <f t="shared" si="58"/>
      </c>
      <c r="J15" s="11">
        <f t="shared" si="20"/>
      </c>
      <c r="K15" s="11"/>
    </row>
    <row r="16">
      <c r="A16" s="12" t="s">
        <v>34</v>
      </c>
      <c r="B16" s="7" t="s">
        <v>35</v>
      </c>
      <c r="C16" s="8">
        <v>4</v>
      </c>
      <c r="D16" s="11">
        <v>5270.799999999999</v>
      </c>
      <c r="E16" s="13">
        <v>6439.200000000001</v>
      </c>
      <c r="F16" s="8">
        <v>3</v>
      </c>
      <c r="G16" s="11">
        <f t="shared" si="39"/>
      </c>
      <c r="H16" s="11">
        <f t="shared" si="1"/>
      </c>
      <c r="I16" s="11">
        <f t="shared" si="58"/>
      </c>
      <c r="J16" s="11">
        <f t="shared" si="20"/>
      </c>
      <c r="K16" s="11"/>
    </row>
    <row r="17">
      <c r="A17" s="2" t="s">
        <v>20</v>
      </c>
      <c r="B17" s="3"/>
      <c r="C17" s="14">
        <f>SUM(C13:C16)</f>
      </c>
      <c r="D17" s="3">
        <f>SUM(D13:D16)</f>
      </c>
      <c r="E17" s="3">
        <f>SUM(E13:E16)</f>
      </c>
      <c r="F17" s="2">
        <f>SUM(F13:F16)</f>
      </c>
      <c r="G17" s="4">
        <f t="shared" si="39"/>
      </c>
      <c r="H17" s="4">
        <f t="shared" si="1"/>
      </c>
      <c r="I17" s="4">
        <f t="shared" si="58"/>
      </c>
      <c r="J17" s="4">
        <f t="shared" si="20"/>
      </c>
      <c r="K17" s="4"/>
    </row>
    <row r="18">
      <c r="A18" s="15" t="s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>
      <c r="A19" s="16" t="s">
        <v>5</v>
      </c>
      <c r="B19" s="16" t="s">
        <v>22</v>
      </c>
      <c r="C19" s="16" t="s">
        <v>23</v>
      </c>
      <c r="D19" s="16" t="s">
        <v>24</v>
      </c>
      <c r="E19" s="16" t="s">
        <v>25</v>
      </c>
      <c r="F19" s="16" t="s">
        <v>26</v>
      </c>
      <c r="G19" s="16" t="s">
        <v>27</v>
      </c>
      <c r="H19" s="17" t="s">
        <v>28</v>
      </c>
      <c r="I19" s="17" t="s">
        <v>29</v>
      </c>
      <c r="J19" s="17" t="s">
        <v>30</v>
      </c>
      <c r="K19" s="17" t="s">
        <v>4</v>
      </c>
    </row>
    <row r="20">
      <c r="A20" s="18">
        <f>SUM(D13:D16)</f>
      </c>
      <c r="B20" s="18">
        <f>SUM(E13:E16)</f>
      </c>
      <c r="C20" s="19">
        <f>B20/((K20*300)+A20)</f>
      </c>
      <c r="D20" s="20">
        <f>A20/J20</f>
      </c>
      <c r="E20" s="19">
        <f>B20/J20</f>
      </c>
      <c r="F20" s="21">
        <f>J20/I20</f>
      </c>
      <c r="G20" s="21">
        <f>H20/J20</f>
      </c>
      <c r="H20" s="22">
        <v>0</v>
      </c>
      <c r="I20" s="22">
        <v>20</v>
      </c>
      <c r="J20" s="23">
        <f>F17</f>
      </c>
      <c r="K20" s="23">
        <f>C17</f>
      </c>
    </row>
    <row r="21">
      <c r="A21" s="1" t="s">
        <v>36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2" t="s">
        <v>2</v>
      </c>
      <c r="B22" s="3" t="s">
        <v>3</v>
      </c>
      <c r="C22" s="3" t="s">
        <v>4</v>
      </c>
      <c r="D22" s="4" t="s">
        <v>5</v>
      </c>
      <c r="E22" s="2" t="s">
        <v>6</v>
      </c>
      <c r="F22" s="5" t="s">
        <v>7</v>
      </c>
      <c r="G22" s="5" t="s">
        <v>8</v>
      </c>
      <c r="H22" s="2" t="s">
        <v>9</v>
      </c>
      <c r="I22" s="2" t="s">
        <v>10</v>
      </c>
      <c r="J22" s="2" t="s">
        <v>11</v>
      </c>
      <c r="K22" s="2"/>
    </row>
    <row r="23">
      <c r="A23" s="6" t="s">
        <v>18</v>
      </c>
      <c r="B23" s="7" t="s">
        <v>13</v>
      </c>
      <c r="C23" s="8">
        <v>4</v>
      </c>
      <c r="D23" s="9">
        <v>5868.17</v>
      </c>
      <c r="E23" s="8">
        <v>2742</v>
      </c>
      <c r="F23" s="8">
        <v>2</v>
      </c>
      <c r="G23" s="11">
        <f t="shared" ref="G23:G27" si="40">E23/F23</f>
      </c>
      <c r="H23" s="11">
        <f t="shared" ref="H23:H27" si="2">D23/F23</f>
      </c>
      <c r="I23" s="11">
        <f t="shared" ref="I23:I27" si="59">E23/D23</f>
      </c>
      <c r="J23" s="11">
        <f t="shared" ref="J23:J27" si="21">D23/C23</f>
      </c>
      <c r="K23" s="11"/>
    </row>
    <row r="24">
      <c r="A24" s="6" t="s">
        <v>16</v>
      </c>
      <c r="B24" s="7" t="s">
        <v>32</v>
      </c>
      <c r="C24" s="8">
        <v>4</v>
      </c>
      <c r="D24" s="9">
        <v>4990.99</v>
      </c>
      <c r="E24" s="8">
        <v>4974</v>
      </c>
      <c r="F24" s="8">
        <v>2</v>
      </c>
      <c r="G24" s="11">
        <f t="shared" si="40"/>
      </c>
      <c r="H24" s="11">
        <f t="shared" si="2"/>
      </c>
      <c r="I24" s="11">
        <f t="shared" si="59"/>
      </c>
      <c r="J24" s="11">
        <f t="shared" si="21"/>
      </c>
      <c r="K24" s="11"/>
    </row>
    <row r="25">
      <c r="A25" s="12" t="s">
        <v>14</v>
      </c>
      <c r="B25" s="7" t="s">
        <v>33</v>
      </c>
      <c r="C25" s="8">
        <v>4</v>
      </c>
      <c r="D25" s="8">
        <v>5754.2199999999975</v>
      </c>
      <c r="E25" s="10">
        <v>5939.6</v>
      </c>
      <c r="F25" s="8">
        <v>2</v>
      </c>
      <c r="G25" s="11">
        <f t="shared" si="40"/>
      </c>
      <c r="H25" s="11">
        <f t="shared" si="2"/>
      </c>
      <c r="I25" s="11">
        <f t="shared" si="59"/>
      </c>
      <c r="J25" s="11">
        <f t="shared" si="21"/>
      </c>
      <c r="K25" s="11"/>
    </row>
    <row r="26">
      <c r="A26" s="12" t="s">
        <v>34</v>
      </c>
      <c r="B26" s="7" t="s">
        <v>35</v>
      </c>
      <c r="C26" s="8">
        <v>4</v>
      </c>
      <c r="D26" s="11">
        <v>5137.82</v>
      </c>
      <c r="E26" s="13">
        <v>11699.4</v>
      </c>
      <c r="F26" s="8">
        <v>7</v>
      </c>
      <c r="G26" s="11">
        <f t="shared" si="40"/>
      </c>
      <c r="H26" s="11">
        <f t="shared" si="2"/>
      </c>
      <c r="I26" s="11">
        <f t="shared" si="59"/>
      </c>
      <c r="J26" s="11">
        <f t="shared" si="21"/>
      </c>
      <c r="K26" s="11"/>
    </row>
    <row r="27">
      <c r="A27" s="2" t="s">
        <v>20</v>
      </c>
      <c r="B27" s="3"/>
      <c r="C27" s="14">
        <f>SUM(C23:C26)</f>
      </c>
      <c r="D27" s="3">
        <f>SUM(D23:D26)</f>
      </c>
      <c r="E27" s="3">
        <f>SUM(E23:E26)</f>
      </c>
      <c r="F27" s="2">
        <f>SUM(F23:F26)</f>
      </c>
      <c r="G27" s="4">
        <f t="shared" si="40"/>
      </c>
      <c r="H27" s="4">
        <f t="shared" si="2"/>
      </c>
      <c r="I27" s="4">
        <f t="shared" si="59"/>
      </c>
      <c r="J27" s="4">
        <f t="shared" si="21"/>
      </c>
      <c r="K27" s="4"/>
    </row>
    <row r="28">
      <c r="A28" s="15" t="s">
        <v>21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5</v>
      </c>
      <c r="B29" s="16" t="s">
        <v>22</v>
      </c>
      <c r="C29" s="16" t="s">
        <v>23</v>
      </c>
      <c r="D29" s="16" t="s">
        <v>24</v>
      </c>
      <c r="E29" s="16" t="s">
        <v>25</v>
      </c>
      <c r="F29" s="16" t="s">
        <v>26</v>
      </c>
      <c r="G29" s="16" t="s">
        <v>27</v>
      </c>
      <c r="H29" s="17" t="s">
        <v>28</v>
      </c>
      <c r="I29" s="17" t="s">
        <v>29</v>
      </c>
      <c r="J29" s="17" t="s">
        <v>30</v>
      </c>
      <c r="K29" s="17" t="s">
        <v>4</v>
      </c>
    </row>
    <row r="30">
      <c r="A30" s="18">
        <f>SUM(D23:D26)</f>
      </c>
      <c r="B30" s="18">
        <f>SUM(E23:E26)</f>
      </c>
      <c r="C30" s="19">
        <f>B30/((K30*300)+A30)</f>
      </c>
      <c r="D30" s="20">
        <f>A30/J30</f>
      </c>
      <c r="E30" s="19">
        <f>B30/J30</f>
      </c>
      <c r="F30" s="21">
        <f>J30/I30</f>
      </c>
      <c r="G30" s="21">
        <f>H30/J30</f>
      </c>
      <c r="H30" s="22">
        <v>1</v>
      </c>
      <c r="I30" s="22">
        <v>23</v>
      </c>
      <c r="J30" s="23">
        <f>F27</f>
      </c>
      <c r="K30" s="23">
        <f>C27</f>
      </c>
    </row>
    <row r="31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2" t="s">
        <v>2</v>
      </c>
      <c r="B32" s="3" t="s">
        <v>3</v>
      </c>
      <c r="C32" s="3" t="s">
        <v>4</v>
      </c>
      <c r="D32" s="4" t="s">
        <v>5</v>
      </c>
      <c r="E32" s="2" t="s">
        <v>6</v>
      </c>
      <c r="F32" s="5" t="s">
        <v>7</v>
      </c>
      <c r="G32" s="5" t="s">
        <v>8</v>
      </c>
      <c r="H32" s="2" t="s">
        <v>9</v>
      </c>
      <c r="I32" s="2" t="s">
        <v>10</v>
      </c>
      <c r="J32" s="2" t="s">
        <v>11</v>
      </c>
      <c r="K32" s="2"/>
    </row>
    <row r="33">
      <c r="A33" s="6" t="s">
        <v>18</v>
      </c>
      <c r="B33" s="7" t="s">
        <v>13</v>
      </c>
      <c r="C33" s="8">
        <v>4</v>
      </c>
      <c r="D33" s="9">
        <v>4245.01</v>
      </c>
      <c r="E33" s="8">
        <v>5288.4</v>
      </c>
      <c r="F33" s="8">
        <v>2</v>
      </c>
      <c r="G33" s="11">
        <f t="shared" ref="G33:G37" si="41">E33/F33</f>
      </c>
      <c r="H33" s="11">
        <f t="shared" ref="H33:H37" si="3">D33/F33</f>
      </c>
      <c r="I33" s="11">
        <f t="shared" ref="I33:I37" si="60">E33/D33</f>
      </c>
      <c r="J33" s="11">
        <f t="shared" ref="J33:J37" si="22">D33/C33</f>
      </c>
      <c r="K33" s="11"/>
    </row>
    <row r="34">
      <c r="A34" s="12" t="s">
        <v>14</v>
      </c>
      <c r="B34" s="7" t="s">
        <v>32</v>
      </c>
      <c r="C34" s="8">
        <v>4</v>
      </c>
      <c r="D34" s="9">
        <v>4816.999999999998</v>
      </c>
      <c r="E34" s="8">
        <v>14395.800000000001</v>
      </c>
      <c r="F34" s="8">
        <v>5</v>
      </c>
      <c r="G34" s="11">
        <f t="shared" si="41"/>
      </c>
      <c r="H34" s="11">
        <f t="shared" si="3"/>
      </c>
      <c r="I34" s="11">
        <f t="shared" si="60"/>
      </c>
      <c r="J34" s="11">
        <f t="shared" si="22"/>
      </c>
      <c r="K34" s="11"/>
    </row>
    <row r="35">
      <c r="A35" s="6" t="s">
        <v>16</v>
      </c>
      <c r="B35" s="7" t="s">
        <v>33</v>
      </c>
      <c r="C35" s="8">
        <v>4</v>
      </c>
      <c r="D35" s="8">
        <v>4680.0700000000015</v>
      </c>
      <c r="E35" s="10">
        <v>1967.5999999999985</v>
      </c>
      <c r="F35" s="8">
        <v>2</v>
      </c>
      <c r="G35" s="11">
        <f t="shared" si="41"/>
      </c>
      <c r="H35" s="11">
        <f t="shared" si="3"/>
      </c>
      <c r="I35" s="11">
        <f t="shared" si="60"/>
      </c>
      <c r="J35" s="11">
        <f t="shared" si="22"/>
      </c>
      <c r="K35" s="11"/>
    </row>
    <row r="36">
      <c r="A36" s="12" t="s">
        <v>34</v>
      </c>
      <c r="B36" s="7" t="s">
        <v>35</v>
      </c>
      <c r="C36" s="8">
        <v>4</v>
      </c>
      <c r="D36" s="11">
        <v>5893.659999999998</v>
      </c>
      <c r="E36" s="13">
        <v>8656.8</v>
      </c>
      <c r="F36" s="8">
        <v>5</v>
      </c>
      <c r="G36" s="11">
        <f t="shared" si="41"/>
      </c>
      <c r="H36" s="11">
        <f t="shared" si="3"/>
      </c>
      <c r="I36" s="11">
        <f t="shared" si="60"/>
      </c>
      <c r="J36" s="11">
        <f t="shared" si="22"/>
      </c>
      <c r="K36" s="11"/>
    </row>
    <row r="37">
      <c r="A37" s="2" t="s">
        <v>20</v>
      </c>
      <c r="B37" s="3"/>
      <c r="C37" s="14">
        <f>SUM(C33:C36)</f>
      </c>
      <c r="D37" s="3">
        <f>SUM(D33:D36)</f>
      </c>
      <c r="E37" s="3">
        <f>SUM(E33:E36)</f>
      </c>
      <c r="F37" s="2">
        <f>SUM(F33:F36)</f>
      </c>
      <c r="G37" s="4">
        <f t="shared" si="41"/>
      </c>
      <c r="H37" s="4">
        <f t="shared" si="3"/>
      </c>
      <c r="I37" s="4">
        <f t="shared" si="60"/>
      </c>
      <c r="J37" s="4">
        <f t="shared" si="22"/>
      </c>
      <c r="K37" s="4"/>
    </row>
    <row r="38">
      <c r="A38" s="15" t="s">
        <v>21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>
      <c r="A39" s="16" t="s">
        <v>5</v>
      </c>
      <c r="B39" s="16" t="s">
        <v>22</v>
      </c>
      <c r="C39" s="16" t="s">
        <v>23</v>
      </c>
      <c r="D39" s="16" t="s">
        <v>24</v>
      </c>
      <c r="E39" s="16" t="s">
        <v>25</v>
      </c>
      <c r="F39" s="16" t="s">
        <v>26</v>
      </c>
      <c r="G39" s="16" t="s">
        <v>27</v>
      </c>
      <c r="H39" s="17" t="s">
        <v>28</v>
      </c>
      <c r="I39" s="17" t="s">
        <v>29</v>
      </c>
      <c r="J39" s="17" t="s">
        <v>30</v>
      </c>
      <c r="K39" s="17" t="s">
        <v>4</v>
      </c>
    </row>
    <row r="40">
      <c r="A40" s="18">
        <f>SUM(D33:D36)</f>
      </c>
      <c r="B40" s="18">
        <f>SUM(E33:E36)</f>
      </c>
      <c r="C40" s="19">
        <f>B40/((K40*300)+A40)</f>
      </c>
      <c r="D40" s="20">
        <f>A40/J40</f>
      </c>
      <c r="E40" s="19">
        <f>B40/J40</f>
      </c>
      <c r="F40" s="21">
        <f>J40/I40</f>
      </c>
      <c r="G40" s="21">
        <f>H40/J40</f>
      </c>
      <c r="H40" s="22">
        <v>1</v>
      </c>
      <c r="I40" s="22">
        <v>21</v>
      </c>
      <c r="J40" s="23">
        <f>F37</f>
      </c>
      <c r="K40" s="23">
        <f>C37</f>
      </c>
    </row>
    <row r="41">
      <c r="A41" s="1" t="s">
        <v>38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2" t="s">
        <v>2</v>
      </c>
      <c r="B42" s="3" t="s">
        <v>3</v>
      </c>
      <c r="C42" s="3" t="s">
        <v>4</v>
      </c>
      <c r="D42" s="4" t="s">
        <v>5</v>
      </c>
      <c r="E42" s="2" t="s">
        <v>6</v>
      </c>
      <c r="F42" s="5" t="s">
        <v>7</v>
      </c>
      <c r="G42" s="5" t="s">
        <v>8</v>
      </c>
      <c r="H42" s="2" t="s">
        <v>9</v>
      </c>
      <c r="I42" s="2" t="s">
        <v>10</v>
      </c>
      <c r="J42" s="2" t="s">
        <v>11</v>
      </c>
      <c r="K42" s="2"/>
    </row>
    <row r="43">
      <c r="A43" s="6" t="s">
        <v>18</v>
      </c>
      <c r="B43" s="7" t="s">
        <v>13</v>
      </c>
      <c r="C43" s="8">
        <v>4</v>
      </c>
      <c r="D43" s="24">
        <v>5315.67</v>
      </c>
      <c r="E43" s="8">
        <v>7793</v>
      </c>
      <c r="F43" s="8">
        <v>7</v>
      </c>
      <c r="G43" s="11">
        <f t="shared" ref="G43:G47" si="42">E43/F43</f>
      </c>
      <c r="H43" s="11">
        <f t="shared" ref="H43:H47" si="4">D43/F43</f>
      </c>
      <c r="I43" s="11">
        <f t="shared" ref="I43:I47" si="61">E43/D43</f>
      </c>
      <c r="J43" s="11">
        <f t="shared" ref="J43:J47" si="23">D43/C43</f>
      </c>
      <c r="K43" s="11"/>
    </row>
    <row r="44">
      <c r="A44" s="12" t="s">
        <v>14</v>
      </c>
      <c r="B44" s="7" t="s">
        <v>32</v>
      </c>
      <c r="C44" s="8">
        <v>4</v>
      </c>
      <c r="D44" s="9">
        <v>3689.459999999999</v>
      </c>
      <c r="E44" s="8">
        <v>0</v>
      </c>
      <c r="F44" s="8">
        <v>0</v>
      </c>
      <c r="G44" s="11">
        <f t="shared" si="42"/>
      </c>
      <c r="H44" s="11">
        <f t="shared" si="4"/>
      </c>
      <c r="I44" s="11">
        <f t="shared" si="61"/>
      </c>
      <c r="J44" s="11">
        <f t="shared" si="23"/>
      </c>
      <c r="K44" s="11"/>
    </row>
    <row r="45">
      <c r="A45" s="6" t="s">
        <v>16</v>
      </c>
      <c r="B45" s="7" t="s">
        <v>33</v>
      </c>
      <c r="C45" s="8">
        <v>4</v>
      </c>
      <c r="D45" s="8">
        <v>4206.200000000001</v>
      </c>
      <c r="E45" s="10">
        <v>664.7999999999993</v>
      </c>
      <c r="F45" s="8">
        <v>1</v>
      </c>
      <c r="G45" s="11">
        <f t="shared" si="42"/>
      </c>
      <c r="H45" s="11">
        <f t="shared" si="4"/>
      </c>
      <c r="I45" s="11">
        <f t="shared" si="61"/>
      </c>
      <c r="J45" s="11">
        <f t="shared" si="23"/>
      </c>
      <c r="K45" s="11"/>
    </row>
    <row r="46">
      <c r="A46" s="12" t="s">
        <v>34</v>
      </c>
      <c r="B46" s="7" t="s">
        <v>35</v>
      </c>
      <c r="C46" s="8">
        <v>4</v>
      </c>
      <c r="D46" s="11">
        <v>6056.379999999999</v>
      </c>
      <c r="E46" s="13">
        <v>8554.2</v>
      </c>
      <c r="F46" s="8">
        <v>7</v>
      </c>
      <c r="G46" s="11">
        <f t="shared" si="42"/>
      </c>
      <c r="H46" s="11">
        <f t="shared" si="4"/>
      </c>
      <c r="I46" s="11">
        <f t="shared" si="61"/>
      </c>
      <c r="J46" s="11">
        <f t="shared" si="23"/>
      </c>
      <c r="K46" s="11"/>
    </row>
    <row r="47">
      <c r="A47" s="2" t="s">
        <v>20</v>
      </c>
      <c r="B47" s="3"/>
      <c r="C47" s="14">
        <f>SUM(C43:C46)</f>
      </c>
      <c r="D47" s="3">
        <f>SUM(D43:D46)</f>
      </c>
      <c r="E47" s="3">
        <f>SUM(E43:E46)</f>
      </c>
      <c r="F47" s="2">
        <f>SUM(F43:F46)</f>
      </c>
      <c r="G47" s="4">
        <f t="shared" si="42"/>
      </c>
      <c r="H47" s="4">
        <f t="shared" si="4"/>
      </c>
      <c r="I47" s="4">
        <f t="shared" si="61"/>
      </c>
      <c r="J47" s="4">
        <f t="shared" si="23"/>
      </c>
      <c r="K47" s="4"/>
    </row>
    <row r="48">
      <c r="A48" s="15" t="s">
        <v>21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>
      <c r="A49" s="16" t="s">
        <v>5</v>
      </c>
      <c r="B49" s="16" t="s">
        <v>22</v>
      </c>
      <c r="C49" s="16" t="s">
        <v>23</v>
      </c>
      <c r="D49" s="16" t="s">
        <v>24</v>
      </c>
      <c r="E49" s="16" t="s">
        <v>25</v>
      </c>
      <c r="F49" s="16" t="s">
        <v>26</v>
      </c>
      <c r="G49" s="16" t="s">
        <v>27</v>
      </c>
      <c r="H49" s="17" t="s">
        <v>28</v>
      </c>
      <c r="I49" s="17" t="s">
        <v>29</v>
      </c>
      <c r="J49" s="17" t="s">
        <v>30</v>
      </c>
      <c r="K49" s="17" t="s">
        <v>4</v>
      </c>
    </row>
    <row r="50">
      <c r="A50" s="18">
        <f>SUM(D43:D46)</f>
      </c>
      <c r="B50" s="18">
        <f>SUM(E43:E46)</f>
      </c>
      <c r="C50" s="19">
        <f>B50/((K50*300)+A50)</f>
      </c>
      <c r="D50" s="20">
        <f>A50/J50</f>
      </c>
      <c r="E50" s="19">
        <f>B50/J50</f>
      </c>
      <c r="F50" s="21">
        <f>J50/I50</f>
      </c>
      <c r="G50" s="21">
        <f>H50/J50</f>
      </c>
      <c r="H50" s="22">
        <v>2</v>
      </c>
      <c r="I50" s="22">
        <v>30</v>
      </c>
      <c r="J50" s="23">
        <f>F47</f>
      </c>
      <c r="K50" s="23">
        <f>C47</f>
      </c>
    </row>
    <row r="51">
      <c r="A51" s="1" t="s">
        <v>39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2" t="s">
        <v>2</v>
      </c>
      <c r="B52" s="3" t="s">
        <v>3</v>
      </c>
      <c r="C52" s="3" t="s">
        <v>4</v>
      </c>
      <c r="D52" s="4" t="s">
        <v>5</v>
      </c>
      <c r="E52" s="2" t="s">
        <v>6</v>
      </c>
      <c r="F52" s="5" t="s">
        <v>7</v>
      </c>
      <c r="G52" s="5" t="s">
        <v>8</v>
      </c>
      <c r="H52" s="2" t="s">
        <v>9</v>
      </c>
      <c r="I52" s="2" t="s">
        <v>10</v>
      </c>
      <c r="J52" s="2" t="s">
        <v>11</v>
      </c>
      <c r="K52" s="2"/>
    </row>
    <row r="53">
      <c r="A53" s="12" t="s">
        <v>14</v>
      </c>
      <c r="B53" s="7" t="s">
        <v>13</v>
      </c>
      <c r="C53" s="8">
        <v>4</v>
      </c>
      <c r="D53" s="24">
        <v>5783.43</v>
      </c>
      <c r="E53" s="8">
        <v>10325.2</v>
      </c>
      <c r="F53" s="8">
        <v>6</v>
      </c>
      <c r="G53" s="11">
        <f t="shared" ref="G53:G57" si="43">E53/F53</f>
      </c>
      <c r="H53" s="11">
        <f t="shared" ref="H53:H57" si="5">D53/F53</f>
      </c>
      <c r="I53" s="11">
        <f t="shared" ref="I53:I57" si="62">E53/D53</f>
      </c>
      <c r="J53" s="11">
        <f t="shared" ref="J53:J57" si="24">D53/C53</f>
      </c>
      <c r="K53" s="11"/>
    </row>
    <row r="54">
      <c r="A54" s="12" t="s">
        <v>34</v>
      </c>
      <c r="B54" s="7" t="s">
        <v>32</v>
      </c>
      <c r="C54" s="8">
        <v>4</v>
      </c>
      <c r="D54" s="9">
        <v>5627.99</v>
      </c>
      <c r="E54" s="8">
        <v>7486.799999999999</v>
      </c>
      <c r="F54" s="8">
        <v>6</v>
      </c>
      <c r="G54" s="11">
        <f t="shared" si="43"/>
      </c>
      <c r="H54" s="11">
        <f t="shared" si="5"/>
      </c>
      <c r="I54" s="11">
        <f t="shared" si="62"/>
      </c>
      <c r="J54" s="11">
        <f t="shared" si="24"/>
      </c>
      <c r="K54" s="11"/>
    </row>
    <row r="55">
      <c r="A55" s="6" t="s">
        <v>16</v>
      </c>
      <c r="B55" s="7" t="s">
        <v>33</v>
      </c>
      <c r="C55" s="8">
        <v>4</v>
      </c>
      <c r="D55" s="8">
        <v>7151.020000000002</v>
      </c>
      <c r="E55" s="10">
        <v>15821.400000000001</v>
      </c>
      <c r="F55" s="8">
        <v>7</v>
      </c>
      <c r="G55" s="11">
        <f t="shared" si="43"/>
      </c>
      <c r="H55" s="11">
        <f t="shared" si="5"/>
      </c>
      <c r="I55" s="11">
        <f t="shared" si="62"/>
      </c>
      <c r="J55" s="11">
        <f t="shared" si="24"/>
      </c>
      <c r="K55" s="11"/>
    </row>
    <row r="56">
      <c r="A56" s="12" t="s">
        <v>12</v>
      </c>
      <c r="B56" s="7" t="s">
        <v>35</v>
      </c>
      <c r="C56" s="8">
        <v>4</v>
      </c>
      <c r="D56" s="11">
        <v>6097.829999999998</v>
      </c>
      <c r="E56" s="13">
        <v>10738.599999999999</v>
      </c>
      <c r="F56" s="8">
        <v>6</v>
      </c>
      <c r="G56" s="11">
        <f t="shared" si="43"/>
      </c>
      <c r="H56" s="11">
        <f t="shared" si="5"/>
      </c>
      <c r="I56" s="11">
        <f t="shared" si="62"/>
      </c>
      <c r="J56" s="11">
        <f t="shared" si="24"/>
      </c>
      <c r="K56" s="11"/>
    </row>
    <row r="57">
      <c r="A57" s="2" t="s">
        <v>20</v>
      </c>
      <c r="B57" s="3"/>
      <c r="C57" s="14">
        <f>SUM(C53:C56)</f>
      </c>
      <c r="D57" s="3">
        <f>SUM(D53:D56)</f>
      </c>
      <c r="E57" s="3">
        <f>SUM(E53:E56)</f>
      </c>
      <c r="F57" s="2">
        <f>SUM(F53:F56)</f>
      </c>
      <c r="G57" s="4">
        <f t="shared" si="43"/>
      </c>
      <c r="H57" s="4">
        <f t="shared" si="5"/>
      </c>
      <c r="I57" s="4">
        <f t="shared" si="62"/>
      </c>
      <c r="J57" s="4">
        <f t="shared" si="24"/>
      </c>
      <c r="K57" s="4"/>
    </row>
    <row r="58">
      <c r="A58" s="15" t="s">
        <v>21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>
      <c r="A59" s="16" t="s">
        <v>5</v>
      </c>
      <c r="B59" s="16" t="s">
        <v>22</v>
      </c>
      <c r="C59" s="16" t="s">
        <v>23</v>
      </c>
      <c r="D59" s="16" t="s">
        <v>24</v>
      </c>
      <c r="E59" s="16" t="s">
        <v>25</v>
      </c>
      <c r="F59" s="16" t="s">
        <v>26</v>
      </c>
      <c r="G59" s="16" t="s">
        <v>27</v>
      </c>
      <c r="H59" s="17" t="s">
        <v>28</v>
      </c>
      <c r="I59" s="17" t="s">
        <v>29</v>
      </c>
      <c r="J59" s="17" t="s">
        <v>30</v>
      </c>
      <c r="K59" s="17" t="s">
        <v>4</v>
      </c>
    </row>
    <row r="60">
      <c r="A60" s="18">
        <f>SUM(D53:D56)</f>
      </c>
      <c r="B60" s="18">
        <f>SUM(E53:E56)</f>
      </c>
      <c r="C60" s="19">
        <f>B60/((K60*300)+A60)</f>
      </c>
      <c r="D60" s="20">
        <f>A60/J60</f>
      </c>
      <c r="E60" s="19">
        <f>B60/J60</f>
      </c>
      <c r="F60" s="21">
        <f>J60/I60</f>
      </c>
      <c r="G60" s="21">
        <f>H60/J60</f>
      </c>
      <c r="H60" s="22">
        <v>3</v>
      </c>
      <c r="I60" s="22">
        <v>37</v>
      </c>
      <c r="J60" s="23">
        <f>F57</f>
      </c>
      <c r="K60" s="23">
        <f>C57</f>
      </c>
    </row>
    <row r="61">
      <c r="A61" s="1" t="s">
        <v>40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2" t="s">
        <v>2</v>
      </c>
      <c r="B62" s="3" t="s">
        <v>3</v>
      </c>
      <c r="C62" s="3" t="s">
        <v>4</v>
      </c>
      <c r="D62" s="4" t="s">
        <v>5</v>
      </c>
      <c r="E62" s="2" t="s">
        <v>6</v>
      </c>
      <c r="F62" s="5" t="s">
        <v>7</v>
      </c>
      <c r="G62" s="5" t="s">
        <v>8</v>
      </c>
      <c r="H62" s="2" t="s">
        <v>9</v>
      </c>
      <c r="I62" s="2" t="s">
        <v>10</v>
      </c>
      <c r="J62" s="2" t="s">
        <v>11</v>
      </c>
      <c r="K62" s="2"/>
    </row>
    <row r="63">
      <c r="A63" s="12" t="s">
        <v>34</v>
      </c>
      <c r="B63" s="7" t="s">
        <v>13</v>
      </c>
      <c r="C63" s="8">
        <v>4</v>
      </c>
      <c r="D63" s="24">
        <v>8176.35</v>
      </c>
      <c r="E63" s="8">
        <v>11306</v>
      </c>
      <c r="F63" s="8">
        <v>8</v>
      </c>
      <c r="G63" s="11">
        <f t="shared" ref="G63:G67" si="44">E63/F63</f>
      </c>
      <c r="H63" s="11">
        <f t="shared" ref="H63:H67" si="6">D63/F63</f>
      </c>
      <c r="I63" s="11">
        <f t="shared" ref="I63:I67" si="63">E63/D63</f>
      </c>
      <c r="J63" s="11">
        <f t="shared" ref="J63:J67" si="25">D63/C63</f>
      </c>
      <c r="K63" s="11"/>
    </row>
    <row r="64">
      <c r="A64" s="12" t="s">
        <v>14</v>
      </c>
      <c r="B64" s="7" t="s">
        <v>32</v>
      </c>
      <c r="C64" s="8">
        <v>4</v>
      </c>
      <c r="D64" s="9">
        <v>6903.530000000001</v>
      </c>
      <c r="E64" s="8">
        <v>11587.2</v>
      </c>
      <c r="F64" s="8">
        <v>3</v>
      </c>
      <c r="G64" s="11">
        <f t="shared" si="44"/>
      </c>
      <c r="H64" s="11">
        <f t="shared" si="6"/>
      </c>
      <c r="I64" s="11">
        <f t="shared" si="63"/>
      </c>
      <c r="J64" s="11">
        <f t="shared" si="25"/>
      </c>
      <c r="K64" s="11"/>
    </row>
    <row r="65">
      <c r="A65" s="6" t="s">
        <v>16</v>
      </c>
      <c r="B65" s="7" t="s">
        <v>33</v>
      </c>
      <c r="C65" s="8">
        <v>4</v>
      </c>
      <c r="D65" s="8">
        <v>6291.91</v>
      </c>
      <c r="E65" s="10">
        <v>5991.5999999999985</v>
      </c>
      <c r="F65" s="8">
        <v>3</v>
      </c>
      <c r="G65" s="11">
        <f t="shared" si="44"/>
      </c>
      <c r="H65" s="11">
        <f t="shared" si="6"/>
      </c>
      <c r="I65" s="11">
        <f t="shared" si="63"/>
      </c>
      <c r="J65" s="11">
        <f t="shared" si="25"/>
      </c>
      <c r="K65" s="11"/>
    </row>
    <row r="66">
      <c r="A66" s="12" t="s">
        <v>12</v>
      </c>
      <c r="B66" s="7" t="s">
        <v>35</v>
      </c>
      <c r="C66" s="8">
        <v>4</v>
      </c>
      <c r="D66" s="11">
        <v>8138.340000000004</v>
      </c>
      <c r="E66" s="13">
        <v>21916.8</v>
      </c>
      <c r="F66" s="8">
        <v>11</v>
      </c>
      <c r="G66" s="11">
        <f t="shared" si="44"/>
      </c>
      <c r="H66" s="11">
        <f t="shared" si="6"/>
      </c>
      <c r="I66" s="11">
        <f t="shared" si="63"/>
      </c>
      <c r="J66" s="11">
        <f t="shared" si="25"/>
      </c>
      <c r="K66" s="11"/>
    </row>
    <row r="67">
      <c r="A67" s="2" t="s">
        <v>20</v>
      </c>
      <c r="B67" s="3"/>
      <c r="C67" s="14">
        <f>SUM(C63:C66)</f>
      </c>
      <c r="D67" s="3">
        <f>SUM(D63:D66)</f>
      </c>
      <c r="E67" s="3">
        <f>SUM(E63:E66)</f>
      </c>
      <c r="F67" s="2">
        <f>SUM(F63:F66)</f>
      </c>
      <c r="G67" s="4">
        <f t="shared" si="44"/>
      </c>
      <c r="H67" s="4">
        <f t="shared" si="6"/>
      </c>
      <c r="I67" s="4">
        <f t="shared" si="63"/>
      </c>
      <c r="J67" s="4">
        <f t="shared" si="25"/>
      </c>
      <c r="K67" s="4"/>
    </row>
    <row r="68">
      <c r="A68" s="15" t="s">
        <v>21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>
      <c r="A69" s="16" t="s">
        <v>5</v>
      </c>
      <c r="B69" s="16" t="s">
        <v>22</v>
      </c>
      <c r="C69" s="16" t="s">
        <v>23</v>
      </c>
      <c r="D69" s="16" t="s">
        <v>24</v>
      </c>
      <c r="E69" s="16" t="s">
        <v>25</v>
      </c>
      <c r="F69" s="16" t="s">
        <v>26</v>
      </c>
      <c r="G69" s="16" t="s">
        <v>27</v>
      </c>
      <c r="H69" s="17" t="s">
        <v>28</v>
      </c>
      <c r="I69" s="17" t="s">
        <v>29</v>
      </c>
      <c r="J69" s="17" t="s">
        <v>30</v>
      </c>
      <c r="K69" s="17" t="s">
        <v>4</v>
      </c>
    </row>
    <row r="70">
      <c r="A70" s="18">
        <f>SUM(D63:D66)</f>
      </c>
      <c r="B70" s="18">
        <f>SUM(E63:E66)</f>
      </c>
      <c r="C70" s="19">
        <f>B70/((K70*300)+A70)</f>
      </c>
      <c r="D70" s="20">
        <f>A70/J70</f>
      </c>
      <c r="E70" s="19">
        <f>B70/J70</f>
      </c>
      <c r="F70" s="21">
        <f>J70/I70</f>
      </c>
      <c r="G70" s="21">
        <f>H70/J70</f>
      </c>
      <c r="H70" s="22">
        <v>1</v>
      </c>
      <c r="I70" s="22">
        <v>42</v>
      </c>
      <c r="J70" s="23">
        <f>F67</f>
      </c>
      <c r="K70" s="23">
        <f>C67</f>
      </c>
    </row>
    <row r="71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2" t="s">
        <v>2</v>
      </c>
      <c r="B72" s="3" t="s">
        <v>3</v>
      </c>
      <c r="C72" s="3" t="s">
        <v>4</v>
      </c>
      <c r="D72" s="4" t="s">
        <v>5</v>
      </c>
      <c r="E72" s="2" t="s">
        <v>6</v>
      </c>
      <c r="F72" s="5" t="s">
        <v>7</v>
      </c>
      <c r="G72" s="5" t="s">
        <v>8</v>
      </c>
      <c r="H72" s="2" t="s">
        <v>9</v>
      </c>
      <c r="I72" s="2" t="s">
        <v>10</v>
      </c>
      <c r="J72" s="2" t="s">
        <v>11</v>
      </c>
      <c r="K72" s="2"/>
    </row>
    <row r="73">
      <c r="A73" s="12" t="s">
        <v>34</v>
      </c>
      <c r="B73" s="7" t="s">
        <v>13</v>
      </c>
      <c r="C73" s="8">
        <v>4</v>
      </c>
      <c r="D73" s="24">
        <v>6356.209999999999</v>
      </c>
      <c r="E73" s="8">
        <v>23706.4</v>
      </c>
      <c r="F73" s="8">
        <v>12</v>
      </c>
      <c r="G73" s="11">
        <f t="shared" ref="G73:G77" si="45">E73/F73</f>
      </c>
      <c r="H73" s="11">
        <f t="shared" ref="H73:H77" si="7">D73/F73</f>
      </c>
      <c r="I73" s="11">
        <f t="shared" ref="I73:I77" si="64">E73/D73</f>
      </c>
      <c r="J73" s="11">
        <f t="shared" ref="J73:J77" si="26">D73/C73</f>
      </c>
      <c r="K73" s="11"/>
    </row>
    <row r="74">
      <c r="A74" s="12" t="s">
        <v>14</v>
      </c>
      <c r="B74" s="7" t="s">
        <v>32</v>
      </c>
      <c r="C74" s="8">
        <v>4</v>
      </c>
      <c r="D74" s="9">
        <v>9082.320000000002</v>
      </c>
      <c r="E74" s="8">
        <v>13453.599999999999</v>
      </c>
      <c r="F74" s="8">
        <v>10</v>
      </c>
      <c r="G74" s="11">
        <f t="shared" si="45"/>
      </c>
      <c r="H74" s="11">
        <f t="shared" si="7"/>
      </c>
      <c r="I74" s="11">
        <f t="shared" si="64"/>
      </c>
      <c r="J74" s="11">
        <f t="shared" si="26"/>
      </c>
      <c r="K74" s="11"/>
    </row>
    <row r="75">
      <c r="A75" s="12" t="s">
        <v>18</v>
      </c>
      <c r="B75" s="7" t="s">
        <v>33</v>
      </c>
      <c r="C75" s="8">
        <v>4</v>
      </c>
      <c r="D75" s="8">
        <v>6843.710000000001</v>
      </c>
      <c r="E75" s="10">
        <v>1754.4000000000015</v>
      </c>
      <c r="F75" s="8">
        <v>2</v>
      </c>
      <c r="G75" s="11">
        <f t="shared" si="45"/>
      </c>
      <c r="H75" s="11">
        <f t="shared" si="7"/>
      </c>
      <c r="I75" s="11">
        <f t="shared" si="64"/>
      </c>
      <c r="J75" s="11">
        <f t="shared" si="26"/>
      </c>
      <c r="K75" s="11"/>
    </row>
    <row r="76">
      <c r="A76" s="12" t="s">
        <v>12</v>
      </c>
      <c r="B76" s="7" t="s">
        <v>35</v>
      </c>
      <c r="C76" s="8">
        <v>4</v>
      </c>
      <c r="D76" s="11">
        <v>7691.050000000003</v>
      </c>
      <c r="E76" s="13">
        <v>5439.600000000006</v>
      </c>
      <c r="F76" s="8">
        <v>4</v>
      </c>
      <c r="G76" s="11">
        <f t="shared" si="45"/>
      </c>
      <c r="H76" s="11">
        <f t="shared" si="7"/>
      </c>
      <c r="I76" s="11">
        <f t="shared" si="64"/>
      </c>
      <c r="J76" s="11">
        <f t="shared" si="26"/>
      </c>
      <c r="K76" s="11"/>
    </row>
    <row r="77">
      <c r="A77" s="2" t="s">
        <v>20</v>
      </c>
      <c r="B77" s="3"/>
      <c r="C77" s="14">
        <f>SUM(C73:C76)</f>
      </c>
      <c r="D77" s="3">
        <f>SUM(D73:D76)</f>
      </c>
      <c r="E77" s="3">
        <f>SUM(E73:E76)</f>
      </c>
      <c r="F77" s="2">
        <f>SUM(F73:F76)</f>
      </c>
      <c r="G77" s="4">
        <f t="shared" si="45"/>
      </c>
      <c r="H77" s="4">
        <f t="shared" si="7"/>
      </c>
      <c r="I77" s="4">
        <f t="shared" si="64"/>
      </c>
      <c r="J77" s="4">
        <f t="shared" si="26"/>
      </c>
      <c r="K77" s="4"/>
    </row>
    <row r="78">
      <c r="A78" s="15" t="s">
        <v>21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>
      <c r="A79" s="16" t="s">
        <v>5</v>
      </c>
      <c r="B79" s="16" t="s">
        <v>22</v>
      </c>
      <c r="C79" s="16" t="s">
        <v>23</v>
      </c>
      <c r="D79" s="16" t="s">
        <v>24</v>
      </c>
      <c r="E79" s="16" t="s">
        <v>25</v>
      </c>
      <c r="F79" s="16" t="s">
        <v>26</v>
      </c>
      <c r="G79" s="16" t="s">
        <v>27</v>
      </c>
      <c r="H79" s="17" t="s">
        <v>28</v>
      </c>
      <c r="I79" s="17" t="s">
        <v>29</v>
      </c>
      <c r="J79" s="17" t="s">
        <v>30</v>
      </c>
      <c r="K79" s="17" t="s">
        <v>4</v>
      </c>
    </row>
    <row r="80">
      <c r="A80" s="18">
        <f>SUM(D73:D76)</f>
      </c>
      <c r="B80" s="18">
        <f>SUM(E73:E76)</f>
      </c>
      <c r="C80" s="19">
        <f>B80/((K80*300)+A80)</f>
      </c>
      <c r="D80" s="20">
        <f>A80/J80</f>
      </c>
      <c r="E80" s="19">
        <f>B80/J80</f>
      </c>
      <c r="F80" s="21">
        <f>J80/I80</f>
      </c>
      <c r="G80" s="21">
        <f>H80/J80</f>
      </c>
      <c r="H80" s="22">
        <v>2</v>
      </c>
      <c r="I80" s="22">
        <v>34</v>
      </c>
      <c r="J80" s="23">
        <f>F77</f>
      </c>
      <c r="K80" s="23">
        <f>C77</f>
      </c>
    </row>
    <row r="81">
      <c r="A81" s="1" t="s">
        <v>42</v>
      </c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2" t="s">
        <v>2</v>
      </c>
      <c r="B82" s="3" t="s">
        <v>3</v>
      </c>
      <c r="C82" s="3" t="s">
        <v>4</v>
      </c>
      <c r="D82" s="4" t="s">
        <v>5</v>
      </c>
      <c r="E82" s="2" t="s">
        <v>6</v>
      </c>
      <c r="F82" s="5" t="s">
        <v>7</v>
      </c>
      <c r="G82" s="5" t="s">
        <v>8</v>
      </c>
      <c r="H82" s="2" t="s">
        <v>9</v>
      </c>
      <c r="I82" s="2" t="s">
        <v>10</v>
      </c>
      <c r="J82" s="2" t="s">
        <v>11</v>
      </c>
      <c r="K82" s="2"/>
    </row>
    <row r="83">
      <c r="A83" s="12" t="s">
        <v>34</v>
      </c>
      <c r="B83" s="7" t="s">
        <v>13</v>
      </c>
      <c r="C83" s="8">
        <v>4</v>
      </c>
      <c r="D83" s="24">
        <v>4998.91</v>
      </c>
      <c r="E83" s="8">
        <v>4953.6</v>
      </c>
      <c r="F83" s="8">
        <v>2</v>
      </c>
      <c r="G83" s="11">
        <f t="shared" ref="G83:G87" si="46">E83/F83</f>
      </c>
      <c r="H83" s="11">
        <f t="shared" ref="H83:H87" si="8">D83/F83</f>
      </c>
      <c r="I83" s="11">
        <f t="shared" ref="I83:I87" si="65">E83/D83</f>
      </c>
      <c r="J83" s="11">
        <f t="shared" ref="J83:J87" si="27">D83/C83</f>
      </c>
      <c r="K83" s="11"/>
    </row>
    <row r="84">
      <c r="A84" s="12" t="s">
        <v>14</v>
      </c>
      <c r="B84" s="7" t="s">
        <v>32</v>
      </c>
      <c r="C84" s="8">
        <v>4</v>
      </c>
      <c r="D84" s="9">
        <v>7483.16</v>
      </c>
      <c r="E84" s="8">
        <v>8102.200000000001</v>
      </c>
      <c r="F84" s="8">
        <v>7</v>
      </c>
      <c r="G84" s="11">
        <f t="shared" si="46"/>
      </c>
      <c r="H84" s="11">
        <f t="shared" si="8"/>
      </c>
      <c r="I84" s="11">
        <f t="shared" si="65"/>
      </c>
      <c r="J84" s="11">
        <f t="shared" si="27"/>
      </c>
      <c r="K84" s="11"/>
    </row>
    <row r="85">
      <c r="A85" s="6" t="s">
        <v>16</v>
      </c>
      <c r="B85" s="7" t="s">
        <v>33</v>
      </c>
      <c r="C85" s="8">
        <v>4</v>
      </c>
      <c r="D85" s="8">
        <v>5892.899999999998</v>
      </c>
      <c r="E85" s="10">
        <v>6045.199999999999</v>
      </c>
      <c r="F85" s="8">
        <v>5</v>
      </c>
      <c r="G85" s="11">
        <f t="shared" si="46"/>
      </c>
      <c r="H85" s="11">
        <f t="shared" si="8"/>
      </c>
      <c r="I85" s="11">
        <f t="shared" si="65"/>
      </c>
      <c r="J85" s="11">
        <f t="shared" si="27"/>
      </c>
      <c r="K85" s="11"/>
    </row>
    <row r="86">
      <c r="A86" s="12" t="s">
        <v>12</v>
      </c>
      <c r="B86" s="7" t="s">
        <v>35</v>
      </c>
      <c r="C86" s="8">
        <v>4</v>
      </c>
      <c r="D86" s="11">
        <v>6220.130000000001</v>
      </c>
      <c r="E86" s="13">
        <v>8483.600000000002</v>
      </c>
      <c r="F86" s="8">
        <v>4</v>
      </c>
      <c r="G86" s="11">
        <f t="shared" si="46"/>
      </c>
      <c r="H86" s="11">
        <f t="shared" si="8"/>
      </c>
      <c r="I86" s="11">
        <f t="shared" si="65"/>
      </c>
      <c r="J86" s="11">
        <f t="shared" si="27"/>
      </c>
      <c r="K86" s="11"/>
    </row>
    <row r="87">
      <c r="A87" s="2" t="s">
        <v>20</v>
      </c>
      <c r="B87" s="3"/>
      <c r="C87" s="14">
        <f>SUM(C83:C86)</f>
      </c>
      <c r="D87" s="3">
        <f>SUM(D83:D86)</f>
      </c>
      <c r="E87" s="3">
        <f>SUM(E83:E86)</f>
      </c>
      <c r="F87" s="2">
        <f>SUM(F83:F86)</f>
      </c>
      <c r="G87" s="4">
        <f t="shared" si="46"/>
      </c>
      <c r="H87" s="4">
        <f t="shared" si="8"/>
      </c>
      <c r="I87" s="4">
        <f t="shared" si="65"/>
      </c>
      <c r="J87" s="4">
        <f t="shared" si="27"/>
      </c>
      <c r="K87" s="4"/>
    </row>
    <row r="88">
      <c r="A88" s="15" t="s">
        <v>21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>
      <c r="A89" s="16" t="s">
        <v>5</v>
      </c>
      <c r="B89" s="16" t="s">
        <v>22</v>
      </c>
      <c r="C89" s="16" t="s">
        <v>23</v>
      </c>
      <c r="D89" s="16" t="s">
        <v>24</v>
      </c>
      <c r="E89" s="16" t="s">
        <v>25</v>
      </c>
      <c r="F89" s="16" t="s">
        <v>26</v>
      </c>
      <c r="G89" s="16" t="s">
        <v>27</v>
      </c>
      <c r="H89" s="17" t="s">
        <v>28</v>
      </c>
      <c r="I89" s="17" t="s">
        <v>29</v>
      </c>
      <c r="J89" s="17" t="s">
        <v>30</v>
      </c>
      <c r="K89" s="17" t="s">
        <v>4</v>
      </c>
    </row>
    <row r="90">
      <c r="A90" s="18">
        <f>SUM(D83:D86)</f>
      </c>
      <c r="B90" s="18">
        <f>SUM(E83:E86)</f>
      </c>
      <c r="C90" s="19">
        <f>B90/((K90*300)+A90)</f>
      </c>
      <c r="D90" s="20">
        <f>A90/J90</f>
      </c>
      <c r="E90" s="19">
        <f>B90/J90</f>
      </c>
      <c r="F90" s="21">
        <f>J90/I90</f>
      </c>
      <c r="G90" s="21">
        <f>H90/J90</f>
      </c>
      <c r="H90" s="22">
        <v>0</v>
      </c>
      <c r="I90" s="22">
        <v>26</v>
      </c>
      <c r="J90" s="23">
        <f>F87</f>
      </c>
      <c r="K90" s="23">
        <f>C87</f>
      </c>
    </row>
    <row r="91">
      <c r="A91" s="1" t="s">
        <v>43</v>
      </c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2" t="s">
        <v>2</v>
      </c>
      <c r="B92" s="3" t="s">
        <v>3</v>
      </c>
      <c r="C92" s="3" t="s">
        <v>4</v>
      </c>
      <c r="D92" s="4" t="s">
        <v>5</v>
      </c>
      <c r="E92" s="2" t="s">
        <v>6</v>
      </c>
      <c r="F92" s="5" t="s">
        <v>7</v>
      </c>
      <c r="G92" s="5" t="s">
        <v>8</v>
      </c>
      <c r="H92" s="2" t="s">
        <v>9</v>
      </c>
      <c r="I92" s="2" t="s">
        <v>10</v>
      </c>
      <c r="J92" s="2" t="s">
        <v>11</v>
      </c>
      <c r="K92" s="2"/>
    </row>
    <row r="93">
      <c r="A93" s="12" t="s">
        <v>18</v>
      </c>
      <c r="B93" s="7" t="s">
        <v>13</v>
      </c>
      <c r="C93" s="8">
        <v>4</v>
      </c>
      <c r="D93" s="24">
        <v>7159.76</v>
      </c>
      <c r="E93" s="8">
        <v>6277.8</v>
      </c>
      <c r="F93" s="8">
        <v>7</v>
      </c>
      <c r="G93" s="11">
        <f t="shared" ref="G93:G97" si="47">E93/F93</f>
      </c>
      <c r="H93" s="11">
        <f t="shared" ref="H93:H97" si="9">D93/F93</f>
      </c>
      <c r="I93" s="11">
        <f t="shared" ref="I93:I97" si="66">E93/D93</f>
      </c>
      <c r="J93" s="11">
        <f t="shared" ref="J93:J97" si="28">D93/C93</f>
      </c>
      <c r="K93" s="11"/>
    </row>
    <row r="94">
      <c r="A94" s="12" t="s">
        <v>12</v>
      </c>
      <c r="B94" s="7" t="s">
        <v>32</v>
      </c>
      <c r="C94" s="8">
        <v>4</v>
      </c>
      <c r="D94" s="9">
        <v>5758.629999999999</v>
      </c>
      <c r="E94" s="8">
        <v>714</v>
      </c>
      <c r="F94" s="8">
        <v>1</v>
      </c>
      <c r="G94" s="11">
        <f t="shared" si="47"/>
      </c>
      <c r="H94" s="11">
        <f t="shared" si="9"/>
      </c>
      <c r="I94" s="11">
        <f t="shared" si="66"/>
      </c>
      <c r="J94" s="11">
        <f t="shared" si="28"/>
      </c>
      <c r="K94" s="11"/>
    </row>
    <row r="95">
      <c r="A95" s="6" t="s">
        <v>14</v>
      </c>
      <c r="B95" s="7" t="s">
        <v>33</v>
      </c>
      <c r="C95" s="8">
        <v>4</v>
      </c>
      <c r="D95" s="8">
        <v>4434.9100000000035</v>
      </c>
      <c r="E95" s="10">
        <v>1186.8000000000002</v>
      </c>
      <c r="F95" s="8">
        <v>1</v>
      </c>
      <c r="G95" s="11">
        <f t="shared" si="47"/>
      </c>
      <c r="H95" s="11">
        <f t="shared" si="9"/>
      </c>
      <c r="I95" s="11">
        <f t="shared" si="66"/>
      </c>
      <c r="J95" s="11">
        <f t="shared" si="28"/>
      </c>
      <c r="K95" s="11"/>
    </row>
    <row r="96">
      <c r="A96" s="12" t="s">
        <v>34</v>
      </c>
      <c r="B96" s="7" t="s">
        <v>35</v>
      </c>
      <c r="C96" s="8">
        <v>4</v>
      </c>
      <c r="D96" s="11">
        <v>6399.109999999997</v>
      </c>
      <c r="E96" s="13">
        <v>6643.199999999999</v>
      </c>
      <c r="F96" s="8">
        <v>4</v>
      </c>
      <c r="G96" s="11">
        <f t="shared" si="47"/>
      </c>
      <c r="H96" s="11">
        <f t="shared" si="9"/>
      </c>
      <c r="I96" s="11">
        <f t="shared" si="66"/>
      </c>
      <c r="J96" s="11">
        <f t="shared" si="28"/>
      </c>
      <c r="K96" s="11"/>
    </row>
    <row r="97">
      <c r="A97" s="2" t="s">
        <v>20</v>
      </c>
      <c r="B97" s="3"/>
      <c r="C97" s="14">
        <f>SUM(C93:C96)</f>
      </c>
      <c r="D97" s="3">
        <f>SUM(D93:D96)</f>
      </c>
      <c r="E97" s="3">
        <f>SUM(E93:E96)</f>
      </c>
      <c r="F97" s="2">
        <f>SUM(F93:F96)</f>
      </c>
      <c r="G97" s="4">
        <f t="shared" si="47"/>
      </c>
      <c r="H97" s="4">
        <f t="shared" si="9"/>
      </c>
      <c r="I97" s="4">
        <f t="shared" si="66"/>
      </c>
      <c r="J97" s="4">
        <f t="shared" si="28"/>
      </c>
      <c r="K97" s="4"/>
    </row>
    <row r="98">
      <c r="A98" s="15" t="s">
        <v>21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>
      <c r="A99" s="16" t="s">
        <v>5</v>
      </c>
      <c r="B99" s="16" t="s">
        <v>22</v>
      </c>
      <c r="C99" s="16" t="s">
        <v>23</v>
      </c>
      <c r="D99" s="16" t="s">
        <v>24</v>
      </c>
      <c r="E99" s="16" t="s">
        <v>25</v>
      </c>
      <c r="F99" s="16" t="s">
        <v>26</v>
      </c>
      <c r="G99" s="16" t="s">
        <v>27</v>
      </c>
      <c r="H99" s="17" t="s">
        <v>28</v>
      </c>
      <c r="I99" s="17" t="s">
        <v>29</v>
      </c>
      <c r="J99" s="17" t="s">
        <v>30</v>
      </c>
      <c r="K99" s="17" t="s">
        <v>4</v>
      </c>
    </row>
    <row r="100">
      <c r="A100" s="18">
        <f>SUM(D93:D96)</f>
      </c>
      <c r="B100" s="18">
        <f>SUM(E93:E96)</f>
      </c>
      <c r="C100" s="19">
        <f>B100/((K100*300)+A100)</f>
      </c>
      <c r="D100" s="20">
        <f>A100/J100</f>
      </c>
      <c r="E100" s="19">
        <f>B100/J100</f>
      </c>
      <c r="F100" s="21">
        <f>J100/I100</f>
      </c>
      <c r="G100" s="21">
        <f>H100/J100</f>
      </c>
      <c r="H100" s="22">
        <v>2</v>
      </c>
      <c r="I100" s="22">
        <v>26</v>
      </c>
      <c r="J100" s="23">
        <f>F97</f>
      </c>
      <c r="K100" s="23">
        <f>C97</f>
      </c>
    </row>
    <row r="101">
      <c r="A101" s="1" t="s">
        <v>44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 t="s">
        <v>2</v>
      </c>
      <c r="B102" s="3" t="s">
        <v>3</v>
      </c>
      <c r="C102" s="3" t="s">
        <v>4</v>
      </c>
      <c r="D102" s="4" t="s">
        <v>5</v>
      </c>
      <c r="E102" s="2" t="s">
        <v>6</v>
      </c>
      <c r="F102" s="5" t="s">
        <v>7</v>
      </c>
      <c r="G102" s="5" t="s">
        <v>8</v>
      </c>
      <c r="H102" s="2" t="s">
        <v>9</v>
      </c>
      <c r="I102" s="2" t="s">
        <v>10</v>
      </c>
      <c r="J102" s="2" t="s">
        <v>11</v>
      </c>
      <c r="K102" s="2"/>
    </row>
    <row r="103">
      <c r="A103" s="12" t="s">
        <v>18</v>
      </c>
      <c r="B103" s="7" t="s">
        <v>13</v>
      </c>
      <c r="C103" s="8">
        <v>4</v>
      </c>
      <c r="D103" s="24">
        <v>6805.03</v>
      </c>
      <c r="E103" s="8">
        <v>4520</v>
      </c>
      <c r="F103" s="8">
        <v>4</v>
      </c>
      <c r="G103" s="11">
        <f t="shared" ref="G103:G107" si="48">E103/F103</f>
      </c>
      <c r="H103" s="11">
        <f t="shared" ref="H103:H107" si="10">D103/F103</f>
      </c>
      <c r="I103" s="11">
        <f t="shared" ref="I103:I107" si="67">E103/D103</f>
      </c>
      <c r="J103" s="11">
        <f t="shared" ref="J103:J107" si="29">D103/C103</f>
      </c>
      <c r="K103" s="11"/>
    </row>
    <row r="104">
      <c r="A104" s="12" t="s">
        <v>34</v>
      </c>
      <c r="B104" s="7" t="s">
        <v>32</v>
      </c>
      <c r="C104" s="8">
        <v>4</v>
      </c>
      <c r="D104" s="9">
        <v>8658.580000000002</v>
      </c>
      <c r="E104" s="8">
        <v>7350.000000000001</v>
      </c>
      <c r="F104" s="8">
        <v>5</v>
      </c>
      <c r="G104" s="11">
        <f t="shared" si="48"/>
      </c>
      <c r="H104" s="11">
        <f t="shared" si="10"/>
      </c>
      <c r="I104" s="11">
        <f t="shared" si="67"/>
      </c>
      <c r="J104" s="11">
        <f t="shared" si="29"/>
      </c>
      <c r="K104" s="11"/>
    </row>
    <row r="105">
      <c r="A105" s="12" t="s">
        <v>16</v>
      </c>
      <c r="B105" s="7" t="s">
        <v>33</v>
      </c>
      <c r="C105" s="8">
        <v>4</v>
      </c>
      <c r="D105" s="8">
        <v>7414.319999999996</v>
      </c>
      <c r="E105" s="10">
        <v>7269.200000000001</v>
      </c>
      <c r="F105" s="8">
        <v>3</v>
      </c>
      <c r="G105" s="11">
        <f t="shared" si="48"/>
      </c>
      <c r="H105" s="11">
        <f t="shared" si="10"/>
      </c>
      <c r="I105" s="11">
        <f t="shared" si="67"/>
      </c>
      <c r="J105" s="11">
        <f t="shared" si="29"/>
      </c>
      <c r="K105" s="11"/>
    </row>
    <row r="106">
      <c r="A106" s="12" t="s">
        <v>12</v>
      </c>
      <c r="B106" s="7" t="s">
        <v>35</v>
      </c>
      <c r="C106" s="8">
        <v>4</v>
      </c>
      <c r="D106" s="11">
        <v>7494.0999999999985</v>
      </c>
      <c r="E106" s="13">
        <v>23504.6</v>
      </c>
      <c r="F106" s="8">
        <v>14</v>
      </c>
      <c r="G106" s="11">
        <f t="shared" si="48"/>
      </c>
      <c r="H106" s="11">
        <f t="shared" si="10"/>
      </c>
      <c r="I106" s="11">
        <f t="shared" si="67"/>
      </c>
      <c r="J106" s="11">
        <f t="shared" si="29"/>
      </c>
      <c r="K106" s="11"/>
    </row>
    <row r="107">
      <c r="A107" s="2" t="s">
        <v>20</v>
      </c>
      <c r="B107" s="3"/>
      <c r="C107" s="14">
        <f>SUM(C103:C106)</f>
      </c>
      <c r="D107" s="3">
        <f>SUM(D103:D106)</f>
      </c>
      <c r="E107" s="3">
        <f>SUM(E103:E106)</f>
      </c>
      <c r="F107" s="2">
        <f>SUM(F103:F106)</f>
      </c>
      <c r="G107" s="4">
        <f t="shared" si="48"/>
      </c>
      <c r="H107" s="4">
        <f t="shared" si="10"/>
      </c>
      <c r="I107" s="4">
        <f t="shared" si="67"/>
      </c>
      <c r="J107" s="4">
        <f t="shared" si="29"/>
      </c>
      <c r="K107" s="4"/>
    </row>
    <row r="108">
      <c r="A108" s="15" t="s">
        <v>21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>
      <c r="A109" s="16" t="s">
        <v>5</v>
      </c>
      <c r="B109" s="16" t="s">
        <v>22</v>
      </c>
      <c r="C109" s="16" t="s">
        <v>23</v>
      </c>
      <c r="D109" s="16" t="s">
        <v>24</v>
      </c>
      <c r="E109" s="16" t="s">
        <v>25</v>
      </c>
      <c r="F109" s="16" t="s">
        <v>26</v>
      </c>
      <c r="G109" s="16" t="s">
        <v>27</v>
      </c>
      <c r="H109" s="17" t="s">
        <v>28</v>
      </c>
      <c r="I109" s="17" t="s">
        <v>29</v>
      </c>
      <c r="J109" s="17" t="s">
        <v>30</v>
      </c>
      <c r="K109" s="17" t="s">
        <v>4</v>
      </c>
    </row>
    <row r="110">
      <c r="A110" s="18">
        <f>SUM(D103:D106)</f>
      </c>
      <c r="B110" s="18">
        <f>SUM(E103:E106)</f>
      </c>
      <c r="C110" s="19">
        <f>B110/((K110*300)+A110)</f>
      </c>
      <c r="D110" s="20">
        <f>A110/J110</f>
      </c>
      <c r="E110" s="19">
        <f>B110/J110</f>
      </c>
      <c r="F110" s="21">
        <f>J110/I110</f>
      </c>
      <c r="G110" s="21">
        <f>H110/J110</f>
      </c>
      <c r="H110" s="22">
        <v>1</v>
      </c>
      <c r="I110" s="22">
        <v>37</v>
      </c>
      <c r="J110" s="23">
        <f>F107</f>
      </c>
      <c r="K110" s="23">
        <f>C107</f>
      </c>
    </row>
    <row r="111">
      <c r="A111" s="1" t="s">
        <v>45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>
      <c r="A112" s="2" t="s">
        <v>2</v>
      </c>
      <c r="B112" s="3" t="s">
        <v>3</v>
      </c>
      <c r="C112" s="3" t="s">
        <v>4</v>
      </c>
      <c r="D112" s="4" t="s">
        <v>5</v>
      </c>
      <c r="E112" s="2" t="s">
        <v>6</v>
      </c>
      <c r="F112" s="5" t="s">
        <v>7</v>
      </c>
      <c r="G112" s="5" t="s">
        <v>8</v>
      </c>
      <c r="H112" s="2" t="s">
        <v>9</v>
      </c>
      <c r="I112" s="2" t="s">
        <v>10</v>
      </c>
      <c r="J112" s="2" t="s">
        <v>11</v>
      </c>
      <c r="K112" s="2"/>
    </row>
    <row r="113">
      <c r="A113" s="6" t="s">
        <v>18</v>
      </c>
      <c r="B113" s="26" t="s">
        <v>13</v>
      </c>
      <c r="C113" s="10">
        <v>4</v>
      </c>
      <c r="D113" s="11">
        <v>6387.34</v>
      </c>
      <c r="E113" s="10">
        <v>11823.8</v>
      </c>
      <c r="F113" s="8">
        <v>9</v>
      </c>
      <c r="G113" s="11">
        <f t="shared" ref="G113:G117" si="49">E113/F113</f>
      </c>
      <c r="H113" s="11">
        <f t="shared" ref="H113:H117" si="11">D113/F113</f>
      </c>
      <c r="I113" s="11">
        <f t="shared" ref="I113:I117" si="68">E113/D113</f>
      </c>
      <c r="J113" s="11">
        <f t="shared" ref="J113:J117" si="30">D113/C113</f>
      </c>
      <c r="K113" s="11"/>
    </row>
    <row r="114">
      <c r="A114" s="12" t="s">
        <v>14</v>
      </c>
      <c r="B114" s="26" t="s">
        <v>32</v>
      </c>
      <c r="C114" s="10">
        <v>4</v>
      </c>
      <c r="D114" s="9">
        <v>6601.25</v>
      </c>
      <c r="E114" s="10">
        <v>16381.199999999999</v>
      </c>
      <c r="F114" s="8">
        <v>8</v>
      </c>
      <c r="G114" s="11">
        <f t="shared" si="49"/>
      </c>
      <c r="H114" s="11">
        <f t="shared" si="11"/>
      </c>
      <c r="I114" s="11">
        <f t="shared" si="68"/>
      </c>
      <c r="J114" s="11">
        <f t="shared" si="30"/>
      </c>
      <c r="K114" s="11"/>
    </row>
    <row r="115">
      <c r="A115" s="6" t="s">
        <v>12</v>
      </c>
      <c r="B115" s="26" t="s">
        <v>33</v>
      </c>
      <c r="C115" s="10">
        <v>4</v>
      </c>
      <c r="D115" s="10">
        <v>6133.509999999998</v>
      </c>
      <c r="E115" s="10">
        <v>2325.6</v>
      </c>
      <c r="F115" s="8">
        <v>3</v>
      </c>
      <c r="G115" s="11">
        <f t="shared" si="49"/>
      </c>
      <c r="H115" s="11">
        <f t="shared" si="11"/>
      </c>
      <c r="I115" s="11">
        <f t="shared" si="68"/>
      </c>
      <c r="J115" s="11">
        <f t="shared" si="30"/>
      </c>
      <c r="K115" s="11"/>
    </row>
    <row r="116">
      <c r="A116" s="12" t="s">
        <v>34</v>
      </c>
      <c r="B116" s="26" t="s">
        <v>35</v>
      </c>
      <c r="C116" s="10">
        <v>4</v>
      </c>
      <c r="D116" s="11">
        <v>9930.270000000004</v>
      </c>
      <c r="E116" s="13">
        <v>29715</v>
      </c>
      <c r="F116" s="8">
        <v>13</v>
      </c>
      <c r="G116" s="11">
        <f t="shared" si="49"/>
      </c>
      <c r="H116" s="11">
        <f t="shared" si="11"/>
      </c>
      <c r="I116" s="11">
        <f t="shared" si="68"/>
      </c>
      <c r="J116" s="11">
        <f t="shared" si="30"/>
      </c>
      <c r="K116" s="11"/>
    </row>
    <row r="117">
      <c r="A117" s="2" t="s">
        <v>20</v>
      </c>
      <c r="B117" s="3"/>
      <c r="C117" s="14">
        <f>SUM(C113:C116)</f>
      </c>
      <c r="D117" s="3">
        <f>SUM(D113:D116)</f>
      </c>
      <c r="E117" s="3">
        <f>SUM(E113:E116)</f>
      </c>
      <c r="F117" s="2">
        <f>SUM(F113:F116)</f>
      </c>
      <c r="G117" s="4">
        <f t="shared" si="49"/>
      </c>
      <c r="H117" s="4">
        <f t="shared" si="11"/>
      </c>
      <c r="I117" s="4">
        <f t="shared" si="68"/>
      </c>
      <c r="J117" s="4">
        <f t="shared" si="30"/>
      </c>
      <c r="K117" s="4"/>
    </row>
    <row r="118">
      <c r="A118" s="15" t="s">
        <v>21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>
      <c r="A119" s="16" t="s">
        <v>5</v>
      </c>
      <c r="B119" s="16" t="s">
        <v>22</v>
      </c>
      <c r="C119" s="16" t="s">
        <v>23</v>
      </c>
      <c r="D119" s="16" t="s">
        <v>24</v>
      </c>
      <c r="E119" s="16" t="s">
        <v>25</v>
      </c>
      <c r="F119" s="16" t="s">
        <v>26</v>
      </c>
      <c r="G119" s="16" t="s">
        <v>27</v>
      </c>
      <c r="H119" s="17" t="s">
        <v>28</v>
      </c>
      <c r="I119" s="17" t="s">
        <v>29</v>
      </c>
      <c r="J119" s="17" t="s">
        <v>30</v>
      </c>
      <c r="K119" s="17" t="s">
        <v>4</v>
      </c>
    </row>
    <row r="120">
      <c r="A120" s="18">
        <f>SUM(D113:D116)</f>
      </c>
      <c r="B120" s="18">
        <f>SUM(E113:E116)</f>
      </c>
      <c r="C120" s="19">
        <f>B120/((K120*300)+A120)</f>
      </c>
      <c r="D120" s="20">
        <f>A120/J120</f>
      </c>
      <c r="E120" s="19">
        <f>B120/J120</f>
      </c>
      <c r="F120" s="21">
        <f>J120/I120</f>
      </c>
      <c r="G120" s="21">
        <f>H120/J120</f>
      </c>
      <c r="H120" s="22">
        <v>5</v>
      </c>
      <c r="I120" s="22">
        <v>45</v>
      </c>
      <c r="J120" s="23">
        <f>F117</f>
      </c>
      <c r="K120" s="23">
        <f>C117</f>
      </c>
    </row>
    <row r="121">
      <c r="A121" s="1" t="s">
        <v>46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2" t="s">
        <v>2</v>
      </c>
      <c r="B122" s="3" t="s">
        <v>3</v>
      </c>
      <c r="C122" s="3" t="s">
        <v>4</v>
      </c>
      <c r="D122" s="4" t="s">
        <v>5</v>
      </c>
      <c r="E122" s="2" t="s">
        <v>6</v>
      </c>
      <c r="F122" s="5" t="s">
        <v>7</v>
      </c>
      <c r="G122" s="5" t="s">
        <v>8</v>
      </c>
      <c r="H122" s="2" t="s">
        <v>9</v>
      </c>
      <c r="I122" s="2" t="s">
        <v>10</v>
      </c>
      <c r="J122" s="2" t="s">
        <v>11</v>
      </c>
      <c r="K122" s="2"/>
    </row>
    <row r="123">
      <c r="A123" s="6" t="s">
        <v>18</v>
      </c>
      <c r="B123" s="26" t="s">
        <v>13</v>
      </c>
      <c r="C123" s="10">
        <v>4</v>
      </c>
      <c r="D123" s="11">
        <v>9004.99</v>
      </c>
      <c r="E123" s="10">
        <v>8655.2</v>
      </c>
      <c r="F123" s="8">
        <v>8</v>
      </c>
      <c r="G123" s="11">
        <f t="shared" ref="G123:G127" si="50">E123/F123</f>
      </c>
      <c r="H123" s="11">
        <f t="shared" ref="H123:H127" si="12">D123/F123</f>
      </c>
      <c r="I123" s="11">
        <f t="shared" ref="I123:I127" si="69">E123/D123</f>
      </c>
      <c r="J123" s="11">
        <f t="shared" ref="J123:J127" si="31">D123/C123</f>
      </c>
      <c r="K123" s="11"/>
    </row>
    <row r="124">
      <c r="A124" s="12" t="s">
        <v>12</v>
      </c>
      <c r="B124" s="26" t="s">
        <v>32</v>
      </c>
      <c r="C124" s="8">
        <v>4</v>
      </c>
      <c r="D124" s="9">
        <v>9162.06</v>
      </c>
      <c r="E124" s="10">
        <v>8607.199999999999</v>
      </c>
      <c r="F124" s="8">
        <v>4</v>
      </c>
      <c r="G124" s="11">
        <f t="shared" si="50"/>
      </c>
      <c r="H124" s="11">
        <f t="shared" si="12"/>
      </c>
      <c r="I124" s="11">
        <f t="shared" si="69"/>
      </c>
      <c r="J124" s="11">
        <f t="shared" si="31"/>
      </c>
      <c r="K124" s="11"/>
    </row>
    <row r="125">
      <c r="A125" s="12" t="s">
        <v>16</v>
      </c>
      <c r="B125" s="26" t="s">
        <v>33</v>
      </c>
      <c r="C125" s="8">
        <v>4</v>
      </c>
      <c r="D125" s="10">
        <v>7057.060000000001</v>
      </c>
      <c r="E125" s="10">
        <v>7693.200000000001</v>
      </c>
      <c r="F125" s="8">
        <v>4</v>
      </c>
      <c r="G125" s="11">
        <f t="shared" si="50"/>
      </c>
      <c r="H125" s="11">
        <f t="shared" si="12"/>
      </c>
      <c r="I125" s="11">
        <f t="shared" si="69"/>
      </c>
      <c r="J125" s="11">
        <f t="shared" si="31"/>
      </c>
      <c r="K125" s="11"/>
    </row>
    <row r="126">
      <c r="A126" s="12" t="s">
        <v>14</v>
      </c>
      <c r="B126" s="26" t="s">
        <v>35</v>
      </c>
      <c r="C126" s="8">
        <v>4</v>
      </c>
      <c r="D126" s="11">
        <v>8753.389999999992</v>
      </c>
      <c r="E126" s="13">
        <v>9914.400000000001</v>
      </c>
      <c r="F126" s="8">
        <v>5</v>
      </c>
      <c r="G126" s="11">
        <f t="shared" si="50"/>
      </c>
      <c r="H126" s="11">
        <f t="shared" si="12"/>
      </c>
      <c r="I126" s="11">
        <f t="shared" si="69"/>
      </c>
      <c r="J126" s="11">
        <f t="shared" si="31"/>
      </c>
      <c r="K126" s="11"/>
    </row>
    <row r="127">
      <c r="A127" s="2" t="s">
        <v>20</v>
      </c>
      <c r="B127" s="3"/>
      <c r="C127" s="14">
        <f>SUM(C123:C126)</f>
      </c>
      <c r="D127" s="3">
        <f>SUM(D123:D126)</f>
      </c>
      <c r="E127" s="3">
        <f>SUM(E123:E126)</f>
      </c>
      <c r="F127" s="2">
        <f>SUM(F123:F126)</f>
      </c>
      <c r="G127" s="4">
        <f t="shared" si="50"/>
      </c>
      <c r="H127" s="4">
        <f t="shared" si="12"/>
      </c>
      <c r="I127" s="4">
        <f t="shared" si="69"/>
      </c>
      <c r="J127" s="4">
        <f t="shared" si="31"/>
      </c>
      <c r="K127" s="4"/>
    </row>
    <row r="128">
      <c r="A128" s="15" t="s">
        <v>21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>
      <c r="A129" s="16" t="s">
        <v>5</v>
      </c>
      <c r="B129" s="16" t="s">
        <v>22</v>
      </c>
      <c r="C129" s="16" t="s">
        <v>23</v>
      </c>
      <c r="D129" s="16" t="s">
        <v>24</v>
      </c>
      <c r="E129" s="16" t="s">
        <v>25</v>
      </c>
      <c r="F129" s="16" t="s">
        <v>26</v>
      </c>
      <c r="G129" s="16" t="s">
        <v>27</v>
      </c>
      <c r="H129" s="17" t="s">
        <v>28</v>
      </c>
      <c r="I129" s="17" t="s">
        <v>29</v>
      </c>
      <c r="J129" s="17" t="s">
        <v>30</v>
      </c>
      <c r="K129" s="17" t="s">
        <v>4</v>
      </c>
    </row>
    <row r="130">
      <c r="A130" s="18">
        <f>SUM(D123:D126)</f>
      </c>
      <c r="B130" s="18">
        <f>SUM(E123:E126)</f>
      </c>
      <c r="C130" s="19">
        <f>B130/((K130*300)+A130)</f>
      </c>
      <c r="D130" s="20">
        <f>A130/J130</f>
      </c>
      <c r="E130" s="19">
        <f>B130/J130</f>
      </c>
      <c r="F130" s="21">
        <f>J130/I130</f>
      </c>
      <c r="G130" s="21">
        <f>H130/J130</f>
      </c>
      <c r="H130" s="22">
        <v>0</v>
      </c>
      <c r="I130" s="22">
        <v>37</v>
      </c>
      <c r="J130" s="23">
        <f>F127</f>
      </c>
      <c r="K130" s="23">
        <f>C127</f>
      </c>
    </row>
    <row r="131">
      <c r="A131" s="1" t="s">
        <v>47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 t="s">
        <v>2</v>
      </c>
      <c r="B132" s="3" t="s">
        <v>3</v>
      </c>
      <c r="C132" s="3" t="s">
        <v>4</v>
      </c>
      <c r="D132" s="4" t="s">
        <v>5</v>
      </c>
      <c r="E132" s="2" t="s">
        <v>6</v>
      </c>
      <c r="F132" s="5" t="s">
        <v>7</v>
      </c>
      <c r="G132" s="5" t="s">
        <v>8</v>
      </c>
      <c r="H132" s="2" t="s">
        <v>9</v>
      </c>
      <c r="I132" s="2" t="s">
        <v>10</v>
      </c>
      <c r="J132" s="2" t="s">
        <v>11</v>
      </c>
      <c r="K132" s="2"/>
    </row>
    <row r="133">
      <c r="A133" s="6" t="s">
        <v>18</v>
      </c>
      <c r="B133" s="26" t="s">
        <v>13</v>
      </c>
      <c r="C133" s="10">
        <v>4</v>
      </c>
      <c r="D133" s="11">
        <v>7578.31</v>
      </c>
      <c r="E133" s="10">
        <v>8586.8</v>
      </c>
      <c r="F133" s="8">
        <v>5</v>
      </c>
      <c r="G133" s="11">
        <f t="shared" ref="G133:G137" si="51">E133/F133</f>
      </c>
      <c r="H133" s="11">
        <f t="shared" ref="H133:H137" si="13">D133/F133</f>
      </c>
      <c r="I133" s="11">
        <f t="shared" ref="I133:I137" si="70">E133/D133</f>
      </c>
      <c r="J133" s="11">
        <f t="shared" ref="J133:J137" si="32">D133/C133</f>
      </c>
      <c r="K133" s="11"/>
    </row>
    <row r="134">
      <c r="A134" s="12" t="s">
        <v>14</v>
      </c>
      <c r="B134" s="26" t="s">
        <v>32</v>
      </c>
      <c r="C134" s="8">
        <v>4</v>
      </c>
      <c r="D134" s="9">
        <v>6683.450000000002</v>
      </c>
      <c r="E134" s="10">
        <v>5800.6</v>
      </c>
      <c r="F134" s="8">
        <v>3</v>
      </c>
      <c r="G134" s="11">
        <f t="shared" si="51"/>
      </c>
      <c r="H134" s="11">
        <f t="shared" si="13"/>
      </c>
      <c r="I134" s="11">
        <f t="shared" si="70"/>
      </c>
      <c r="J134" s="11">
        <f t="shared" si="32"/>
      </c>
      <c r="K134" s="11"/>
    </row>
    <row r="135">
      <c r="A135" s="12" t="s">
        <v>16</v>
      </c>
      <c r="B135" s="26" t="s">
        <v>33</v>
      </c>
      <c r="C135" s="8">
        <v>4</v>
      </c>
      <c r="D135" s="10">
        <v>5278.0999999999985</v>
      </c>
      <c r="E135" s="10">
        <v>7142.4</v>
      </c>
      <c r="F135" s="8">
        <v>5</v>
      </c>
      <c r="G135" s="11">
        <f t="shared" si="51"/>
      </c>
      <c r="H135" s="11">
        <f t="shared" si="13"/>
      </c>
      <c r="I135" s="11">
        <f t="shared" si="70"/>
      </c>
      <c r="J135" s="11">
        <f t="shared" si="32"/>
      </c>
      <c r="K135" s="11"/>
    </row>
    <row r="136">
      <c r="A136" s="12" t="s">
        <v>12</v>
      </c>
      <c r="B136" s="26" t="s">
        <v>35</v>
      </c>
      <c r="C136" s="8">
        <v>4</v>
      </c>
      <c r="D136" s="11">
        <v>6727.73</v>
      </c>
      <c r="E136" s="13">
        <v>11877.600000000002</v>
      </c>
      <c r="F136" s="8">
        <v>8</v>
      </c>
      <c r="G136" s="11">
        <f t="shared" si="51"/>
      </c>
      <c r="H136" s="11">
        <f t="shared" si="13"/>
      </c>
      <c r="I136" s="11">
        <f t="shared" si="70"/>
      </c>
      <c r="J136" s="11">
        <f t="shared" si="32"/>
      </c>
      <c r="K136" s="11"/>
    </row>
    <row r="137">
      <c r="A137" s="2" t="s">
        <v>20</v>
      </c>
      <c r="B137" s="3"/>
      <c r="C137" s="14">
        <f>SUM(C133:C136)</f>
      </c>
      <c r="D137" s="3">
        <f>SUM(D133:D136)</f>
      </c>
      <c r="E137" s="3">
        <f>SUM(E133:E136)</f>
      </c>
      <c r="F137" s="2">
        <f>SUM(F133:F136)</f>
      </c>
      <c r="G137" s="4">
        <f t="shared" si="51"/>
      </c>
      <c r="H137" s="4">
        <f t="shared" si="13"/>
      </c>
      <c r="I137" s="4">
        <f t="shared" si="70"/>
      </c>
      <c r="J137" s="4">
        <f t="shared" si="32"/>
      </c>
      <c r="K137" s="4"/>
    </row>
    <row r="138">
      <c r="A138" s="15" t="s">
        <v>21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>
      <c r="A139" s="16" t="s">
        <v>5</v>
      </c>
      <c r="B139" s="16" t="s">
        <v>22</v>
      </c>
      <c r="C139" s="16" t="s">
        <v>23</v>
      </c>
      <c r="D139" s="16" t="s">
        <v>24</v>
      </c>
      <c r="E139" s="16" t="s">
        <v>25</v>
      </c>
      <c r="F139" s="16" t="s">
        <v>26</v>
      </c>
      <c r="G139" s="16" t="s">
        <v>27</v>
      </c>
      <c r="H139" s="17" t="s">
        <v>28</v>
      </c>
      <c r="I139" s="17" t="s">
        <v>29</v>
      </c>
      <c r="J139" s="17" t="s">
        <v>30</v>
      </c>
      <c r="K139" s="17" t="s">
        <v>4</v>
      </c>
    </row>
    <row r="140">
      <c r="A140" s="18">
        <f>SUM(D133:D136)</f>
      </c>
      <c r="B140" s="18">
        <f>SUM(E133:E136)</f>
      </c>
      <c r="C140" s="19">
        <f>B140/((K140*300)+A140)</f>
      </c>
      <c r="D140" s="20">
        <f>A140/J140</f>
      </c>
      <c r="E140" s="19">
        <f>B140/J140</f>
      </c>
      <c r="F140" s="21">
        <f>J140/I140</f>
      </c>
      <c r="G140" s="21">
        <f>H140/J140</f>
      </c>
      <c r="H140" s="22">
        <v>2</v>
      </c>
      <c r="I140" s="22">
        <v>42</v>
      </c>
      <c r="J140" s="23">
        <f>F137</f>
      </c>
      <c r="K140" s="23">
        <f>C137</f>
      </c>
    </row>
    <row r="141">
      <c r="A141" s="1" t="s">
        <v>48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 t="s">
        <v>2</v>
      </c>
      <c r="B142" s="3" t="s">
        <v>3</v>
      </c>
      <c r="C142" s="3" t="s">
        <v>4</v>
      </c>
      <c r="D142" s="4" t="s">
        <v>5</v>
      </c>
      <c r="E142" s="2" t="s">
        <v>6</v>
      </c>
      <c r="F142" s="5" t="s">
        <v>7</v>
      </c>
      <c r="G142" s="5" t="s">
        <v>8</v>
      </c>
      <c r="H142" s="2" t="s">
        <v>9</v>
      </c>
      <c r="I142" s="2" t="s">
        <v>10</v>
      </c>
      <c r="J142" s="2" t="s">
        <v>11</v>
      </c>
      <c r="K142" s="2"/>
    </row>
    <row r="143">
      <c r="A143" s="6" t="s">
        <v>14</v>
      </c>
      <c r="B143" s="26" t="s">
        <v>13</v>
      </c>
      <c r="C143" s="10">
        <v>4</v>
      </c>
      <c r="D143" s="24">
        <v>7670.9</v>
      </c>
      <c r="E143" s="8">
        <v>4618.8</v>
      </c>
      <c r="F143" s="8">
        <v>5</v>
      </c>
      <c r="G143" s="11">
        <f t="shared" ref="G143:G147" si="52">E143/F143</f>
      </c>
      <c r="H143" s="11">
        <f t="shared" ref="H143:H147" si="14">D143/F143</f>
      </c>
      <c r="I143" s="11">
        <f t="shared" ref="I143:I147" si="71">E143/D143</f>
      </c>
      <c r="J143" s="11">
        <f t="shared" ref="J143:J147" si="33">D143/C143</f>
      </c>
      <c r="K143" s="11"/>
    </row>
    <row r="144">
      <c r="A144" s="12" t="s">
        <v>16</v>
      </c>
      <c r="B144" s="26" t="s">
        <v>32</v>
      </c>
      <c r="C144" s="8">
        <v>4</v>
      </c>
      <c r="D144" s="9">
        <v>8649.590000000002</v>
      </c>
      <c r="E144" s="10">
        <v>16817.600000000002</v>
      </c>
      <c r="F144" s="8">
        <v>6</v>
      </c>
      <c r="G144" s="11">
        <f t="shared" si="52"/>
      </c>
      <c r="H144" s="11">
        <f t="shared" si="14"/>
      </c>
      <c r="I144" s="11">
        <f t="shared" si="71"/>
      </c>
      <c r="J144" s="11">
        <f t="shared" si="33"/>
      </c>
      <c r="K144" s="11"/>
    </row>
    <row r="145">
      <c r="A145" s="12" t="s">
        <v>12</v>
      </c>
      <c r="B145" s="26" t="s">
        <v>33</v>
      </c>
      <c r="C145" s="8">
        <v>4</v>
      </c>
      <c r="D145" s="10">
        <v>5426.320000000003</v>
      </c>
      <c r="E145" s="10">
        <v>6000.799999999999</v>
      </c>
      <c r="F145" s="8">
        <v>5</v>
      </c>
      <c r="G145" s="11">
        <f t="shared" si="52"/>
      </c>
      <c r="H145" s="11">
        <f t="shared" si="14"/>
      </c>
      <c r="I145" s="11">
        <f t="shared" si="71"/>
      </c>
      <c r="J145" s="11">
        <f t="shared" si="33"/>
      </c>
      <c r="K145" s="11"/>
    </row>
    <row r="146">
      <c r="A146" s="12" t="s">
        <v>34</v>
      </c>
      <c r="B146" s="26" t="s">
        <v>35</v>
      </c>
      <c r="C146" s="8">
        <v>4</v>
      </c>
      <c r="D146" s="11">
        <v>4823.739999999998</v>
      </c>
      <c r="E146" s="13">
        <v>5645.999999999996</v>
      </c>
      <c r="F146" s="8">
        <v>3</v>
      </c>
      <c r="G146" s="11">
        <f t="shared" si="52"/>
      </c>
      <c r="H146" s="11">
        <f t="shared" si="14"/>
      </c>
      <c r="I146" s="11">
        <f t="shared" si="71"/>
      </c>
      <c r="J146" s="11">
        <f t="shared" si="33"/>
      </c>
      <c r="K146" s="11"/>
    </row>
    <row r="147">
      <c r="A147" s="2" t="s">
        <v>20</v>
      </c>
      <c r="B147" s="3"/>
      <c r="C147" s="14">
        <f>SUM(C143:C146)</f>
      </c>
      <c r="D147" s="3">
        <f>SUM(D143:D146)</f>
      </c>
      <c r="E147" s="3">
        <f>SUM(E143:E146)</f>
      </c>
      <c r="F147" s="2">
        <f>SUM(F143:F146)</f>
      </c>
      <c r="G147" s="4">
        <f t="shared" si="52"/>
      </c>
      <c r="H147" s="4">
        <f t="shared" si="14"/>
      </c>
      <c r="I147" s="4">
        <f t="shared" si="71"/>
      </c>
      <c r="J147" s="4">
        <f t="shared" si="33"/>
      </c>
      <c r="K147" s="4"/>
    </row>
    <row r="148">
      <c r="A148" s="15" t="s">
        <v>21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>
      <c r="A149" s="16" t="s">
        <v>5</v>
      </c>
      <c r="B149" s="16" t="s">
        <v>22</v>
      </c>
      <c r="C149" s="16" t="s">
        <v>23</v>
      </c>
      <c r="D149" s="16" t="s">
        <v>24</v>
      </c>
      <c r="E149" s="16" t="s">
        <v>25</v>
      </c>
      <c r="F149" s="16" t="s">
        <v>26</v>
      </c>
      <c r="G149" s="16" t="s">
        <v>27</v>
      </c>
      <c r="H149" s="17" t="s">
        <v>28</v>
      </c>
      <c r="I149" s="17" t="s">
        <v>29</v>
      </c>
      <c r="J149" s="17" t="s">
        <v>30</v>
      </c>
      <c r="K149" s="17" t="s">
        <v>4</v>
      </c>
    </row>
    <row r="150">
      <c r="A150" s="18">
        <f>SUM(D143:D146)</f>
      </c>
      <c r="B150" s="18">
        <f>SUM(E143:E146)</f>
      </c>
      <c r="C150" s="19">
        <f>B150/((K150*300)+A150)</f>
      </c>
      <c r="D150" s="20">
        <f>A150/J150</f>
      </c>
      <c r="E150" s="19">
        <f>B150/J150</f>
      </c>
      <c r="F150" s="21">
        <f>J150/I150</f>
      </c>
      <c r="G150" s="21">
        <f>H150/J150</f>
      </c>
      <c r="H150" s="22">
        <v>1</v>
      </c>
      <c r="I150" s="22">
        <v>33</v>
      </c>
      <c r="J150" s="23">
        <f>F147</f>
      </c>
      <c r="K150" s="23">
        <f>C147</f>
      </c>
    </row>
    <row r="151">
      <c r="A151" s="1" t="s">
        <v>49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 t="s">
        <v>2</v>
      </c>
      <c r="B152" s="3" t="s">
        <v>3</v>
      </c>
      <c r="C152" s="3" t="s">
        <v>4</v>
      </c>
      <c r="D152" s="4" t="s">
        <v>5</v>
      </c>
      <c r="E152" s="2" t="s">
        <v>6</v>
      </c>
      <c r="F152" s="5" t="s">
        <v>7</v>
      </c>
      <c r="G152" s="5" t="s">
        <v>8</v>
      </c>
      <c r="H152" s="2" t="s">
        <v>9</v>
      </c>
      <c r="I152" s="2" t="s">
        <v>10</v>
      </c>
      <c r="J152" s="2" t="s">
        <v>11</v>
      </c>
      <c r="K152" s="2"/>
    </row>
    <row r="153">
      <c r="A153" s="6" t="s">
        <v>18</v>
      </c>
      <c r="B153" s="26" t="s">
        <v>13</v>
      </c>
      <c r="C153" s="10">
        <v>4</v>
      </c>
      <c r="D153" s="24">
        <v>5177.18</v>
      </c>
      <c r="E153" s="8">
        <v>4836.8</v>
      </c>
      <c r="F153" s="8">
        <v>3</v>
      </c>
      <c r="G153" s="11">
        <f t="shared" ref="G153:G157" si="53">E153/F153</f>
      </c>
      <c r="H153" s="11">
        <f t="shared" ref="H153:H157" si="15">D153/F153</f>
      </c>
      <c r="I153" s="11">
        <f t="shared" ref="I153:I157" si="72">E153/D153</f>
      </c>
      <c r="J153" s="11">
        <f t="shared" ref="J153:J157" si="34">D153/C153</f>
      </c>
      <c r="K153" s="11"/>
    </row>
    <row r="154">
      <c r="A154" s="6" t="s">
        <v>14</v>
      </c>
      <c r="B154" s="26" t="s">
        <v>32</v>
      </c>
      <c r="C154" s="8">
        <v>4</v>
      </c>
      <c r="D154" s="9">
        <v>4406.58</v>
      </c>
      <c r="E154" s="10">
        <v>11479.2</v>
      </c>
      <c r="F154" s="8">
        <v>8</v>
      </c>
      <c r="G154" s="11">
        <f t="shared" si="53"/>
      </c>
      <c r="H154" s="11">
        <f t="shared" si="15"/>
      </c>
      <c r="I154" s="11">
        <f t="shared" si="72"/>
      </c>
      <c r="J154" s="11">
        <f t="shared" si="34"/>
      </c>
      <c r="K154" s="11"/>
    </row>
    <row r="155">
      <c r="A155" s="12" t="s">
        <v>34</v>
      </c>
      <c r="B155" s="26" t="s">
        <v>33</v>
      </c>
      <c r="C155" s="8">
        <v>4</v>
      </c>
      <c r="D155" s="10">
        <v>4103.209999999999</v>
      </c>
      <c r="E155" s="10">
        <v>21709.199999999997</v>
      </c>
      <c r="F155" s="8">
        <v>5</v>
      </c>
      <c r="G155" s="11">
        <f t="shared" si="53"/>
      </c>
      <c r="H155" s="11">
        <f t="shared" si="15"/>
      </c>
      <c r="I155" s="11">
        <f t="shared" si="72"/>
      </c>
      <c r="J155" s="11">
        <f t="shared" si="34"/>
      </c>
      <c r="K155" s="11"/>
    </row>
    <row r="156">
      <c r="A156" s="12" t="s">
        <v>12</v>
      </c>
      <c r="B156" s="26" t="s">
        <v>35</v>
      </c>
      <c r="C156" s="8">
        <v>4</v>
      </c>
      <c r="D156" s="11">
        <v>5706.129999999999</v>
      </c>
      <c r="E156" s="13">
        <v>9683.800000000003</v>
      </c>
      <c r="F156" s="8">
        <v>8</v>
      </c>
      <c r="G156" s="11">
        <f t="shared" si="53"/>
      </c>
      <c r="H156" s="11">
        <f t="shared" si="15"/>
      </c>
      <c r="I156" s="11">
        <f t="shared" si="72"/>
      </c>
      <c r="J156" s="11">
        <f t="shared" si="34"/>
      </c>
      <c r="K156" s="11"/>
    </row>
    <row r="157">
      <c r="A157" s="2" t="s">
        <v>20</v>
      </c>
      <c r="B157" s="3"/>
      <c r="C157" s="14">
        <f>SUM(C153:C156)</f>
      </c>
      <c r="D157" s="3">
        <f>SUM(D153:D156)</f>
      </c>
      <c r="E157" s="3">
        <f>SUM(E153:E156)</f>
      </c>
      <c r="F157" s="2">
        <f>SUM(F153:F156)</f>
      </c>
      <c r="G157" s="4">
        <f t="shared" si="53"/>
      </c>
      <c r="H157" s="4">
        <f t="shared" si="15"/>
      </c>
      <c r="I157" s="4">
        <f t="shared" si="72"/>
      </c>
      <c r="J157" s="4">
        <f t="shared" si="34"/>
      </c>
      <c r="K157" s="4"/>
    </row>
    <row r="158">
      <c r="A158" s="15" t="s">
        <v>21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>
      <c r="A159" s="16" t="s">
        <v>5</v>
      </c>
      <c r="B159" s="16" t="s">
        <v>22</v>
      </c>
      <c r="C159" s="16" t="s">
        <v>23</v>
      </c>
      <c r="D159" s="16" t="s">
        <v>24</v>
      </c>
      <c r="E159" s="16" t="s">
        <v>25</v>
      </c>
      <c r="F159" s="16" t="s">
        <v>26</v>
      </c>
      <c r="G159" s="16" t="s">
        <v>27</v>
      </c>
      <c r="H159" s="17" t="s">
        <v>28</v>
      </c>
      <c r="I159" s="17" t="s">
        <v>29</v>
      </c>
      <c r="J159" s="17" t="s">
        <v>30</v>
      </c>
      <c r="K159" s="17" t="s">
        <v>4</v>
      </c>
    </row>
    <row r="160">
      <c r="A160" s="18">
        <f>SUM(D153:D156)</f>
      </c>
      <c r="B160" s="18">
        <f>SUM(E153:E156)</f>
      </c>
      <c r="C160" s="19">
        <f>B160/((K160*300)+A160)</f>
      </c>
      <c r="D160" s="20">
        <f>A160/J160</f>
      </c>
      <c r="E160" s="19">
        <f>B160/J160</f>
      </c>
      <c r="F160" s="21">
        <f>J160/I160</f>
      </c>
      <c r="G160" s="21">
        <f>H160/J160</f>
      </c>
      <c r="H160" s="22">
        <v>3</v>
      </c>
      <c r="I160" s="22">
        <v>34</v>
      </c>
      <c r="J160" s="23">
        <f>F157</f>
      </c>
      <c r="K160" s="23">
        <f>C157</f>
      </c>
    </row>
    <row r="161">
      <c r="A161" s="1" t="s">
        <v>50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 t="s">
        <v>2</v>
      </c>
      <c r="B162" s="3" t="s">
        <v>3</v>
      </c>
      <c r="C162" s="3" t="s">
        <v>4</v>
      </c>
      <c r="D162" s="4" t="s">
        <v>5</v>
      </c>
      <c r="E162" s="2" t="s">
        <v>6</v>
      </c>
      <c r="F162" s="5" t="s">
        <v>7</v>
      </c>
      <c r="G162" s="5" t="s">
        <v>8</v>
      </c>
      <c r="H162" s="2" t="s">
        <v>9</v>
      </c>
      <c r="I162" s="2" t="s">
        <v>10</v>
      </c>
      <c r="J162" s="2" t="s">
        <v>11</v>
      </c>
      <c r="K162" s="2"/>
    </row>
    <row r="163">
      <c r="A163" s="6" t="s">
        <v>14</v>
      </c>
      <c r="B163" s="26" t="s">
        <v>13</v>
      </c>
      <c r="C163" s="10">
        <v>4</v>
      </c>
      <c r="D163" s="24">
        <v>5164.54</v>
      </c>
      <c r="E163" s="8">
        <v>1186.8000000000002</v>
      </c>
      <c r="F163" s="8">
        <v>1</v>
      </c>
      <c r="G163" s="11">
        <f t="shared" ref="G163:G167" si="54">E163/F163</f>
      </c>
      <c r="H163" s="11">
        <f t="shared" ref="H163:H167" si="16">D163/F163</f>
      </c>
      <c r="I163" s="11">
        <f t="shared" ref="I163:I167" si="73">E163/D163</f>
      </c>
      <c r="J163" s="11">
        <f t="shared" ref="J163:J167" si="35">D163/C163</f>
      </c>
      <c r="K163" s="11"/>
    </row>
    <row r="164">
      <c r="A164" s="12" t="s">
        <v>34</v>
      </c>
      <c r="B164" s="26" t="s">
        <v>32</v>
      </c>
      <c r="C164" s="10">
        <v>4</v>
      </c>
      <c r="D164" s="9">
        <v>4727.680000000001</v>
      </c>
      <c r="E164" s="10">
        <v>1499.9999999999998</v>
      </c>
      <c r="F164" s="8">
        <v>3</v>
      </c>
      <c r="G164" s="11">
        <f t="shared" si="54"/>
      </c>
      <c r="H164" s="11">
        <f t="shared" si="16"/>
      </c>
      <c r="I164" s="11">
        <f t="shared" si="73"/>
      </c>
      <c r="J164" s="11">
        <f t="shared" si="35"/>
      </c>
      <c r="K164" s="11"/>
    </row>
    <row r="165">
      <c r="A165" s="12" t="s">
        <v>16</v>
      </c>
      <c r="B165" s="26" t="s">
        <v>33</v>
      </c>
      <c r="C165" s="8">
        <v>4</v>
      </c>
      <c r="D165" s="10">
        <v>3571.1200000000026</v>
      </c>
      <c r="E165" s="10">
        <v>2373.6000000000004</v>
      </c>
      <c r="F165" s="8">
        <v>2</v>
      </c>
      <c r="G165" s="11">
        <f t="shared" si="54"/>
      </c>
      <c r="H165" s="11">
        <f t="shared" si="16"/>
      </c>
      <c r="I165" s="11">
        <f t="shared" si="73"/>
      </c>
      <c r="J165" s="11">
        <f t="shared" si="35"/>
      </c>
      <c r="K165" s="11"/>
    </row>
    <row r="166">
      <c r="A166" s="12" t="s">
        <v>18</v>
      </c>
      <c r="B166" s="26" t="s">
        <v>35</v>
      </c>
      <c r="C166" s="8">
        <v>4</v>
      </c>
      <c r="D166" s="11">
        <v>3928.0800000000017</v>
      </c>
      <c r="E166" s="13">
        <v>2582.3999999999996</v>
      </c>
      <c r="F166" s="8">
        <v>3</v>
      </c>
      <c r="G166" s="11">
        <f t="shared" si="54"/>
      </c>
      <c r="H166" s="11">
        <f t="shared" si="16"/>
      </c>
      <c r="I166" s="11">
        <f t="shared" si="73"/>
      </c>
      <c r="J166" s="11">
        <f t="shared" si="35"/>
      </c>
      <c r="K166" s="11"/>
    </row>
    <row r="167">
      <c r="A167" s="2" t="s">
        <v>20</v>
      </c>
      <c r="B167" s="3"/>
      <c r="C167" s="14">
        <f>SUM(C163:C166)</f>
      </c>
      <c r="D167" s="3">
        <f>SUM(D163:D166)</f>
      </c>
      <c r="E167" s="3">
        <f>SUM(E163:E166)</f>
      </c>
      <c r="F167" s="2">
        <f>SUM(F163:F166)</f>
      </c>
      <c r="G167" s="4">
        <f t="shared" si="54"/>
      </c>
      <c r="H167" s="4">
        <f t="shared" si="16"/>
      </c>
      <c r="I167" s="4">
        <f t="shared" si="73"/>
      </c>
      <c r="J167" s="4">
        <f t="shared" si="35"/>
      </c>
      <c r="K167" s="4"/>
    </row>
    <row r="168">
      <c r="A168" s="15" t="s">
        <v>21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>
      <c r="A169" s="16" t="s">
        <v>5</v>
      </c>
      <c r="B169" s="16" t="s">
        <v>22</v>
      </c>
      <c r="C169" s="16" t="s">
        <v>23</v>
      </c>
      <c r="D169" s="16" t="s">
        <v>24</v>
      </c>
      <c r="E169" s="16" t="s">
        <v>25</v>
      </c>
      <c r="F169" s="16" t="s">
        <v>26</v>
      </c>
      <c r="G169" s="16" t="s">
        <v>27</v>
      </c>
      <c r="H169" s="17" t="s">
        <v>28</v>
      </c>
      <c r="I169" s="17" t="s">
        <v>29</v>
      </c>
      <c r="J169" s="17" t="s">
        <v>30</v>
      </c>
      <c r="K169" s="17" t="s">
        <v>4</v>
      </c>
    </row>
    <row r="170">
      <c r="A170" s="18">
        <f>SUM(D163:D166)</f>
      </c>
      <c r="B170" s="18">
        <f>SUM(E163:E166)</f>
      </c>
      <c r="C170" s="19">
        <f>B170/((K170*300)+A170)</f>
      </c>
      <c r="D170" s="20">
        <f>A170/J170</f>
      </c>
      <c r="E170" s="19">
        <f>B170/J170</f>
      </c>
      <c r="F170" s="21">
        <f>J170/I170</f>
      </c>
      <c r="G170" s="21">
        <f>H170/J170</f>
      </c>
      <c r="H170" s="22">
        <v>1</v>
      </c>
      <c r="I170" s="22">
        <v>19</v>
      </c>
      <c r="J170" s="23">
        <f>F167</f>
      </c>
      <c r="K170" s="23">
        <f>C167</f>
      </c>
    </row>
    <row r="171">
      <c r="A171" s="1" t="s">
        <v>51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 t="s">
        <v>2</v>
      </c>
      <c r="B172" s="3" t="s">
        <v>3</v>
      </c>
      <c r="C172" s="3" t="s">
        <v>4</v>
      </c>
      <c r="D172" s="4" t="s">
        <v>5</v>
      </c>
      <c r="E172" s="2" t="s">
        <v>6</v>
      </c>
      <c r="F172" s="5" t="s">
        <v>7</v>
      </c>
      <c r="G172" s="5" t="s">
        <v>8</v>
      </c>
      <c r="H172" s="2" t="s">
        <v>9</v>
      </c>
      <c r="I172" s="2" t="s">
        <v>10</v>
      </c>
      <c r="J172" s="2" t="s">
        <v>11</v>
      </c>
      <c r="K172" s="2"/>
    </row>
    <row r="173">
      <c r="A173" s="12" t="s">
        <v>34</v>
      </c>
      <c r="B173" s="26" t="s">
        <v>13</v>
      </c>
      <c r="C173" s="10">
        <v>4</v>
      </c>
      <c r="D173" s="24">
        <v>4931.41</v>
      </c>
      <c r="E173" s="8">
        <v>12548</v>
      </c>
      <c r="F173" s="8">
        <v>6</v>
      </c>
      <c r="G173" s="11">
        <f t="shared" ref="G173:G177" si="55">E173/F173</f>
      </c>
      <c r="H173" s="11">
        <f t="shared" ref="H173:H177" si="17">D173/F173</f>
      </c>
      <c r="I173" s="11">
        <f t="shared" ref="I173:I177" si="74">E173/D173</f>
      </c>
      <c r="J173" s="11">
        <f t="shared" ref="J173:J177" si="36">D173/C173</f>
      </c>
      <c r="K173" s="11"/>
    </row>
    <row r="174">
      <c r="A174" s="6" t="s">
        <v>14</v>
      </c>
      <c r="B174" s="26" t="s">
        <v>32</v>
      </c>
      <c r="C174" s="8">
        <v>4</v>
      </c>
      <c r="D174" s="9">
        <v>3142.9699999999993</v>
      </c>
      <c r="E174" s="10">
        <v>567.6000000000004</v>
      </c>
      <c r="F174" s="8">
        <v>1</v>
      </c>
      <c r="G174" s="11">
        <f t="shared" si="55"/>
      </c>
      <c r="H174" s="11">
        <f t="shared" si="17"/>
      </c>
      <c r="I174" s="11">
        <f t="shared" si="74"/>
      </c>
      <c r="J174" s="11">
        <f t="shared" si="36"/>
      </c>
      <c r="K174" s="11"/>
    </row>
    <row r="175">
      <c r="A175" s="12" t="s">
        <v>16</v>
      </c>
      <c r="B175" s="26" t="s">
        <v>33</v>
      </c>
      <c r="C175" s="8">
        <v>4</v>
      </c>
      <c r="D175" s="10">
        <v>2204.2299999999996</v>
      </c>
      <c r="E175" s="10">
        <v>4576.799999999997</v>
      </c>
      <c r="F175" s="8">
        <v>2</v>
      </c>
      <c r="G175" s="11">
        <f t="shared" si="55"/>
      </c>
      <c r="H175" s="11">
        <f t="shared" si="17"/>
      </c>
      <c r="I175" s="11">
        <f t="shared" si="74"/>
      </c>
      <c r="J175" s="11">
        <f t="shared" si="36"/>
      </c>
      <c r="K175" s="11"/>
    </row>
    <row r="176">
      <c r="A176" s="12" t="s">
        <v>12</v>
      </c>
      <c r="B176" s="26" t="s">
        <v>35</v>
      </c>
      <c r="C176" s="8">
        <v>4</v>
      </c>
      <c r="D176" s="11">
        <v>4335.83</v>
      </c>
      <c r="E176" s="13">
        <v>4742.5999999999985</v>
      </c>
      <c r="F176" s="8">
        <v>4</v>
      </c>
      <c r="G176" s="11">
        <f t="shared" si="55"/>
      </c>
      <c r="H176" s="11">
        <f t="shared" si="17"/>
      </c>
      <c r="I176" s="11">
        <f t="shared" si="74"/>
      </c>
      <c r="J176" s="11">
        <f t="shared" si="36"/>
      </c>
      <c r="K176" s="11"/>
    </row>
    <row r="177">
      <c r="A177" s="2" t="s">
        <v>20</v>
      </c>
      <c r="B177" s="3"/>
      <c r="C177" s="14">
        <f>SUM(C173:C176)</f>
      </c>
      <c r="D177" s="3">
        <f>SUM(D173:D176)</f>
      </c>
      <c r="E177" s="3">
        <f>SUM(E173:E176)</f>
      </c>
      <c r="F177" s="2">
        <f>SUM(F173:F176)</f>
      </c>
      <c r="G177" s="4">
        <f t="shared" si="55"/>
      </c>
      <c r="H177" s="4">
        <f t="shared" si="17"/>
      </c>
      <c r="I177" s="4">
        <f t="shared" si="74"/>
      </c>
      <c r="J177" s="4">
        <f t="shared" si="36"/>
      </c>
      <c r="K177" s="4"/>
    </row>
    <row r="178">
      <c r="A178" s="15" t="s">
        <v>21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>
      <c r="A179" s="16" t="s">
        <v>5</v>
      </c>
      <c r="B179" s="16" t="s">
        <v>22</v>
      </c>
      <c r="C179" s="16" t="s">
        <v>23</v>
      </c>
      <c r="D179" s="16" t="s">
        <v>24</v>
      </c>
      <c r="E179" s="16" t="s">
        <v>25</v>
      </c>
      <c r="F179" s="16" t="s">
        <v>26</v>
      </c>
      <c r="G179" s="16" t="s">
        <v>27</v>
      </c>
      <c r="H179" s="17" t="s">
        <v>28</v>
      </c>
      <c r="I179" s="17" t="s">
        <v>29</v>
      </c>
      <c r="J179" s="17" t="s">
        <v>30</v>
      </c>
      <c r="K179" s="17" t="s">
        <v>4</v>
      </c>
    </row>
    <row r="180">
      <c r="A180" s="18">
        <f>SUM(D173:D176)</f>
      </c>
      <c r="B180" s="18">
        <f>SUM(E173:E176)</f>
      </c>
      <c r="C180" s="19">
        <f>B180/((K180*300)+A180)</f>
      </c>
      <c r="D180" s="20">
        <f>A180/J180</f>
      </c>
      <c r="E180" s="19">
        <f>B180/J180</f>
      </c>
      <c r="F180" s="21">
        <f>J180/I180</f>
      </c>
      <c r="G180" s="21">
        <f>H180/J180</f>
      </c>
      <c r="H180" s="22">
        <v>2</v>
      </c>
      <c r="I180" s="22">
        <v>32</v>
      </c>
      <c r="J180" s="23">
        <f>F177</f>
      </c>
      <c r="K180" s="23">
        <f>C177</f>
      </c>
    </row>
    <row r="181">
      <c r="A181" s="1" t="s">
        <v>52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 t="s">
        <v>2</v>
      </c>
      <c r="B182" s="3" t="s">
        <v>3</v>
      </c>
      <c r="C182" s="3" t="s">
        <v>4</v>
      </c>
      <c r="D182" s="4" t="s">
        <v>5</v>
      </c>
      <c r="E182" s="2" t="s">
        <v>6</v>
      </c>
      <c r="F182" s="5" t="s">
        <v>7</v>
      </c>
      <c r="G182" s="5" t="s">
        <v>8</v>
      </c>
      <c r="H182" s="2" t="s">
        <v>9</v>
      </c>
      <c r="I182" s="2" t="s">
        <v>10</v>
      </c>
      <c r="J182" s="2" t="s">
        <v>11</v>
      </c>
      <c r="K182" s="2"/>
    </row>
    <row r="183">
      <c r="A183" s="12" t="s">
        <v>18</v>
      </c>
      <c r="B183" s="26" t="s">
        <v>13</v>
      </c>
      <c r="C183" s="10">
        <v>4</v>
      </c>
      <c r="D183" s="24">
        <v>4674.81</v>
      </c>
      <c r="E183" s="8">
        <v>6344.4</v>
      </c>
      <c r="F183" s="8">
        <v>5</v>
      </c>
      <c r="G183" s="11">
        <f t="shared" ref="G183:G187" si="56">E183/F183</f>
      </c>
      <c r="H183" s="11">
        <f t="shared" ref="H183:H187" si="18">D183/F183</f>
      </c>
      <c r="I183" s="11">
        <f t="shared" ref="I183:I187" si="75">E183/D183</f>
      </c>
      <c r="J183" s="11">
        <f t="shared" ref="J183:J187" si="37">D183/C183</f>
      </c>
      <c r="K183" s="11"/>
    </row>
    <row r="184">
      <c r="A184" s="12" t="s">
        <v>34</v>
      </c>
      <c r="B184" s="26" t="s">
        <v>32</v>
      </c>
      <c r="C184" s="8"/>
      <c r="D184" s="9"/>
      <c r="E184" s="10"/>
      <c r="F184" s="8"/>
      <c r="G184" s="11">
        <f t="shared" si="56"/>
      </c>
      <c r="H184" s="11">
        <f t="shared" si="18"/>
      </c>
      <c r="I184" s="11">
        <f t="shared" si="75"/>
      </c>
      <c r="J184" s="11">
        <f t="shared" si="37"/>
      </c>
      <c r="K184" s="11"/>
    </row>
    <row r="185">
      <c r="A185" s="12" t="s">
        <v>16</v>
      </c>
      <c r="B185" s="26" t="s">
        <v>33</v>
      </c>
      <c r="C185" s="8"/>
      <c r="D185" s="10"/>
      <c r="E185" s="10"/>
      <c r="F185" s="8"/>
      <c r="G185" s="11">
        <f t="shared" si="56"/>
      </c>
      <c r="H185" s="11">
        <f t="shared" si="18"/>
      </c>
      <c r="I185" s="11">
        <f t="shared" si="75"/>
      </c>
      <c r="J185" s="11">
        <f t="shared" si="37"/>
      </c>
      <c r="K185" s="11"/>
    </row>
    <row r="186">
      <c r="A186" s="6" t="s">
        <v>14</v>
      </c>
      <c r="B186" s="26" t="s">
        <v>35</v>
      </c>
      <c r="C186" s="8"/>
      <c r="D186" s="11"/>
      <c r="E186" s="13"/>
      <c r="F186" s="8"/>
      <c r="G186" s="11">
        <f t="shared" si="56"/>
      </c>
      <c r="H186" s="11">
        <f t="shared" si="18"/>
      </c>
      <c r="I186" s="11">
        <f t="shared" si="75"/>
      </c>
      <c r="J186" s="11">
        <f t="shared" si="37"/>
      </c>
      <c r="K186" s="11"/>
    </row>
    <row r="187">
      <c r="A187" s="2" t="s">
        <v>20</v>
      </c>
      <c r="B187" s="3"/>
      <c r="C187" s="14">
        <f>SUM(C183:C186)</f>
      </c>
      <c r="D187" s="3">
        <f>SUM(D183:D186)</f>
      </c>
      <c r="E187" s="3">
        <f>SUM(E183:E186)</f>
      </c>
      <c r="F187" s="2">
        <f>SUM(F183:F186)</f>
      </c>
      <c r="G187" s="4">
        <f t="shared" si="56"/>
      </c>
      <c r="H187" s="4">
        <f t="shared" si="18"/>
      </c>
      <c r="I187" s="4">
        <f t="shared" si="75"/>
      </c>
      <c r="J187" s="4">
        <f t="shared" si="37"/>
      </c>
      <c r="K187" s="4"/>
    </row>
    <row r="188">
      <c r="A188" s="15" t="s">
        <v>21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>
      <c r="A189" s="16" t="s">
        <v>5</v>
      </c>
      <c r="B189" s="16" t="s">
        <v>22</v>
      </c>
      <c r="C189" s="16" t="s">
        <v>23</v>
      </c>
      <c r="D189" s="16" t="s">
        <v>24</v>
      </c>
      <c r="E189" s="16" t="s">
        <v>25</v>
      </c>
      <c r="F189" s="16" t="s">
        <v>26</v>
      </c>
      <c r="G189" s="16" t="s">
        <v>27</v>
      </c>
      <c r="H189" s="17" t="s">
        <v>28</v>
      </c>
      <c r="I189" s="17" t="s">
        <v>29</v>
      </c>
      <c r="J189" s="17" t="s">
        <v>30</v>
      </c>
      <c r="K189" s="17" t="s">
        <v>4</v>
      </c>
    </row>
    <row r="190">
      <c r="A190" s="18">
        <f>SUM(D183:D186)</f>
      </c>
      <c r="B190" s="18">
        <f>SUM(E183:E186)</f>
      </c>
      <c r="C190" s="19">
        <f>B190/((K190*300)+A190)</f>
      </c>
      <c r="D190" s="20">
        <f>A190/J190</f>
      </c>
      <c r="E190" s="19">
        <f>B190/J190</f>
      </c>
      <c r="F190" s="21">
        <f>J190/I190</f>
      </c>
      <c r="G190" s="21">
        <f>H190/J190</f>
      </c>
      <c r="H190" s="22">
        <v>1</v>
      </c>
      <c r="I190" s="27">
        <v>8</v>
      </c>
      <c r="J190" s="23">
        <f>F187</f>
      </c>
      <c r="K190" s="23">
        <f>C187</f>
      </c>
    </row>
    <row r="191">
      <c r="A191">
        <f>A192-A190</f>
      </c>
      <c r="B191">
        <f>B192-B190</f>
      </c>
    </row>
    <row r="192"/>
    <row r="193">
      <c r="O193" s="28"/>
    </row>
    <row r="194">
      <c r="O194" s="28"/>
    </row>
    <row r="195">
      <c r="O195" s="28"/>
    </row>
    <row r="196">
      <c r="O196" s="28"/>
    </row>
    <row r="197">
      <c r="O197" s="28"/>
    </row>
    <row r="198">
      <c r="O198" s="28"/>
    </row>
  </sheetData>
  <mergeCells>
    <mergeCell ref="A1:K1"/>
    <mergeCell ref="J2:K2"/>
    <mergeCell ref="J3:K3"/>
    <mergeCell ref="J4:K4"/>
    <mergeCell ref="J5:K5"/>
    <mergeCell ref="J6:K6"/>
    <mergeCell ref="J7:K7"/>
    <mergeCell ref="A8:K8"/>
    <mergeCell ref="A11:K11"/>
    <mergeCell ref="J12:K12"/>
    <mergeCell ref="J13:K13"/>
    <mergeCell ref="J14:K14"/>
    <mergeCell ref="J15:K15"/>
    <mergeCell ref="J16:K16"/>
    <mergeCell ref="J17:K17"/>
    <mergeCell ref="A18:K18"/>
    <mergeCell ref="A21:K21"/>
    <mergeCell ref="J22:K22"/>
    <mergeCell ref="J23:K23"/>
    <mergeCell ref="J24:K24"/>
    <mergeCell ref="J25:K25"/>
    <mergeCell ref="J26:K26"/>
    <mergeCell ref="J27:K27"/>
    <mergeCell ref="A28:K28"/>
    <mergeCell ref="A31:K31"/>
    <mergeCell ref="J32:K32"/>
    <mergeCell ref="J33:K33"/>
    <mergeCell ref="J34:K34"/>
    <mergeCell ref="J35:K35"/>
    <mergeCell ref="J36:K36"/>
    <mergeCell ref="J37:K37"/>
    <mergeCell ref="A38:K38"/>
    <mergeCell ref="A41:K41"/>
    <mergeCell ref="J42:K42"/>
    <mergeCell ref="J43:K43"/>
    <mergeCell ref="J44:K44"/>
    <mergeCell ref="J45:K45"/>
    <mergeCell ref="J46:K46"/>
    <mergeCell ref="J47:K47"/>
    <mergeCell ref="A48:K48"/>
    <mergeCell ref="A51:K51"/>
    <mergeCell ref="J52:K52"/>
    <mergeCell ref="J53:K53"/>
    <mergeCell ref="J54:K54"/>
    <mergeCell ref="J55:K55"/>
    <mergeCell ref="J56:K56"/>
    <mergeCell ref="J57:K57"/>
    <mergeCell ref="A58:K58"/>
    <mergeCell ref="A61:K61"/>
    <mergeCell ref="J62:K62"/>
    <mergeCell ref="J63:K63"/>
    <mergeCell ref="J64:K64"/>
    <mergeCell ref="J65:K65"/>
    <mergeCell ref="J66:K66"/>
    <mergeCell ref="J67:K67"/>
    <mergeCell ref="A68:K68"/>
    <mergeCell ref="A71:K71"/>
    <mergeCell ref="J72:K72"/>
    <mergeCell ref="J73:K73"/>
    <mergeCell ref="J74:K74"/>
    <mergeCell ref="J75:K75"/>
    <mergeCell ref="J76:K76"/>
    <mergeCell ref="J77:K77"/>
    <mergeCell ref="A78:K78"/>
    <mergeCell ref="A81:K81"/>
    <mergeCell ref="J82:K82"/>
    <mergeCell ref="J83:K83"/>
    <mergeCell ref="J84:K84"/>
    <mergeCell ref="J85:K85"/>
    <mergeCell ref="J86:K86"/>
    <mergeCell ref="J87:K87"/>
    <mergeCell ref="A88:K88"/>
    <mergeCell ref="A91:K91"/>
    <mergeCell ref="J92:K92"/>
    <mergeCell ref="J93:K93"/>
    <mergeCell ref="J94:K94"/>
    <mergeCell ref="J95:K95"/>
    <mergeCell ref="J96:K96"/>
    <mergeCell ref="J97:K97"/>
    <mergeCell ref="A98:K98"/>
    <mergeCell ref="A101:K101"/>
    <mergeCell ref="J102:K102"/>
    <mergeCell ref="J103:K103"/>
    <mergeCell ref="J104:K104"/>
    <mergeCell ref="J105:K105"/>
    <mergeCell ref="J106:K106"/>
    <mergeCell ref="J107:K107"/>
    <mergeCell ref="A108:K108"/>
    <mergeCell ref="A111:K111"/>
    <mergeCell ref="J112:K112"/>
    <mergeCell ref="J113:K113"/>
    <mergeCell ref="J114:K114"/>
    <mergeCell ref="J115:K115"/>
    <mergeCell ref="J116:K116"/>
    <mergeCell ref="J117:K117"/>
    <mergeCell ref="A118:K118"/>
    <mergeCell ref="A121:K121"/>
    <mergeCell ref="J122:K122"/>
    <mergeCell ref="J123:K123"/>
    <mergeCell ref="J124:K124"/>
    <mergeCell ref="J125:K125"/>
    <mergeCell ref="J126:K126"/>
    <mergeCell ref="J127:K127"/>
    <mergeCell ref="A128:K128"/>
    <mergeCell ref="A131:K131"/>
    <mergeCell ref="J132:K132"/>
    <mergeCell ref="J133:K133"/>
    <mergeCell ref="J134:K134"/>
    <mergeCell ref="J135:K135"/>
    <mergeCell ref="J136:K136"/>
    <mergeCell ref="J137:K137"/>
    <mergeCell ref="A138:K138"/>
    <mergeCell ref="A141:K141"/>
    <mergeCell ref="J142:K142"/>
    <mergeCell ref="J143:K143"/>
    <mergeCell ref="J144:K144"/>
    <mergeCell ref="J145:K145"/>
    <mergeCell ref="J146:K146"/>
    <mergeCell ref="J147:K147"/>
    <mergeCell ref="A148:K148"/>
    <mergeCell ref="A151:K151"/>
    <mergeCell ref="J152:K152"/>
    <mergeCell ref="J153:K153"/>
    <mergeCell ref="J154:K154"/>
    <mergeCell ref="J155:K155"/>
    <mergeCell ref="J156:K156"/>
    <mergeCell ref="J157:K157"/>
    <mergeCell ref="A158:K158"/>
    <mergeCell ref="A161:K161"/>
    <mergeCell ref="J162:K162"/>
    <mergeCell ref="J163:K163"/>
    <mergeCell ref="J164:K164"/>
    <mergeCell ref="J165:K165"/>
    <mergeCell ref="J166:K166"/>
    <mergeCell ref="J167:K167"/>
    <mergeCell ref="A168:K168"/>
    <mergeCell ref="A171:K171"/>
    <mergeCell ref="J172:K172"/>
    <mergeCell ref="J173:K173"/>
    <mergeCell ref="J174:K174"/>
    <mergeCell ref="J175:K175"/>
    <mergeCell ref="J176:K176"/>
    <mergeCell ref="J177:K177"/>
    <mergeCell ref="A178:K178"/>
    <mergeCell ref="A181:K181"/>
    <mergeCell ref="J182:K182"/>
    <mergeCell ref="J183:K183"/>
    <mergeCell ref="J184:K184"/>
    <mergeCell ref="J185:K185"/>
    <mergeCell ref="J186:K186"/>
    <mergeCell ref="J187:K187"/>
    <mergeCell ref="A188:K18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</cols>
  <sheetData>
    <row customHeight="true" ht="20.238095238095237" r="1">
      <c r="A1" s="29" t="s">
        <v>53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customHeight="true" ht="20.238095238095237" r="2">
      <c r="A2" s="30" t="s">
        <v>54</v>
      </c>
      <c r="B2" s="30" t="s">
        <v>55</v>
      </c>
      <c r="C2" s="30" t="s">
        <v>56</v>
      </c>
      <c r="D2" s="30" t="s">
        <v>57</v>
      </c>
      <c r="E2" s="31" t="s">
        <v>58</v>
      </c>
      <c r="F2" s="30" t="s">
        <v>59</v>
      </c>
      <c r="G2" s="30" t="s">
        <v>60</v>
      </c>
      <c r="H2" s="30" t="s">
        <v>61</v>
      </c>
      <c r="I2" s="30" t="s">
        <v>62</v>
      </c>
      <c r="J2" s="30" t="s">
        <v>63</v>
      </c>
      <c r="K2" s="30"/>
    </row>
    <row customHeight="true" ht="20.238095238095237" r="3">
      <c r="A3" s="32" t="s">
        <v>64</v>
      </c>
      <c r="B3" s="33" t="s">
        <v>65</v>
      </c>
      <c r="C3" s="34">
        <v>4</v>
      </c>
      <c r="D3" s="34">
        <v>6644.619999999999</v>
      </c>
      <c r="E3" s="34">
        <v>15013.400000000001</v>
      </c>
      <c r="F3" s="34">
        <v>9</v>
      </c>
      <c r="G3" s="35">
        <f t="shared" ref="G3:G6" si="60">E3/F3</f>
      </c>
      <c r="H3" s="35">
        <f t="shared" ref="H3:H6" si="90">D3/F3</f>
      </c>
      <c r="I3" s="35">
        <f t="shared" ref="I3:I6" si="0">E3/D3</f>
      </c>
      <c r="J3" s="35">
        <f t="shared" ref="J3:J6" si="30">D3/C3</f>
      </c>
      <c r="K3" s="35"/>
    </row>
    <row customHeight="true" ht="20.238095238095237" r="4">
      <c r="A4" s="36" t="s">
        <v>66</v>
      </c>
      <c r="B4" s="33" t="s">
        <v>67</v>
      </c>
      <c r="C4" s="34">
        <v>4</v>
      </c>
      <c r="D4" s="37">
        <v>7861.8</v>
      </c>
      <c r="E4" s="34">
        <v>0</v>
      </c>
      <c r="F4" s="34">
        <v>0</v>
      </c>
      <c r="G4" s="35">
        <f t="shared" si="60"/>
      </c>
      <c r="H4" s="35">
        <f t="shared" si="90"/>
      </c>
      <c r="I4" s="35">
        <f t="shared" si="0"/>
      </c>
      <c r="J4" s="35">
        <f t="shared" si="30"/>
      </c>
      <c r="K4" s="35"/>
    </row>
    <row customHeight="true" ht="20.238095238095237" r="5">
      <c r="A5" s="36" t="s">
        <v>68</v>
      </c>
      <c r="B5" s="33" t="s">
        <v>69</v>
      </c>
      <c r="C5" s="34">
        <v>4</v>
      </c>
      <c r="D5" s="37">
        <v>8979.900000000001</v>
      </c>
      <c r="E5" s="34">
        <v>8849.4</v>
      </c>
      <c r="F5" s="34">
        <v>8</v>
      </c>
      <c r="G5" s="35">
        <f t="shared" si="60"/>
      </c>
      <c r="H5" s="35">
        <f t="shared" si="90"/>
      </c>
      <c r="I5" s="35">
        <f t="shared" si="0"/>
      </c>
      <c r="J5" s="35">
        <f t="shared" si="30"/>
      </c>
      <c r="K5" s="35"/>
    </row>
    <row customHeight="true" ht="20.238095238095237" r="6">
      <c r="A6" s="30" t="s">
        <v>70</v>
      </c>
      <c r="B6" s="30"/>
      <c r="C6" s="30">
        <f>SUM(C3:C5)</f>
      </c>
      <c r="D6" s="30">
        <f>SUM(D3:D5)</f>
      </c>
      <c r="E6" s="30">
        <f>SUM(E3:E5)</f>
      </c>
      <c r="F6" s="30">
        <f>SUM(F3:F5)</f>
      </c>
      <c r="G6" s="38">
        <f t="shared" si="60"/>
      </c>
      <c r="H6" s="38">
        <f t="shared" si="90"/>
      </c>
      <c r="I6" s="38">
        <f t="shared" si="0"/>
      </c>
      <c r="J6" s="38">
        <f t="shared" si="30"/>
      </c>
      <c r="K6" s="38"/>
    </row>
    <row customHeight="true" ht="20.238095238095237" r="7">
      <c r="A7" s="39" t="s">
        <v>71</v>
      </c>
      <c r="B7" s="39"/>
      <c r="C7" s="39"/>
      <c r="D7" s="39"/>
      <c r="E7" s="39"/>
      <c r="F7" s="39"/>
      <c r="G7" s="39"/>
      <c r="H7" s="39"/>
      <c r="I7" s="39"/>
      <c r="J7" s="39"/>
      <c r="K7" s="39"/>
    </row>
    <row customHeight="true" ht="20.238095238095237" r="8">
      <c r="A8" s="40" t="s">
        <v>57</v>
      </c>
      <c r="B8" s="40" t="s">
        <v>72</v>
      </c>
      <c r="C8" s="40" t="s">
        <v>73</v>
      </c>
      <c r="D8" s="40" t="s">
        <v>74</v>
      </c>
      <c r="E8" s="40" t="s">
        <v>75</v>
      </c>
      <c r="F8" s="40" t="s">
        <v>76</v>
      </c>
      <c r="G8" s="40" t="s">
        <v>77</v>
      </c>
      <c r="H8" s="41" t="s">
        <v>78</v>
      </c>
      <c r="I8" s="41" t="s">
        <v>79</v>
      </c>
      <c r="J8" s="41" t="s">
        <v>80</v>
      </c>
      <c r="K8" s="41" t="s">
        <v>56</v>
      </c>
    </row>
    <row customHeight="true" ht="20.238095238095237" r="9">
      <c r="A9" s="42">
        <f>SUM(D3:D5)</f>
      </c>
      <c r="B9" s="43">
        <f>SUM(E3:E5)</f>
      </c>
      <c r="C9" s="43">
        <f>B9/((K9*300)+A9)</f>
      </c>
      <c r="D9" s="44">
        <f>A9/J9</f>
      </c>
      <c r="E9" s="43">
        <f>B9/J9</f>
      </c>
      <c r="F9" s="45">
        <f>J9/I9</f>
      </c>
      <c r="G9" s="45">
        <f>H9/J9</f>
      </c>
      <c r="H9" s="46">
        <v>1</v>
      </c>
      <c r="I9" s="46">
        <v>29</v>
      </c>
      <c r="J9" s="46">
        <f>F6</f>
      </c>
      <c r="K9" s="46">
        <f>C6</f>
      </c>
    </row>
    <row customHeight="true" ht="20.238095238095237" r="10">
      <c r="A10" s="29" t="s">
        <v>81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customHeight="true" ht="20.238095238095237" r="11">
      <c r="A11" s="30" t="s">
        <v>54</v>
      </c>
      <c r="B11" s="30" t="s">
        <v>55</v>
      </c>
      <c r="C11" s="30" t="s">
        <v>56</v>
      </c>
      <c r="D11" s="30" t="s">
        <v>57</v>
      </c>
      <c r="E11" s="31" t="s">
        <v>58</v>
      </c>
      <c r="F11" s="30" t="s">
        <v>59</v>
      </c>
      <c r="G11" s="30" t="s">
        <v>60</v>
      </c>
      <c r="H11" s="30" t="s">
        <v>61</v>
      </c>
      <c r="I11" s="30" t="s">
        <v>62</v>
      </c>
      <c r="J11" s="30" t="s">
        <v>63</v>
      </c>
      <c r="K11" s="30"/>
    </row>
    <row customHeight="true" ht="20.238095238095237" r="12">
      <c r="A12" s="32" t="s">
        <v>64</v>
      </c>
      <c r="B12" s="33" t="s">
        <v>65</v>
      </c>
      <c r="C12" s="34">
        <v>4</v>
      </c>
      <c r="D12" s="37">
        <v>7644.53</v>
      </c>
      <c r="E12" s="34">
        <v>14235.800000000001</v>
      </c>
      <c r="F12" s="34">
        <v>8</v>
      </c>
      <c r="G12" s="35">
        <f t="shared" ref="G12:G15" si="61">E12/F12</f>
      </c>
      <c r="H12" s="35">
        <f t="shared" ref="H12:H15" si="91">D12/F12</f>
      </c>
      <c r="I12" s="35">
        <f t="shared" ref="I12:I15" si="1">E12/D12</f>
      </c>
      <c r="J12" s="35">
        <f t="shared" ref="J12:J15" si="31">D12/C12</f>
      </c>
      <c r="K12" s="35"/>
    </row>
    <row customHeight="true" ht="20.238095238095237" r="13">
      <c r="A13" s="36" t="s">
        <v>68</v>
      </c>
      <c r="B13" s="33" t="s">
        <v>67</v>
      </c>
      <c r="C13" s="34">
        <v>4</v>
      </c>
      <c r="D13" s="37">
        <v>10774</v>
      </c>
      <c r="E13" s="34">
        <v>17460</v>
      </c>
      <c r="F13" s="34">
        <v>10</v>
      </c>
      <c r="G13" s="35">
        <f t="shared" si="61"/>
      </c>
      <c r="H13" s="35">
        <f t="shared" si="91"/>
      </c>
      <c r="I13" s="35">
        <f t="shared" si="1"/>
      </c>
      <c r="J13" s="35">
        <f t="shared" si="31"/>
      </c>
      <c r="K13" s="35"/>
    </row>
    <row customHeight="true" ht="20.238095238095237" r="14">
      <c r="A14" s="36" t="s">
        <v>66</v>
      </c>
      <c r="B14" s="33" t="s">
        <v>69</v>
      </c>
      <c r="C14" s="34">
        <v>4</v>
      </c>
      <c r="D14" s="34">
        <v>9252.330000000002</v>
      </c>
      <c r="E14" s="34">
        <v>4887.799999999999</v>
      </c>
      <c r="F14" s="34">
        <v>4</v>
      </c>
      <c r="G14" s="35">
        <f t="shared" si="61"/>
      </c>
      <c r="H14" s="35">
        <f t="shared" si="91"/>
      </c>
      <c r="I14" s="35">
        <f t="shared" si="1"/>
      </c>
      <c r="J14" s="35">
        <f t="shared" si="31"/>
      </c>
      <c r="K14" s="35"/>
    </row>
    <row customHeight="true" ht="20.238095238095237" r="15">
      <c r="A15" s="30" t="s">
        <v>70</v>
      </c>
      <c r="B15" s="30"/>
      <c r="C15" s="30">
        <f>SUM(C12:C14)</f>
      </c>
      <c r="D15" s="30">
        <f>SUM(D12:D14)</f>
      </c>
      <c r="E15" s="30">
        <f>SUM(E12:E14)</f>
      </c>
      <c r="F15" s="30">
        <f>SUM(F12:F14)</f>
      </c>
      <c r="G15" s="38">
        <f t="shared" si="61"/>
      </c>
      <c r="H15" s="38">
        <f t="shared" si="91"/>
      </c>
      <c r="I15" s="38">
        <f t="shared" si="1"/>
      </c>
      <c r="J15" s="38">
        <f t="shared" si="31"/>
      </c>
      <c r="K15" s="38"/>
    </row>
    <row customHeight="true" ht="20.238095238095237" r="16">
      <c r="A16" s="39" t="s">
        <v>71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</row>
    <row customHeight="true" ht="20.238095238095237" r="17">
      <c r="A17" s="40" t="s">
        <v>57</v>
      </c>
      <c r="B17" s="40" t="s">
        <v>72</v>
      </c>
      <c r="C17" s="40" t="s">
        <v>73</v>
      </c>
      <c r="D17" s="40" t="s">
        <v>74</v>
      </c>
      <c r="E17" s="40" t="s">
        <v>75</v>
      </c>
      <c r="F17" s="40" t="s">
        <v>76</v>
      </c>
      <c r="G17" s="40" t="s">
        <v>77</v>
      </c>
      <c r="H17" s="41" t="s">
        <v>78</v>
      </c>
      <c r="I17" s="41" t="s">
        <v>79</v>
      </c>
      <c r="J17" s="41" t="s">
        <v>80</v>
      </c>
      <c r="K17" s="41" t="s">
        <v>56</v>
      </c>
    </row>
    <row customHeight="true" ht="20.238095238095237" r="18">
      <c r="A18" s="42">
        <f>SUM(D12:D14)</f>
      </c>
      <c r="B18" s="43">
        <f>SUM(E12:E14)</f>
      </c>
      <c r="C18" s="43">
        <f>B18/((K18*300)+A18)</f>
      </c>
      <c r="D18" s="44">
        <f>A18/J18</f>
      </c>
      <c r="E18" s="43">
        <f>B18/J18</f>
      </c>
      <c r="F18" s="45">
        <f>J18/I18</f>
      </c>
      <c r="G18" s="45">
        <f>H18/J18</f>
      </c>
      <c r="H18" s="46">
        <v>1</v>
      </c>
      <c r="I18" s="46">
        <v>43</v>
      </c>
      <c r="J18" s="46">
        <f>F15</f>
      </c>
      <c r="K18" s="46">
        <f>C15</f>
      </c>
    </row>
    <row customHeight="true" ht="20.238095238095237" r="19">
      <c r="A19" s="29" t="s">
        <v>82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customHeight="true" ht="20.238095238095237" r="20">
      <c r="A20" s="30" t="s">
        <v>54</v>
      </c>
      <c r="B20" s="30" t="s">
        <v>55</v>
      </c>
      <c r="C20" s="30" t="s">
        <v>56</v>
      </c>
      <c r="D20" s="30" t="s">
        <v>57</v>
      </c>
      <c r="E20" s="31" t="s">
        <v>58</v>
      </c>
      <c r="F20" s="30" t="s">
        <v>59</v>
      </c>
      <c r="G20" s="30" t="s">
        <v>60</v>
      </c>
      <c r="H20" s="30" t="s">
        <v>61</v>
      </c>
      <c r="I20" s="30" t="s">
        <v>62</v>
      </c>
      <c r="J20" s="30" t="s">
        <v>63</v>
      </c>
      <c r="K20" s="30"/>
    </row>
    <row customHeight="true" ht="20.238095238095237" r="21">
      <c r="A21" s="36" t="s">
        <v>68</v>
      </c>
      <c r="B21" s="33" t="s">
        <v>65</v>
      </c>
      <c r="C21" s="34">
        <v>4</v>
      </c>
      <c r="D21" s="37">
        <v>5362</v>
      </c>
      <c r="E21" s="34">
        <v>1186.8000000000002</v>
      </c>
      <c r="F21" s="34">
        <v>1</v>
      </c>
      <c r="G21" s="35">
        <f t="shared" ref="G21:G24" si="62">E21/F21</f>
      </c>
      <c r="H21" s="35">
        <f t="shared" ref="H21:H24" si="92">D21/F21</f>
      </c>
      <c r="I21" s="35">
        <f t="shared" ref="I21:I24" si="2">E21/D21</f>
      </c>
      <c r="J21" s="35">
        <f t="shared" ref="J21:J24" si="32">D21/C21</f>
      </c>
      <c r="K21" s="35"/>
    </row>
    <row customHeight="true" ht="20.238095238095237" r="22">
      <c r="A22" s="32" t="s">
        <v>64</v>
      </c>
      <c r="B22" s="33" t="s">
        <v>67</v>
      </c>
      <c r="C22" s="34">
        <v>4</v>
      </c>
      <c r="D22" s="37">
        <v>6574.969999999999</v>
      </c>
      <c r="E22" s="34">
        <v>3949.2000000000003</v>
      </c>
      <c r="F22" s="34">
        <v>4</v>
      </c>
      <c r="G22" s="35">
        <f t="shared" si="62"/>
      </c>
      <c r="H22" s="35">
        <f t="shared" si="92"/>
      </c>
      <c r="I22" s="35">
        <f t="shared" si="2"/>
      </c>
      <c r="J22" s="35">
        <f t="shared" si="32"/>
      </c>
      <c r="K22" s="35"/>
    </row>
    <row customHeight="true" ht="20.238095238095237" r="23">
      <c r="A23" s="36" t="s">
        <v>66</v>
      </c>
      <c r="B23" s="33" t="s">
        <v>69</v>
      </c>
      <c r="C23" s="34">
        <v>4</v>
      </c>
      <c r="D23" s="34">
        <v>7513.0599999999995</v>
      </c>
      <c r="E23" s="34">
        <v>14623</v>
      </c>
      <c r="F23" s="34">
        <v>10</v>
      </c>
      <c r="G23" s="35">
        <f t="shared" si="62"/>
      </c>
      <c r="H23" s="35">
        <f t="shared" si="92"/>
      </c>
      <c r="I23" s="35">
        <f t="shared" si="2"/>
      </c>
      <c r="J23" s="35">
        <f t="shared" si="32"/>
      </c>
      <c r="K23" s="35"/>
    </row>
    <row customHeight="true" ht="20.238095238095237" r="24">
      <c r="A24" s="30" t="s">
        <v>70</v>
      </c>
      <c r="B24" s="30"/>
      <c r="C24" s="30">
        <f>SUM(C21:C23)</f>
      </c>
      <c r="D24" s="30">
        <f>SUM(D21:D23)</f>
      </c>
      <c r="E24" s="30">
        <f>SUM(E21:E23)</f>
      </c>
      <c r="F24" s="30">
        <f>SUM(F21:F23)</f>
      </c>
      <c r="G24" s="38">
        <f t="shared" si="62"/>
      </c>
      <c r="H24" s="38">
        <f t="shared" si="92"/>
      </c>
      <c r="I24" s="38">
        <f t="shared" si="2"/>
      </c>
      <c r="J24" s="38">
        <f t="shared" si="32"/>
      </c>
      <c r="K24" s="38"/>
    </row>
    <row customHeight="true" ht="20.238095238095237" r="25">
      <c r="A25" s="39" t="s">
        <v>71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customHeight="true" ht="20.238095238095237" r="26">
      <c r="A26" s="40" t="s">
        <v>57</v>
      </c>
      <c r="B26" s="40" t="s">
        <v>72</v>
      </c>
      <c r="C26" s="40" t="s">
        <v>73</v>
      </c>
      <c r="D26" s="40" t="s">
        <v>74</v>
      </c>
      <c r="E26" s="40" t="s">
        <v>75</v>
      </c>
      <c r="F26" s="40" t="s">
        <v>76</v>
      </c>
      <c r="G26" s="40" t="s">
        <v>77</v>
      </c>
      <c r="H26" s="41" t="s">
        <v>78</v>
      </c>
      <c r="I26" s="41" t="s">
        <v>79</v>
      </c>
      <c r="J26" s="41" t="s">
        <v>80</v>
      </c>
      <c r="K26" s="41" t="s">
        <v>56</v>
      </c>
    </row>
    <row customHeight="true" ht="20.238095238095237" r="27">
      <c r="A27" s="42">
        <f>SUM(D21:D23)</f>
      </c>
      <c r="B27" s="43">
        <f>SUM(E21:E23)</f>
      </c>
      <c r="C27" s="43">
        <f>B27/((K27*300)+A27)</f>
      </c>
      <c r="D27" s="44">
        <f>A27/J27</f>
      </c>
      <c r="E27" s="43">
        <f>B27/J27</f>
      </c>
      <c r="F27" s="45">
        <f>J27/I27</f>
      </c>
      <c r="G27" s="45">
        <f>H27/J27</f>
      </c>
      <c r="H27" s="46">
        <v>2</v>
      </c>
      <c r="I27" s="46">
        <v>24</v>
      </c>
      <c r="J27" s="46">
        <f>F24</f>
      </c>
      <c r="K27" s="46">
        <f>C24</f>
      </c>
    </row>
    <row customHeight="true" ht="20.238095238095237" r="28">
      <c r="A28" s="29" t="s">
        <v>83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customHeight="true" ht="20.238095238095237" r="29">
      <c r="A29" s="30" t="s">
        <v>54</v>
      </c>
      <c r="B29" s="30" t="s">
        <v>55</v>
      </c>
      <c r="C29" s="30" t="s">
        <v>56</v>
      </c>
      <c r="D29" s="30" t="s">
        <v>57</v>
      </c>
      <c r="E29" s="31" t="s">
        <v>58</v>
      </c>
      <c r="F29" s="30" t="s">
        <v>59</v>
      </c>
      <c r="G29" s="30" t="s">
        <v>60</v>
      </c>
      <c r="H29" s="30" t="s">
        <v>61</v>
      </c>
      <c r="I29" s="30" t="s">
        <v>62</v>
      </c>
      <c r="J29" s="30" t="s">
        <v>63</v>
      </c>
      <c r="K29" s="30"/>
    </row>
    <row customHeight="true" ht="20.238095238095237" r="30">
      <c r="A30" s="36" t="s">
        <v>68</v>
      </c>
      <c r="B30" s="33" t="s">
        <v>65</v>
      </c>
      <c r="C30" s="34">
        <v>4</v>
      </c>
      <c r="D30" s="37">
        <v>7457.84</v>
      </c>
      <c r="E30" s="34">
        <v>10221.6</v>
      </c>
      <c r="F30" s="34">
        <v>4</v>
      </c>
      <c r="G30" s="35">
        <f t="shared" ref="G30:G33" si="63">E30/F30</f>
      </c>
      <c r="H30" s="35">
        <f t="shared" ref="H30:H33" si="93">D30/F30</f>
      </c>
      <c r="I30" s="35">
        <f t="shared" ref="I30:I33" si="3">E30/D30</f>
      </c>
      <c r="J30" s="35">
        <f t="shared" ref="J30:J33" si="33">D30/C30</f>
      </c>
      <c r="K30" s="35"/>
    </row>
    <row customHeight="true" ht="20.238095238095237" r="31">
      <c r="A31" s="32" t="s">
        <v>64</v>
      </c>
      <c r="B31" s="33" t="s">
        <v>67</v>
      </c>
      <c r="C31" s="34">
        <v>4</v>
      </c>
      <c r="D31" s="37">
        <v>5719.33</v>
      </c>
      <c r="E31" s="34">
        <v>11205.199999999999</v>
      </c>
      <c r="F31" s="34">
        <v>4</v>
      </c>
      <c r="G31" s="35">
        <f t="shared" si="63"/>
      </c>
      <c r="H31" s="35">
        <f t="shared" si="93"/>
      </c>
      <c r="I31" s="35">
        <f t="shared" si="3"/>
      </c>
      <c r="J31" s="35">
        <f t="shared" si="33"/>
      </c>
      <c r="K31" s="35"/>
    </row>
    <row customHeight="true" ht="20.238095238095237" r="32">
      <c r="A32" s="36" t="s">
        <v>66</v>
      </c>
      <c r="B32" s="33" t="s">
        <v>69</v>
      </c>
      <c r="C32" s="34">
        <v>4</v>
      </c>
      <c r="D32" s="34">
        <v>3975.789999999999</v>
      </c>
      <c r="E32" s="34">
        <v>2415.6000000000004</v>
      </c>
      <c r="F32" s="34">
        <v>2</v>
      </c>
      <c r="G32" s="35">
        <f t="shared" si="63"/>
      </c>
      <c r="H32" s="35">
        <f t="shared" si="93"/>
      </c>
      <c r="I32" s="35">
        <f t="shared" si="3"/>
      </c>
      <c r="J32" s="35">
        <f t="shared" si="33"/>
      </c>
      <c r="K32" s="35"/>
    </row>
    <row customHeight="true" ht="20.238095238095237" r="33">
      <c r="A33" s="30" t="s">
        <v>70</v>
      </c>
      <c r="B33" s="30"/>
      <c r="C33" s="30">
        <f>SUM(C30:C32)</f>
      </c>
      <c r="D33" s="30">
        <f>SUM(D30:D32)</f>
      </c>
      <c r="E33" s="30">
        <f>SUM(E30:E32)</f>
      </c>
      <c r="F33" s="30">
        <f>SUM(F30:F32)</f>
      </c>
      <c r="G33" s="38">
        <f t="shared" si="63"/>
      </c>
      <c r="H33" s="38">
        <f t="shared" si="93"/>
      </c>
      <c r="I33" s="38">
        <f t="shared" si="3"/>
      </c>
      <c r="J33" s="38">
        <f t="shared" si="33"/>
      </c>
      <c r="K33" s="38"/>
    </row>
    <row customHeight="true" ht="20.238095238095237" r="34">
      <c r="A34" s="39" t="s">
        <v>71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customHeight="true" ht="20.238095238095237" r="35">
      <c r="A35" s="40" t="s">
        <v>57</v>
      </c>
      <c r="B35" s="40" t="s">
        <v>72</v>
      </c>
      <c r="C35" s="40" t="s">
        <v>73</v>
      </c>
      <c r="D35" s="40" t="s">
        <v>74</v>
      </c>
      <c r="E35" s="40" t="s">
        <v>75</v>
      </c>
      <c r="F35" s="40" t="s">
        <v>76</v>
      </c>
      <c r="G35" s="40" t="s">
        <v>77</v>
      </c>
      <c r="H35" s="41" t="s">
        <v>78</v>
      </c>
      <c r="I35" s="41" t="s">
        <v>79</v>
      </c>
      <c r="J35" s="41" t="s">
        <v>80</v>
      </c>
      <c r="K35" s="41" t="s">
        <v>56</v>
      </c>
    </row>
    <row customHeight="true" ht="20.238095238095237" r="36">
      <c r="A36" s="42">
        <f>SUM(D30:D32)</f>
      </c>
      <c r="B36" s="43">
        <f>SUM(E30:E32)</f>
      </c>
      <c r="C36" s="43">
        <f>B36/((K36*300)+A36)</f>
      </c>
      <c r="D36" s="44">
        <f>A36/J36</f>
      </c>
      <c r="E36" s="43">
        <f>B36/J36</f>
      </c>
      <c r="F36" s="45">
        <f>J36/I36</f>
      </c>
      <c r="G36" s="45">
        <f>H36/J36</f>
      </c>
      <c r="H36" s="46">
        <v>1</v>
      </c>
      <c r="I36" s="46">
        <v>26</v>
      </c>
      <c r="J36" s="46">
        <f>F33</f>
      </c>
      <c r="K36" s="46">
        <f>C33</f>
      </c>
    </row>
    <row customHeight="true" ht="20.238095238095237" r="37">
      <c r="A37" s="29" t="s">
        <v>84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customHeight="true" ht="20.238095238095237" r="38">
      <c r="A38" s="30" t="s">
        <v>54</v>
      </c>
      <c r="B38" s="30" t="s">
        <v>55</v>
      </c>
      <c r="C38" s="30" t="s">
        <v>56</v>
      </c>
      <c r="D38" s="30" t="s">
        <v>57</v>
      </c>
      <c r="E38" s="31" t="s">
        <v>58</v>
      </c>
      <c r="F38" s="30" t="s">
        <v>59</v>
      </c>
      <c r="G38" s="30" t="s">
        <v>60</v>
      </c>
      <c r="H38" s="30" t="s">
        <v>61</v>
      </c>
      <c r="I38" s="30" t="s">
        <v>62</v>
      </c>
      <c r="J38" s="30" t="s">
        <v>63</v>
      </c>
      <c r="K38" s="30"/>
    </row>
    <row customHeight="true" ht="20.238095238095237" r="39">
      <c r="A39" s="32" t="s">
        <v>64</v>
      </c>
      <c r="B39" s="33" t="s">
        <v>65</v>
      </c>
      <c r="C39" s="34">
        <v>4</v>
      </c>
      <c r="D39" s="37">
        <v>6137.26</v>
      </c>
      <c r="E39" s="37">
        <v>3120</v>
      </c>
      <c r="F39" s="34">
        <v>2</v>
      </c>
      <c r="G39" s="35">
        <f t="shared" ref="G39:G42" si="64">E39/F39</f>
      </c>
      <c r="H39" s="35">
        <f t="shared" ref="H39:H42" si="94">D39/F39</f>
      </c>
      <c r="I39" s="35">
        <f t="shared" ref="I39:I42" si="4">E39/D39</f>
      </c>
      <c r="J39" s="35">
        <f t="shared" ref="J39:J42" si="34">D39/C39</f>
      </c>
      <c r="K39" s="35"/>
    </row>
    <row customHeight="true" ht="20.238095238095237" r="40">
      <c r="A40" s="36" t="s">
        <v>68</v>
      </c>
      <c r="B40" s="33" t="s">
        <v>67</v>
      </c>
      <c r="C40" s="34">
        <v>4</v>
      </c>
      <c r="D40" s="37">
        <v>5191.0599999999995</v>
      </c>
      <c r="E40" s="34">
        <v>13201</v>
      </c>
      <c r="F40" s="34">
        <v>5</v>
      </c>
      <c r="G40" s="35">
        <f t="shared" si="64"/>
      </c>
      <c r="H40" s="35">
        <f t="shared" si="94"/>
      </c>
      <c r="I40" s="35">
        <f t="shared" si="4"/>
      </c>
      <c r="J40" s="35">
        <f t="shared" si="34"/>
      </c>
      <c r="K40" s="35"/>
    </row>
    <row customHeight="true" ht="20.238095238095237" r="41">
      <c r="A41" s="36" t="s">
        <v>66</v>
      </c>
      <c r="B41" s="33" t="s">
        <v>69</v>
      </c>
      <c r="C41" s="34">
        <v>4</v>
      </c>
      <c r="D41" s="34">
        <v>4443.4000000000015</v>
      </c>
      <c r="E41" s="34">
        <v>13219.199999999999</v>
      </c>
      <c r="F41" s="34">
        <v>7</v>
      </c>
      <c r="G41" s="35">
        <f t="shared" si="64"/>
      </c>
      <c r="H41" s="35">
        <f t="shared" si="94"/>
      </c>
      <c r="I41" s="35">
        <f t="shared" si="4"/>
      </c>
      <c r="J41" s="35">
        <f t="shared" si="34"/>
      </c>
      <c r="K41" s="35"/>
    </row>
    <row customHeight="true" ht="20.238095238095237" r="42">
      <c r="A42" s="30" t="s">
        <v>70</v>
      </c>
      <c r="B42" s="30"/>
      <c r="C42" s="30">
        <f>SUM(C39:C41)</f>
      </c>
      <c r="D42" s="30">
        <f>SUM(D39:D41)</f>
      </c>
      <c r="E42" s="30">
        <f>SUM(E39:E41)</f>
      </c>
      <c r="F42" s="30">
        <f>SUM(F39:F41)</f>
      </c>
      <c r="G42" s="38">
        <f t="shared" si="64"/>
      </c>
      <c r="H42" s="38">
        <f t="shared" si="94"/>
      </c>
      <c r="I42" s="38">
        <f t="shared" si="4"/>
      </c>
      <c r="J42" s="38">
        <f t="shared" si="34"/>
      </c>
      <c r="K42" s="38"/>
    </row>
    <row customHeight="true" ht="20.238095238095237" r="43">
      <c r="A43" s="39" t="s">
        <v>71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customHeight="true" ht="20.238095238095237" r="44">
      <c r="A44" s="40" t="s">
        <v>57</v>
      </c>
      <c r="B44" s="40" t="s">
        <v>72</v>
      </c>
      <c r="C44" s="40" t="s">
        <v>73</v>
      </c>
      <c r="D44" s="40" t="s">
        <v>74</v>
      </c>
      <c r="E44" s="40" t="s">
        <v>75</v>
      </c>
      <c r="F44" s="40" t="s">
        <v>76</v>
      </c>
      <c r="G44" s="40" t="s">
        <v>77</v>
      </c>
      <c r="H44" s="41" t="s">
        <v>78</v>
      </c>
      <c r="I44" s="41" t="s">
        <v>79</v>
      </c>
      <c r="J44" s="41" t="s">
        <v>80</v>
      </c>
      <c r="K44" s="41" t="s">
        <v>56</v>
      </c>
    </row>
    <row customHeight="true" ht="20.238095238095237" r="45">
      <c r="A45" s="42">
        <f>SUM(D39:D41)</f>
      </c>
      <c r="B45" s="43">
        <f>SUM(E39:E41)</f>
      </c>
      <c r="C45" s="43">
        <f>B45/((K45*300)+A45)</f>
      </c>
      <c r="D45" s="44">
        <f>A45/J45</f>
      </c>
      <c r="E45" s="43">
        <f>B45/J45</f>
      </c>
      <c r="F45" s="45">
        <f>J45/I45</f>
      </c>
      <c r="G45" s="45">
        <f>H45/J45</f>
      </c>
      <c r="H45" s="46">
        <v>3</v>
      </c>
      <c r="I45" s="46">
        <v>21</v>
      </c>
      <c r="J45" s="46">
        <f>F42</f>
      </c>
      <c r="K45" s="46">
        <f>C42</f>
      </c>
    </row>
    <row customHeight="true" ht="20.238095238095237" r="46">
      <c r="A46" s="29" t="s">
        <v>85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customHeight="true" ht="20.238095238095237" r="47">
      <c r="A47" s="30" t="s">
        <v>54</v>
      </c>
      <c r="B47" s="30" t="s">
        <v>55</v>
      </c>
      <c r="C47" s="30" t="s">
        <v>56</v>
      </c>
      <c r="D47" s="30" t="s">
        <v>57</v>
      </c>
      <c r="E47" s="31" t="s">
        <v>58</v>
      </c>
      <c r="F47" s="30" t="s">
        <v>59</v>
      </c>
      <c r="G47" s="30" t="s">
        <v>60</v>
      </c>
      <c r="H47" s="30" t="s">
        <v>61</v>
      </c>
      <c r="I47" s="30" t="s">
        <v>62</v>
      </c>
      <c r="J47" s="30" t="s">
        <v>63</v>
      </c>
      <c r="K47" s="30"/>
    </row>
    <row customHeight="true" ht="20.238095238095237" r="48">
      <c r="A48" s="36" t="s">
        <v>66</v>
      </c>
      <c r="B48" s="33" t="s">
        <v>65</v>
      </c>
      <c r="C48" s="34">
        <v>4</v>
      </c>
      <c r="D48" s="37">
        <v>6348.0599999999995</v>
      </c>
      <c r="E48" s="37">
        <v>6297.599999999999</v>
      </c>
      <c r="F48" s="34">
        <v>2</v>
      </c>
      <c r="G48" s="35">
        <f t="shared" ref="G48:G51" si="65">E48/F48</f>
      </c>
      <c r="H48" s="35">
        <f t="shared" ref="H48:H51" si="95">D48/F48</f>
      </c>
      <c r="I48" s="35">
        <f t="shared" ref="I48:I51" si="5">E48/D48</f>
      </c>
      <c r="J48" s="35">
        <f t="shared" ref="J48:J51" si="35">D48/C48</f>
      </c>
      <c r="K48" s="35"/>
    </row>
    <row customHeight="true" ht="20.238095238095237" r="49">
      <c r="A49" s="32" t="s">
        <v>64</v>
      </c>
      <c r="B49" s="33" t="s">
        <v>67</v>
      </c>
      <c r="C49" s="34">
        <v>4</v>
      </c>
      <c r="D49" s="37">
        <v>6211.959999999999</v>
      </c>
      <c r="E49" s="34">
        <v>2798.3999999999996</v>
      </c>
      <c r="F49" s="34">
        <v>2</v>
      </c>
      <c r="G49" s="35">
        <f t="shared" si="65"/>
      </c>
      <c r="H49" s="35">
        <f t="shared" si="95"/>
      </c>
      <c r="I49" s="35">
        <f t="shared" si="5"/>
      </c>
      <c r="J49" s="35">
        <f t="shared" si="35"/>
      </c>
      <c r="K49" s="35"/>
    </row>
    <row customHeight="true" ht="20.238095238095237" r="50">
      <c r="A50" s="36" t="s">
        <v>68</v>
      </c>
      <c r="B50" s="33" t="s">
        <v>69</v>
      </c>
      <c r="C50" s="34">
        <v>4</v>
      </c>
      <c r="D50" s="34">
        <v>6560.129999999999</v>
      </c>
      <c r="E50" s="34">
        <v>17590.800000000003</v>
      </c>
      <c r="F50" s="34">
        <v>10</v>
      </c>
      <c r="G50" s="35">
        <f t="shared" si="65"/>
      </c>
      <c r="H50" s="35">
        <f t="shared" si="95"/>
      </c>
      <c r="I50" s="35">
        <f t="shared" si="5"/>
      </c>
      <c r="J50" s="35">
        <f t="shared" si="35"/>
      </c>
      <c r="K50" s="35"/>
    </row>
    <row customHeight="true" ht="20.238095238095237" r="51">
      <c r="A51" s="30" t="s">
        <v>70</v>
      </c>
      <c r="B51" s="30"/>
      <c r="C51" s="30">
        <f>SUM(C48:C50)</f>
      </c>
      <c r="D51" s="30">
        <f>SUM(D48:D50)</f>
      </c>
      <c r="E51" s="30">
        <f>SUM(E48:E50)</f>
      </c>
      <c r="F51" s="30">
        <f>SUM(F48:F50)</f>
      </c>
      <c r="G51" s="38">
        <f t="shared" si="65"/>
      </c>
      <c r="H51" s="38">
        <f t="shared" si="95"/>
      </c>
      <c r="I51" s="38">
        <f t="shared" si="5"/>
      </c>
      <c r="J51" s="38">
        <f t="shared" si="35"/>
      </c>
      <c r="K51" s="38"/>
    </row>
    <row customHeight="true" ht="20.238095238095237" r="52">
      <c r="A52" s="39" t="s">
        <v>71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customHeight="true" ht="20.238095238095237" r="53">
      <c r="A53" s="40" t="s">
        <v>57</v>
      </c>
      <c r="B53" s="40" t="s">
        <v>72</v>
      </c>
      <c r="C53" s="40" t="s">
        <v>73</v>
      </c>
      <c r="D53" s="40" t="s">
        <v>74</v>
      </c>
      <c r="E53" s="40" t="s">
        <v>75</v>
      </c>
      <c r="F53" s="40" t="s">
        <v>76</v>
      </c>
      <c r="G53" s="40" t="s">
        <v>77</v>
      </c>
      <c r="H53" s="41" t="s">
        <v>78</v>
      </c>
      <c r="I53" s="41" t="s">
        <v>79</v>
      </c>
      <c r="J53" s="41" t="s">
        <v>80</v>
      </c>
      <c r="K53" s="41" t="s">
        <v>56</v>
      </c>
    </row>
    <row customHeight="true" ht="20.238095238095237" r="54">
      <c r="A54" s="42">
        <f>SUM(D48:D50)</f>
      </c>
      <c r="B54" s="43">
        <f>SUM(E48:E50)</f>
      </c>
      <c r="C54" s="43">
        <f>B54/((K54*300)+A54)</f>
      </c>
      <c r="D54" s="44">
        <f>A54/J54</f>
      </c>
      <c r="E54" s="43">
        <f>B54/J54</f>
      </c>
      <c r="F54" s="45">
        <f>J54/I54</f>
      </c>
      <c r="G54" s="45">
        <f>H54/J54</f>
      </c>
      <c r="H54" s="46">
        <v>3</v>
      </c>
      <c r="I54" s="46">
        <v>35</v>
      </c>
      <c r="J54" s="46">
        <f>F51</f>
      </c>
      <c r="K54" s="46">
        <f>C51</f>
      </c>
    </row>
    <row customHeight="true" ht="20.238095238095237" r="55">
      <c r="A55" s="29" t="s">
        <v>86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customHeight="true" ht="20.238095238095237" r="56">
      <c r="A56" s="30" t="s">
        <v>54</v>
      </c>
      <c r="B56" s="30" t="s">
        <v>55</v>
      </c>
      <c r="C56" s="30" t="s">
        <v>56</v>
      </c>
      <c r="D56" s="30" t="s">
        <v>57</v>
      </c>
      <c r="E56" s="31" t="s">
        <v>58</v>
      </c>
      <c r="F56" s="30" t="s">
        <v>59</v>
      </c>
      <c r="G56" s="30" t="s">
        <v>60</v>
      </c>
      <c r="H56" s="30" t="s">
        <v>61</v>
      </c>
      <c r="I56" s="30" t="s">
        <v>62</v>
      </c>
      <c r="J56" s="30" t="s">
        <v>63</v>
      </c>
      <c r="K56" s="30"/>
    </row>
    <row customHeight="true" ht="20.238095238095237" r="57">
      <c r="A57" s="36" t="s">
        <v>66</v>
      </c>
      <c r="B57" s="33" t="s">
        <v>65</v>
      </c>
      <c r="C57" s="34">
        <v>4</v>
      </c>
      <c r="D57" s="37">
        <v>8279.51</v>
      </c>
      <c r="E57" s="37">
        <v>8540.6</v>
      </c>
      <c r="F57" s="34">
        <v>7</v>
      </c>
      <c r="G57" s="35">
        <f t="shared" ref="G57:G60" si="66">E57/F57</f>
      </c>
      <c r="H57" s="35">
        <f t="shared" ref="H57:H60" si="96">D57/F57</f>
      </c>
      <c r="I57" s="35">
        <f t="shared" ref="I57:I60" si="6">E57/D57</f>
      </c>
      <c r="J57" s="35">
        <f t="shared" ref="J57:J60" si="36">D57/C57</f>
      </c>
      <c r="K57" s="35"/>
    </row>
    <row customHeight="true" ht="20.238095238095237" r="58">
      <c r="A58" s="32" t="s">
        <v>64</v>
      </c>
      <c r="B58" s="33" t="s">
        <v>67</v>
      </c>
      <c r="C58" s="34">
        <v>4</v>
      </c>
      <c r="D58" s="34">
        <v>9197.89</v>
      </c>
      <c r="E58" s="34">
        <v>13772.4</v>
      </c>
      <c r="F58" s="34">
        <v>6</v>
      </c>
      <c r="G58" s="35">
        <f t="shared" si="66"/>
      </c>
      <c r="H58" s="35">
        <f t="shared" si="96"/>
      </c>
      <c r="I58" s="35">
        <f t="shared" si="6"/>
      </c>
      <c r="J58" s="35">
        <f t="shared" si="36"/>
      </c>
      <c r="K58" s="35"/>
    </row>
    <row customHeight="true" ht="20.238095238095237" r="59">
      <c r="A59" s="36" t="s">
        <v>68</v>
      </c>
      <c r="B59" s="33" t="s">
        <v>69</v>
      </c>
      <c r="C59" s="34">
        <v>4</v>
      </c>
      <c r="D59" s="34">
        <v>7676.78</v>
      </c>
      <c r="E59" s="34">
        <v>15436.4</v>
      </c>
      <c r="F59" s="34">
        <v>8</v>
      </c>
      <c r="G59" s="35">
        <f t="shared" si="66"/>
      </c>
      <c r="H59" s="35">
        <f t="shared" si="96"/>
      </c>
      <c r="I59" s="35">
        <f t="shared" si="6"/>
      </c>
      <c r="J59" s="35">
        <f t="shared" si="36"/>
      </c>
      <c r="K59" s="35"/>
    </row>
    <row customHeight="true" ht="20.238095238095237" r="60">
      <c r="A60" s="30" t="s">
        <v>70</v>
      </c>
      <c r="B60" s="30"/>
      <c r="C60" s="30">
        <f>SUM(C57:C59)</f>
      </c>
      <c r="D60" s="30">
        <f>SUM(D57:D59)</f>
      </c>
      <c r="E60" s="30">
        <f>SUM(E57:E59)</f>
      </c>
      <c r="F60" s="30">
        <f>SUM(F57:F59)</f>
      </c>
      <c r="G60" s="38">
        <f t="shared" si="66"/>
      </c>
      <c r="H60" s="38">
        <f t="shared" si="96"/>
      </c>
      <c r="I60" s="38">
        <f t="shared" si="6"/>
      </c>
      <c r="J60" s="38">
        <f t="shared" si="36"/>
      </c>
      <c r="K60" s="38"/>
    </row>
    <row customHeight="true" ht="20.238095238095237" r="61">
      <c r="A61" s="39" t="s">
        <v>71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customHeight="true" ht="20.238095238095237" r="62">
      <c r="A62" s="40" t="s">
        <v>57</v>
      </c>
      <c r="B62" s="40" t="s">
        <v>72</v>
      </c>
      <c r="C62" s="40" t="s">
        <v>73</v>
      </c>
      <c r="D62" s="40" t="s">
        <v>74</v>
      </c>
      <c r="E62" s="40" t="s">
        <v>75</v>
      </c>
      <c r="F62" s="40" t="s">
        <v>76</v>
      </c>
      <c r="G62" s="40" t="s">
        <v>77</v>
      </c>
      <c r="H62" s="41" t="s">
        <v>78</v>
      </c>
      <c r="I62" s="41" t="s">
        <v>79</v>
      </c>
      <c r="J62" s="41" t="s">
        <v>80</v>
      </c>
      <c r="K62" s="41" t="s">
        <v>56</v>
      </c>
    </row>
    <row customHeight="true" ht="20.238095238095237" r="63">
      <c r="A63" s="42">
        <f>SUM(D57:D59)</f>
      </c>
      <c r="B63" s="43">
        <f>SUM(E57:E59)</f>
      </c>
      <c r="C63" s="43">
        <f>B63/((K63*300)+A63)</f>
      </c>
      <c r="D63" s="44">
        <f>A63/J63</f>
      </c>
      <c r="E63" s="43">
        <f>B63/J63</f>
      </c>
      <c r="F63" s="45">
        <f>J63/I63</f>
      </c>
      <c r="G63" s="45">
        <f>H63/J63</f>
      </c>
      <c r="H63" s="46">
        <v>3</v>
      </c>
      <c r="I63" s="46">
        <v>39</v>
      </c>
      <c r="J63" s="46">
        <f>F60</f>
      </c>
      <c r="K63" s="46">
        <f>C60</f>
      </c>
    </row>
    <row customHeight="true" ht="20.238095238095237" r="64">
      <c r="A64" s="29" t="s">
        <v>87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customHeight="true" ht="20.238095238095237" r="65">
      <c r="A65" s="30" t="s">
        <v>54</v>
      </c>
      <c r="B65" s="30" t="s">
        <v>55</v>
      </c>
      <c r="C65" s="30" t="s">
        <v>56</v>
      </c>
      <c r="D65" s="30" t="s">
        <v>57</v>
      </c>
      <c r="E65" s="31" t="s">
        <v>58</v>
      </c>
      <c r="F65" s="30" t="s">
        <v>59</v>
      </c>
      <c r="G65" s="30" t="s">
        <v>60</v>
      </c>
      <c r="H65" s="30" t="s">
        <v>61</v>
      </c>
      <c r="I65" s="30" t="s">
        <v>62</v>
      </c>
      <c r="J65" s="30" t="s">
        <v>63</v>
      </c>
      <c r="K65" s="30"/>
    </row>
    <row customHeight="true" ht="20.238095238095237" r="66">
      <c r="A66" s="36" t="s">
        <v>64</v>
      </c>
      <c r="B66" s="33" t="s">
        <v>65</v>
      </c>
      <c r="C66" s="34">
        <v>4</v>
      </c>
      <c r="D66" s="37">
        <v>6815.15</v>
      </c>
      <c r="E66" s="37">
        <v>5628.8</v>
      </c>
      <c r="F66" s="34">
        <v>3</v>
      </c>
      <c r="G66" s="35">
        <f t="shared" ref="G66:G69" si="67">E66/F66</f>
      </c>
      <c r="H66" s="35">
        <f t="shared" ref="H66:H69" si="97">D66/F66</f>
      </c>
      <c r="I66" s="35">
        <f t="shared" ref="I66:I69" si="7">E66/D66</f>
      </c>
      <c r="J66" s="35">
        <f t="shared" ref="J66:J69" si="37">D66/C66</f>
      </c>
      <c r="K66" s="35"/>
    </row>
    <row customHeight="true" ht="20.238095238095237" r="67">
      <c r="A67" s="36" t="s">
        <v>68</v>
      </c>
      <c r="B67" s="33" t="s">
        <v>67</v>
      </c>
      <c r="C67" s="34">
        <v>4</v>
      </c>
      <c r="D67" s="34">
        <v>5269.82</v>
      </c>
      <c r="E67" s="34">
        <v>5945</v>
      </c>
      <c r="F67" s="34">
        <v>7</v>
      </c>
      <c r="G67" s="35">
        <f t="shared" si="67"/>
      </c>
      <c r="H67" s="35">
        <f t="shared" si="97"/>
      </c>
      <c r="I67" s="35">
        <f t="shared" si="7"/>
      </c>
      <c r="J67" s="35">
        <f t="shared" si="37"/>
      </c>
      <c r="K67" s="35"/>
    </row>
    <row customHeight="true" ht="20.238095238095237" r="68">
      <c r="A68" s="36" t="s">
        <v>66</v>
      </c>
      <c r="B68" s="33" t="s">
        <v>69</v>
      </c>
      <c r="C68" s="34">
        <v>4</v>
      </c>
      <c r="D68" s="34">
        <v>6184.860000000002</v>
      </c>
      <c r="E68" s="34">
        <v>3179.6</v>
      </c>
      <c r="F68" s="34">
        <v>3</v>
      </c>
      <c r="G68" s="35">
        <f t="shared" si="67"/>
      </c>
      <c r="H68" s="35">
        <f t="shared" si="97"/>
      </c>
      <c r="I68" s="35">
        <f t="shared" si="7"/>
      </c>
      <c r="J68" s="35">
        <f t="shared" si="37"/>
      </c>
      <c r="K68" s="35"/>
    </row>
    <row customHeight="true" ht="20.238095238095237" r="69">
      <c r="A69" s="30" t="s">
        <v>70</v>
      </c>
      <c r="B69" s="30"/>
      <c r="C69" s="30">
        <f>SUM(C66:C68)</f>
      </c>
      <c r="D69" s="30">
        <f>SUM(D66:D68)</f>
      </c>
      <c r="E69" s="30">
        <f>SUM(E66:E68)</f>
      </c>
      <c r="F69" s="30">
        <f>SUM(F66:F68)</f>
      </c>
      <c r="G69" s="38">
        <f t="shared" si="67"/>
      </c>
      <c r="H69" s="38">
        <f t="shared" si="97"/>
      </c>
      <c r="I69" s="38">
        <f t="shared" si="7"/>
      </c>
      <c r="J69" s="38">
        <f t="shared" si="37"/>
      </c>
      <c r="K69" s="38"/>
    </row>
    <row customHeight="true" ht="20.238095238095237" r="70">
      <c r="A70" s="39" t="s">
        <v>71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customHeight="true" ht="20.238095238095237" r="71">
      <c r="A71" s="40" t="s">
        <v>57</v>
      </c>
      <c r="B71" s="40" t="s">
        <v>72</v>
      </c>
      <c r="C71" s="40" t="s">
        <v>73</v>
      </c>
      <c r="D71" s="40" t="s">
        <v>74</v>
      </c>
      <c r="E71" s="40" t="s">
        <v>75</v>
      </c>
      <c r="F71" s="40" t="s">
        <v>76</v>
      </c>
      <c r="G71" s="40" t="s">
        <v>77</v>
      </c>
      <c r="H71" s="41" t="s">
        <v>78</v>
      </c>
      <c r="I71" s="41" t="s">
        <v>79</v>
      </c>
      <c r="J71" s="41" t="s">
        <v>80</v>
      </c>
      <c r="K71" s="41" t="s">
        <v>56</v>
      </c>
    </row>
    <row customHeight="true" ht="20.238095238095237" r="72">
      <c r="A72" s="42">
        <f>SUM(D66:D68)</f>
      </c>
      <c r="B72" s="43">
        <f>SUM(E66:E68)</f>
      </c>
      <c r="C72" s="43">
        <f>B72/((K72*300)+A72)</f>
      </c>
      <c r="D72" s="44">
        <f>A72/J72</f>
      </c>
      <c r="E72" s="43">
        <f>B72/J72</f>
      </c>
      <c r="F72" s="45">
        <f>J72/I72</f>
      </c>
      <c r="G72" s="45">
        <f>H72/J72</f>
      </c>
      <c r="H72" s="46">
        <v>1</v>
      </c>
      <c r="I72" s="46">
        <v>30</v>
      </c>
      <c r="J72" s="46">
        <f>F69</f>
      </c>
      <c r="K72" s="46">
        <f>C69</f>
      </c>
    </row>
    <row customHeight="true" ht="20.238095238095237" r="73">
      <c r="A73" s="29" t="s">
        <v>88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customHeight="true" ht="20.238095238095237" r="74">
      <c r="A74" s="30" t="s">
        <v>54</v>
      </c>
      <c r="B74" s="30" t="s">
        <v>55</v>
      </c>
      <c r="C74" s="30" t="s">
        <v>56</v>
      </c>
      <c r="D74" s="30" t="s">
        <v>57</v>
      </c>
      <c r="E74" s="31" t="s">
        <v>58</v>
      </c>
      <c r="F74" s="30" t="s">
        <v>59</v>
      </c>
      <c r="G74" s="30" t="s">
        <v>60</v>
      </c>
      <c r="H74" s="30" t="s">
        <v>61</v>
      </c>
      <c r="I74" s="30" t="s">
        <v>62</v>
      </c>
      <c r="J74" s="30" t="s">
        <v>63</v>
      </c>
      <c r="K74" s="30"/>
    </row>
    <row customHeight="true" ht="20.238095238095237" r="75">
      <c r="A75" s="36" t="s">
        <v>68</v>
      </c>
      <c r="B75" s="47" t="s">
        <v>89</v>
      </c>
      <c r="C75" s="34">
        <v>5</v>
      </c>
      <c r="D75" s="37">
        <v>6165.39</v>
      </c>
      <c r="E75" s="37">
        <v>3486.6000000000004</v>
      </c>
      <c r="F75" s="34">
        <v>3</v>
      </c>
      <c r="G75" s="35">
        <f t="shared" ref="G75:G78" si="68">E75/F75</f>
      </c>
      <c r="H75" s="35">
        <f t="shared" ref="H75:H78" si="98">D75/F75</f>
      </c>
      <c r="I75" s="35">
        <f t="shared" ref="I75:I78" si="8">E75/D75</f>
      </c>
      <c r="J75" s="35">
        <f t="shared" ref="J75:J78" si="38">D75/C75</f>
      </c>
      <c r="K75" s="35"/>
    </row>
    <row customHeight="true" ht="20.238095238095237" r="76">
      <c r="A76" s="36" t="s">
        <v>90</v>
      </c>
      <c r="B76" s="47" t="s">
        <v>91</v>
      </c>
      <c r="C76" s="34">
        <v>2</v>
      </c>
      <c r="D76" s="34">
        <v>2922.170000000001</v>
      </c>
      <c r="E76" s="34">
        <v>664.8000000000002</v>
      </c>
      <c r="F76" s="34">
        <v>1</v>
      </c>
      <c r="G76" s="35">
        <f t="shared" si="68"/>
      </c>
      <c r="H76" s="35">
        <f t="shared" si="98"/>
      </c>
      <c r="I76" s="35">
        <f t="shared" si="8"/>
      </c>
      <c r="J76" s="35">
        <f t="shared" si="38"/>
      </c>
      <c r="K76" s="35"/>
    </row>
    <row customHeight="true" ht="20.238095238095237" r="77">
      <c r="A77" s="36" t="s">
        <v>64</v>
      </c>
      <c r="B77" s="47" t="s">
        <v>92</v>
      </c>
      <c r="C77" s="34">
        <v>5</v>
      </c>
      <c r="D77" s="34">
        <v>8892.68</v>
      </c>
      <c r="E77" s="34">
        <v>12723.8</v>
      </c>
      <c r="F77" s="34">
        <v>8</v>
      </c>
      <c r="G77" s="35">
        <f t="shared" si="68"/>
      </c>
      <c r="H77" s="35">
        <f t="shared" si="98"/>
      </c>
      <c r="I77" s="35">
        <f t="shared" si="8"/>
      </c>
      <c r="J77" s="35">
        <f t="shared" si="38"/>
      </c>
      <c r="K77" s="35"/>
    </row>
    <row customHeight="true" ht="20.238095238095237" r="78">
      <c r="A78" s="30" t="s">
        <v>70</v>
      </c>
      <c r="B78" s="30"/>
      <c r="C78" s="30">
        <f>SUM(C75:C77)</f>
      </c>
      <c r="D78" s="30">
        <f>SUM(D75:D77)</f>
      </c>
      <c r="E78" s="30">
        <f>SUM(E75:E77)</f>
      </c>
      <c r="F78" s="30">
        <f>SUM(F75:F77)</f>
      </c>
      <c r="G78" s="38">
        <f t="shared" si="68"/>
      </c>
      <c r="H78" s="38">
        <f t="shared" si="98"/>
      </c>
      <c r="I78" s="38">
        <f t="shared" si="8"/>
      </c>
      <c r="J78" s="38">
        <f t="shared" si="38"/>
      </c>
      <c r="K78" s="38"/>
    </row>
    <row customHeight="true" ht="20.238095238095237" r="79">
      <c r="A79" s="39" t="s">
        <v>71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customHeight="true" ht="20.238095238095237" r="80">
      <c r="A80" s="40" t="s">
        <v>57</v>
      </c>
      <c r="B80" s="40" t="s">
        <v>72</v>
      </c>
      <c r="C80" s="40" t="s">
        <v>73</v>
      </c>
      <c r="D80" s="40" t="s">
        <v>74</v>
      </c>
      <c r="E80" s="40" t="s">
        <v>75</v>
      </c>
      <c r="F80" s="40" t="s">
        <v>76</v>
      </c>
      <c r="G80" s="40" t="s">
        <v>77</v>
      </c>
      <c r="H80" s="41" t="s">
        <v>78</v>
      </c>
      <c r="I80" s="41" t="s">
        <v>79</v>
      </c>
      <c r="J80" s="41" t="s">
        <v>80</v>
      </c>
      <c r="K80" s="41" t="s">
        <v>56</v>
      </c>
    </row>
    <row customHeight="true" ht="20.238095238095237" r="81">
      <c r="A81" s="42">
        <f>SUM(D75:D77)</f>
      </c>
      <c r="B81" s="43">
        <f>SUM(E75:E77)</f>
      </c>
      <c r="C81" s="43">
        <f>B81/((K81*300)+A81)</f>
      </c>
      <c r="D81" s="44">
        <f>A81/J81</f>
      </c>
      <c r="E81" s="43">
        <f>B81/J81</f>
      </c>
      <c r="F81" s="45">
        <f>J81/I81</f>
      </c>
      <c r="G81" s="45">
        <f>H81/J81</f>
      </c>
      <c r="H81" s="46">
        <v>1</v>
      </c>
      <c r="I81" s="46">
        <v>22</v>
      </c>
      <c r="J81" s="46">
        <f>F78</f>
      </c>
      <c r="K81" s="46">
        <f>C78</f>
      </c>
    </row>
    <row customHeight="true" ht="20.238095238095237" r="82">
      <c r="A82" s="29" t="s">
        <v>93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customHeight="true" ht="20.238095238095237" r="83">
      <c r="A83" s="30" t="s">
        <v>54</v>
      </c>
      <c r="B83" s="30" t="s">
        <v>55</v>
      </c>
      <c r="C83" s="30" t="s">
        <v>56</v>
      </c>
      <c r="D83" s="30" t="s">
        <v>57</v>
      </c>
      <c r="E83" s="31" t="s">
        <v>58</v>
      </c>
      <c r="F83" s="30" t="s">
        <v>59</v>
      </c>
      <c r="G83" s="30" t="s">
        <v>60</v>
      </c>
      <c r="H83" s="30" t="s">
        <v>61</v>
      </c>
      <c r="I83" s="30" t="s">
        <v>62</v>
      </c>
      <c r="J83" s="30" t="s">
        <v>63</v>
      </c>
      <c r="K83" s="30"/>
    </row>
    <row customHeight="true" ht="20.238095238095237" r="84">
      <c r="A84" s="36" t="s">
        <v>64</v>
      </c>
      <c r="B84" s="47" t="s">
        <v>89</v>
      </c>
      <c r="C84" s="34">
        <v>5</v>
      </c>
      <c r="D84" s="37">
        <v>5697.610000000001</v>
      </c>
      <c r="E84" s="37">
        <v>1186.8000000000002</v>
      </c>
      <c r="F84" s="34">
        <v>1</v>
      </c>
      <c r="G84" s="35">
        <f t="shared" ref="G84:G87" si="69">E84/F84</f>
      </c>
      <c r="H84" s="35">
        <f t="shared" ref="H84:H87" si="99">D84/F84</f>
      </c>
      <c r="I84" s="35">
        <f t="shared" ref="I84:I87" si="9">E84/D84</f>
      </c>
      <c r="J84" s="35">
        <f t="shared" ref="J84:J87" si="39">D84/C84</f>
      </c>
      <c r="K84" s="35"/>
    </row>
    <row customHeight="true" ht="20.238095238095237" r="85">
      <c r="A85" s="36" t="s">
        <v>90</v>
      </c>
      <c r="B85" s="47" t="s">
        <v>91</v>
      </c>
      <c r="C85" s="34">
        <v>2</v>
      </c>
      <c r="D85" s="34">
        <v>1914.449999999999</v>
      </c>
      <c r="E85" s="34">
        <v>2058</v>
      </c>
      <c r="F85" s="34">
        <v>1</v>
      </c>
      <c r="G85" s="35">
        <f t="shared" si="69"/>
      </c>
      <c r="H85" s="35">
        <f t="shared" si="99"/>
      </c>
      <c r="I85" s="35">
        <f t="shared" si="9"/>
      </c>
      <c r="J85" s="35">
        <f t="shared" si="39"/>
      </c>
      <c r="K85" s="35"/>
    </row>
    <row customHeight="true" ht="20.238095238095237" r="86">
      <c r="A86" s="36" t="s">
        <v>68</v>
      </c>
      <c r="B86" s="47" t="s">
        <v>92</v>
      </c>
      <c r="C86" s="34">
        <v>5</v>
      </c>
      <c r="D86" s="34">
        <v>5381.01</v>
      </c>
      <c r="E86" s="34">
        <v>6570</v>
      </c>
      <c r="F86" s="34">
        <v>4</v>
      </c>
      <c r="G86" s="35">
        <f t="shared" si="69"/>
      </c>
      <c r="H86" s="35">
        <f t="shared" si="99"/>
      </c>
      <c r="I86" s="35">
        <f t="shared" si="9"/>
      </c>
      <c r="J86" s="35">
        <f t="shared" si="39"/>
      </c>
      <c r="K86" s="35"/>
    </row>
    <row customHeight="true" ht="20.238095238095237" r="87">
      <c r="A87" s="30" t="s">
        <v>70</v>
      </c>
      <c r="B87" s="30"/>
      <c r="C87" s="30">
        <f>SUM(C84:C86)</f>
      </c>
      <c r="D87" s="30">
        <f>SUM(D84:D86)</f>
      </c>
      <c r="E87" s="30">
        <f>SUM(E84:E86)</f>
      </c>
      <c r="F87" s="30">
        <f>SUM(F84:F86)</f>
      </c>
      <c r="G87" s="38">
        <f t="shared" si="69"/>
      </c>
      <c r="H87" s="38">
        <f t="shared" si="99"/>
      </c>
      <c r="I87" s="38">
        <f t="shared" si="9"/>
      </c>
      <c r="J87" s="38">
        <f t="shared" si="39"/>
      </c>
      <c r="K87" s="38"/>
    </row>
    <row customHeight="true" ht="20.238095238095237" r="88">
      <c r="A88" s="39" t="s">
        <v>71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customHeight="true" ht="20.238095238095237" r="89">
      <c r="A89" s="40" t="s">
        <v>57</v>
      </c>
      <c r="B89" s="40" t="s">
        <v>72</v>
      </c>
      <c r="C89" s="40" t="s">
        <v>73</v>
      </c>
      <c r="D89" s="40" t="s">
        <v>74</v>
      </c>
      <c r="E89" s="40" t="s">
        <v>75</v>
      </c>
      <c r="F89" s="40" t="s">
        <v>76</v>
      </c>
      <c r="G89" s="40" t="s">
        <v>77</v>
      </c>
      <c r="H89" s="41" t="s">
        <v>78</v>
      </c>
      <c r="I89" s="41" t="s">
        <v>79</v>
      </c>
      <c r="J89" s="41" t="s">
        <v>80</v>
      </c>
      <c r="K89" s="41" t="s">
        <v>56</v>
      </c>
    </row>
    <row customHeight="true" ht="20.238095238095237" r="90">
      <c r="A90" s="42">
        <f>SUM(D84:D86)</f>
      </c>
      <c r="B90" s="43">
        <f>SUM(E84:E86)</f>
      </c>
      <c r="C90" s="43">
        <f>B90/((K90*300)+A90)</f>
      </c>
      <c r="D90" s="44">
        <f>A90/J90</f>
      </c>
      <c r="E90" s="43">
        <f>B90/J90</f>
      </c>
      <c r="F90" s="45">
        <f>J90/I90</f>
      </c>
      <c r="G90" s="45">
        <f>H90/J90</f>
      </c>
      <c r="H90" s="46">
        <v>0</v>
      </c>
      <c r="I90" s="46">
        <v>14</v>
      </c>
      <c r="J90" s="46">
        <f>F87</f>
      </c>
      <c r="K90" s="46">
        <f>C87</f>
      </c>
    </row>
    <row r="91">
      <c r="A91" s="29" t="s">
        <v>94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>
      <c r="A92" s="30" t="s">
        <v>54</v>
      </c>
      <c r="B92" s="30" t="s">
        <v>55</v>
      </c>
      <c r="C92" s="30" t="s">
        <v>56</v>
      </c>
      <c r="D92" s="30" t="s">
        <v>57</v>
      </c>
      <c r="E92" s="31" t="s">
        <v>58</v>
      </c>
      <c r="F92" s="30" t="s">
        <v>59</v>
      </c>
      <c r="G92" s="30" t="s">
        <v>60</v>
      </c>
      <c r="H92" s="30" t="s">
        <v>61</v>
      </c>
      <c r="I92" s="30" t="s">
        <v>62</v>
      </c>
      <c r="J92" s="30" t="s">
        <v>63</v>
      </c>
      <c r="K92" s="30"/>
    </row>
    <row r="93">
      <c r="A93" s="36" t="s">
        <v>68</v>
      </c>
      <c r="B93" s="47" t="s">
        <v>65</v>
      </c>
      <c r="C93" s="34">
        <v>4</v>
      </c>
      <c r="D93" s="37">
        <v>5033.22</v>
      </c>
      <c r="E93" s="37">
        <v>10244</v>
      </c>
      <c r="F93" s="34">
        <v>7</v>
      </c>
      <c r="G93" s="35">
        <f t="shared" ref="G93:G96" si="70">E93/F93</f>
      </c>
      <c r="H93" s="35">
        <f t="shared" ref="H93:H96" si="100">D93/F93</f>
      </c>
      <c r="I93" s="35">
        <f t="shared" ref="I93:I96" si="10">E93/D93</f>
      </c>
      <c r="J93" s="35">
        <f t="shared" ref="J93:J96" si="40">D93/C93</f>
      </c>
      <c r="K93" s="35"/>
    </row>
    <row r="94">
      <c r="A94" s="36" t="s">
        <v>64</v>
      </c>
      <c r="B94" s="47" t="s">
        <v>67</v>
      </c>
      <c r="C94" s="34">
        <v>4</v>
      </c>
      <c r="D94" s="34">
        <v>5586.12</v>
      </c>
      <c r="E94" s="34">
        <v>3897.5999999999995</v>
      </c>
      <c r="F94" s="34">
        <v>4</v>
      </c>
      <c r="G94" s="35">
        <f t="shared" si="70"/>
      </c>
      <c r="H94" s="35">
        <f t="shared" si="100"/>
      </c>
      <c r="I94" s="35">
        <f t="shared" si="10"/>
      </c>
      <c r="J94" s="35">
        <f t="shared" si="40"/>
      </c>
      <c r="K94" s="35"/>
    </row>
    <row r="95">
      <c r="A95" s="36" t="s">
        <v>66</v>
      </c>
      <c r="B95" s="47" t="s">
        <v>69</v>
      </c>
      <c r="C95" s="34">
        <v>4</v>
      </c>
      <c r="D95" s="34">
        <v>5497.49</v>
      </c>
      <c r="E95" s="34">
        <v>5995.6</v>
      </c>
      <c r="F95" s="34">
        <v>5</v>
      </c>
      <c r="G95" s="35">
        <f t="shared" si="70"/>
      </c>
      <c r="H95" s="35">
        <f t="shared" si="100"/>
      </c>
      <c r="I95" s="35">
        <f t="shared" si="10"/>
      </c>
      <c r="J95" s="35">
        <f t="shared" si="40"/>
      </c>
      <c r="K95" s="35"/>
    </row>
    <row r="96">
      <c r="A96" s="30" t="s">
        <v>70</v>
      </c>
      <c r="B96" s="30"/>
      <c r="C96" s="30">
        <f>SUM(C93:C95)</f>
      </c>
      <c r="D96" s="30">
        <f>SUM(D93:D95)</f>
      </c>
      <c r="E96" s="30">
        <f>SUM(E93:E95)</f>
      </c>
      <c r="F96" s="30">
        <f>SUM(F93:F95)</f>
      </c>
      <c r="G96" s="38">
        <f t="shared" si="70"/>
      </c>
      <c r="H96" s="38">
        <f t="shared" si="100"/>
      </c>
      <c r="I96" s="38">
        <f t="shared" si="10"/>
      </c>
      <c r="J96" s="38">
        <f t="shared" si="40"/>
      </c>
      <c r="K96" s="38"/>
    </row>
    <row r="97">
      <c r="A97" s="39" t="s">
        <v>71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>
      <c r="A98" s="40" t="s">
        <v>57</v>
      </c>
      <c r="B98" s="40" t="s">
        <v>72</v>
      </c>
      <c r="C98" s="40" t="s">
        <v>73</v>
      </c>
      <c r="D98" s="40" t="s">
        <v>74</v>
      </c>
      <c r="E98" s="40" t="s">
        <v>75</v>
      </c>
      <c r="F98" s="40" t="s">
        <v>76</v>
      </c>
      <c r="G98" s="40" t="s">
        <v>77</v>
      </c>
      <c r="H98" s="41" t="s">
        <v>78</v>
      </c>
      <c r="I98" s="41" t="s">
        <v>79</v>
      </c>
      <c r="J98" s="41" t="s">
        <v>80</v>
      </c>
      <c r="K98" s="41" t="s">
        <v>56</v>
      </c>
    </row>
    <row r="99">
      <c r="A99" s="42">
        <f>SUM(D93:D95)</f>
      </c>
      <c r="B99" s="43">
        <f>SUM(E93:E95)</f>
      </c>
      <c r="C99" s="43">
        <f>B99/((K99*300)+A99)</f>
      </c>
      <c r="D99" s="44">
        <f>A99/J99</f>
      </c>
      <c r="E99" s="43">
        <f>B99/J99</f>
      </c>
      <c r="F99" s="45">
        <f>J99/I99</f>
      </c>
      <c r="G99" s="45">
        <f>H99/J99</f>
      </c>
      <c r="H99" s="46">
        <v>2</v>
      </c>
      <c r="I99" s="46">
        <v>22</v>
      </c>
      <c r="J99" s="46">
        <f>F96</f>
      </c>
      <c r="K99" s="46">
        <f>C96</f>
      </c>
    </row>
    <row customHeight="true" ht="20.238095238095237" r="100">
      <c r="A100" s="29" t="s">
        <v>95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customHeight="true" ht="20.238095238095237" r="101">
      <c r="A101" s="30" t="s">
        <v>54</v>
      </c>
      <c r="B101" s="30" t="s">
        <v>55</v>
      </c>
      <c r="C101" s="30" t="s">
        <v>56</v>
      </c>
      <c r="D101" s="30" t="s">
        <v>57</v>
      </c>
      <c r="E101" s="31" t="s">
        <v>58</v>
      </c>
      <c r="F101" s="30" t="s">
        <v>59</v>
      </c>
      <c r="G101" s="30" t="s">
        <v>60</v>
      </c>
      <c r="H101" s="30" t="s">
        <v>61</v>
      </c>
      <c r="I101" s="30" t="s">
        <v>62</v>
      </c>
      <c r="J101" s="30" t="s">
        <v>63</v>
      </c>
      <c r="K101" s="30"/>
    </row>
    <row customHeight="true" ht="20.238095238095237" r="102">
      <c r="A102" s="36" t="s">
        <v>66</v>
      </c>
      <c r="B102" s="47" t="s">
        <v>89</v>
      </c>
      <c r="C102" s="34">
        <v>5</v>
      </c>
      <c r="D102" s="37">
        <v>6689.42</v>
      </c>
      <c r="E102" s="37">
        <v>3952.8</v>
      </c>
      <c r="F102" s="34">
        <v>3</v>
      </c>
      <c r="G102" s="35">
        <f t="shared" ref="G102:G105" si="71">E102/F102</f>
      </c>
      <c r="H102" s="35">
        <f t="shared" ref="H102:H105" si="101">D102/F102</f>
      </c>
      <c r="I102" s="35">
        <f t="shared" ref="I102:I105" si="11">E102/D102</f>
      </c>
      <c r="J102" s="35">
        <f t="shared" ref="J102:J105" si="41">D102/C102</f>
      </c>
      <c r="K102" s="35"/>
    </row>
    <row customHeight="true" ht="20.238095238095237" r="103">
      <c r="A103" s="36" t="s">
        <v>90</v>
      </c>
      <c r="B103" s="47" t="s">
        <v>91</v>
      </c>
      <c r="C103" s="34">
        <v>2</v>
      </c>
      <c r="D103" s="34">
        <v>2095.6900000000005</v>
      </c>
      <c r="E103" s="34">
        <v>878.4000000000001</v>
      </c>
      <c r="F103" s="34">
        <v>1</v>
      </c>
      <c r="G103" s="35">
        <f t="shared" si="71"/>
      </c>
      <c r="H103" s="35">
        <f t="shared" si="101"/>
      </c>
      <c r="I103" s="35">
        <f t="shared" si="11"/>
      </c>
      <c r="J103" s="35">
        <f t="shared" si="41"/>
      </c>
      <c r="K103" s="35"/>
    </row>
    <row customHeight="true" ht="20.238095238095237" r="104">
      <c r="A104" s="36" t="s">
        <v>68</v>
      </c>
      <c r="B104" s="47" t="s">
        <v>92</v>
      </c>
      <c r="C104" s="34">
        <v>5</v>
      </c>
      <c r="D104" s="34">
        <v>8368.329999999998</v>
      </c>
      <c r="E104" s="34">
        <v>14536.2</v>
      </c>
      <c r="F104" s="34">
        <v>7</v>
      </c>
      <c r="G104" s="35">
        <f t="shared" si="71"/>
      </c>
      <c r="H104" s="35">
        <f t="shared" si="101"/>
      </c>
      <c r="I104" s="35">
        <f t="shared" si="11"/>
      </c>
      <c r="J104" s="35">
        <f t="shared" si="41"/>
      </c>
      <c r="K104" s="35"/>
    </row>
    <row customHeight="true" ht="20.238095238095237" r="105">
      <c r="A105" s="30" t="s">
        <v>70</v>
      </c>
      <c r="B105" s="30"/>
      <c r="C105" s="30">
        <f>SUM(C102:C104)</f>
      </c>
      <c r="D105" s="30">
        <f>SUM(D102:D104)</f>
      </c>
      <c r="E105" s="30">
        <f>SUM(E102:E104)</f>
      </c>
      <c r="F105" s="30">
        <f>SUM(F102:F104)</f>
      </c>
      <c r="G105" s="38">
        <f t="shared" si="71"/>
      </c>
      <c r="H105" s="38">
        <f t="shared" si="101"/>
      </c>
      <c r="I105" s="38">
        <f t="shared" si="11"/>
      </c>
      <c r="J105" s="38">
        <f t="shared" si="41"/>
      </c>
      <c r="K105" s="38"/>
    </row>
    <row customHeight="true" ht="20.238095238095237" r="106">
      <c r="A106" s="39" t="s">
        <v>71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customHeight="true" ht="20.238095238095237" r="107">
      <c r="A107" s="40" t="s">
        <v>57</v>
      </c>
      <c r="B107" s="40" t="s">
        <v>72</v>
      </c>
      <c r="C107" s="40" t="s">
        <v>73</v>
      </c>
      <c r="D107" s="40" t="s">
        <v>74</v>
      </c>
      <c r="E107" s="40" t="s">
        <v>75</v>
      </c>
      <c r="F107" s="40" t="s">
        <v>76</v>
      </c>
      <c r="G107" s="40" t="s">
        <v>77</v>
      </c>
      <c r="H107" s="41" t="s">
        <v>78</v>
      </c>
      <c r="I107" s="41" t="s">
        <v>79</v>
      </c>
      <c r="J107" s="41" t="s">
        <v>80</v>
      </c>
      <c r="K107" s="41" t="s">
        <v>56</v>
      </c>
    </row>
    <row customHeight="true" ht="20.238095238095237" r="108">
      <c r="A108" s="42">
        <f>SUM(D102:D104)</f>
      </c>
      <c r="B108" s="43">
        <f>SUM(E102:E104)</f>
      </c>
      <c r="C108" s="43">
        <f>B108/((K108*300)+A108)</f>
      </c>
      <c r="D108" s="44">
        <f>A108/J108</f>
      </c>
      <c r="E108" s="43">
        <f>B108/J108</f>
      </c>
      <c r="F108" s="45">
        <f>J108/I108</f>
      </c>
      <c r="G108" s="45">
        <f>H108/J108</f>
      </c>
      <c r="H108" s="46">
        <v>0</v>
      </c>
      <c r="I108" s="46">
        <v>29</v>
      </c>
      <c r="J108" s="46">
        <f>F105</f>
      </c>
      <c r="K108" s="46">
        <f>C105</f>
      </c>
    </row>
    <row customHeight="true" ht="20.238095238095237" r="109">
      <c r="A109" s="29" t="s">
        <v>96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customHeight="true" ht="20.238095238095237" r="110">
      <c r="A110" s="30" t="s">
        <v>54</v>
      </c>
      <c r="B110" s="30" t="s">
        <v>55</v>
      </c>
      <c r="C110" s="30" t="s">
        <v>56</v>
      </c>
      <c r="D110" s="30" t="s">
        <v>57</v>
      </c>
      <c r="E110" s="31" t="s">
        <v>58</v>
      </c>
      <c r="F110" s="30" t="s">
        <v>59</v>
      </c>
      <c r="G110" s="30" t="s">
        <v>60</v>
      </c>
      <c r="H110" s="30" t="s">
        <v>61</v>
      </c>
      <c r="I110" s="30" t="s">
        <v>62</v>
      </c>
      <c r="J110" s="30" t="s">
        <v>63</v>
      </c>
      <c r="K110" s="30"/>
    </row>
    <row customHeight="true" ht="20.238095238095237" r="111">
      <c r="A111" s="32" t="s">
        <v>64</v>
      </c>
      <c r="B111" s="47" t="s">
        <v>65</v>
      </c>
      <c r="C111" s="34">
        <v>4</v>
      </c>
      <c r="D111" s="37">
        <v>4663.120000000001</v>
      </c>
      <c r="E111" s="37">
        <v>13514.400000000001</v>
      </c>
      <c r="F111" s="34">
        <v>5</v>
      </c>
      <c r="G111" s="35">
        <f t="shared" ref="G111:G114" si="72">E111/F111</f>
      </c>
      <c r="H111" s="35">
        <f t="shared" ref="H111:H114" si="102">D111/F111</f>
      </c>
      <c r="I111" s="35">
        <f t="shared" ref="I111:I114" si="12">E111/D111</f>
      </c>
      <c r="J111" s="35">
        <f t="shared" ref="J111:J114" si="42">D111/C111</f>
      </c>
      <c r="K111" s="35"/>
    </row>
    <row customHeight="true" ht="20.238095238095237" r="112">
      <c r="A112" s="36" t="s">
        <v>66</v>
      </c>
      <c r="B112" s="47" t="s">
        <v>67</v>
      </c>
      <c r="C112" s="34">
        <v>4</v>
      </c>
      <c r="D112" s="34">
        <v>4098.39</v>
      </c>
      <c r="E112" s="34">
        <v>5348.400000000001</v>
      </c>
      <c r="F112" s="34">
        <v>4</v>
      </c>
      <c r="G112" s="35">
        <f t="shared" si="72"/>
      </c>
      <c r="H112" s="35">
        <f t="shared" si="102"/>
      </c>
      <c r="I112" s="35">
        <f t="shared" si="12"/>
      </c>
      <c r="J112" s="35">
        <f t="shared" si="42"/>
      </c>
      <c r="K112" s="35"/>
    </row>
    <row customHeight="true" ht="20.238095238095237" r="113">
      <c r="A113" s="36" t="s">
        <v>68</v>
      </c>
      <c r="B113" s="47" t="s">
        <v>69</v>
      </c>
      <c r="C113" s="34">
        <v>4</v>
      </c>
      <c r="D113" s="34">
        <v>6741.88</v>
      </c>
      <c r="E113" s="34">
        <v>22565.199999999997</v>
      </c>
      <c r="F113" s="34">
        <v>9</v>
      </c>
      <c r="G113" s="35">
        <f t="shared" si="72"/>
      </c>
      <c r="H113" s="35">
        <f t="shared" si="102"/>
      </c>
      <c r="I113" s="35">
        <f t="shared" si="12"/>
      </c>
      <c r="J113" s="35">
        <f t="shared" si="42"/>
      </c>
      <c r="K113" s="35"/>
    </row>
    <row customHeight="true" ht="20.238095238095237" r="114">
      <c r="A114" s="30" t="s">
        <v>70</v>
      </c>
      <c r="B114" s="30"/>
      <c r="C114" s="30">
        <f>SUM(C111:C113)</f>
      </c>
      <c r="D114" s="30">
        <f>SUM(D111:D113)</f>
      </c>
      <c r="E114" s="30">
        <f>SUM(E111:E113)</f>
      </c>
      <c r="F114" s="30">
        <f>SUM(F111:F113)</f>
      </c>
      <c r="G114" s="38">
        <f t="shared" si="72"/>
      </c>
      <c r="H114" s="38">
        <f t="shared" si="102"/>
      </c>
      <c r="I114" s="38">
        <f t="shared" si="12"/>
      </c>
      <c r="J114" s="38">
        <f t="shared" si="42"/>
      </c>
      <c r="K114" s="38"/>
    </row>
    <row customHeight="true" ht="20.238095238095237" r="115">
      <c r="A115" s="39" t="s">
        <v>71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customHeight="true" ht="20.238095238095237" r="116">
      <c r="A116" s="40" t="s">
        <v>57</v>
      </c>
      <c r="B116" s="40" t="s">
        <v>72</v>
      </c>
      <c r="C116" s="40" t="s">
        <v>73</v>
      </c>
      <c r="D116" s="40" t="s">
        <v>74</v>
      </c>
      <c r="E116" s="40" t="s">
        <v>75</v>
      </c>
      <c r="F116" s="40" t="s">
        <v>76</v>
      </c>
      <c r="G116" s="40" t="s">
        <v>77</v>
      </c>
      <c r="H116" s="41" t="s">
        <v>78</v>
      </c>
      <c r="I116" s="41" t="s">
        <v>79</v>
      </c>
      <c r="J116" s="41" t="s">
        <v>80</v>
      </c>
      <c r="K116" s="41" t="s">
        <v>56</v>
      </c>
    </row>
    <row customHeight="true" ht="20.238095238095237" r="117">
      <c r="A117" s="42">
        <f>SUM(D111:D113)</f>
      </c>
      <c r="B117" s="43">
        <f>SUM(E111:E113)</f>
      </c>
      <c r="C117" s="43">
        <f>B117/((K117*300)+A117)</f>
      </c>
      <c r="D117" s="44">
        <f>A117/J117</f>
      </c>
      <c r="E117" s="43">
        <f>B117/J117</f>
      </c>
      <c r="F117" s="45">
        <f>J117/I117</f>
      </c>
      <c r="G117" s="45">
        <f>H117/J117</f>
      </c>
      <c r="H117" s="46">
        <v>4</v>
      </c>
      <c r="I117" s="46">
        <v>25</v>
      </c>
      <c r="J117" s="46">
        <f>F114</f>
      </c>
      <c r="K117" s="46">
        <f>C114</f>
      </c>
    </row>
    <row r="118">
      <c r="A118" s="29" t="s">
        <v>97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>
      <c r="A119" s="30" t="s">
        <v>54</v>
      </c>
      <c r="B119" s="30" t="s">
        <v>55</v>
      </c>
      <c r="C119" s="30" t="s">
        <v>56</v>
      </c>
      <c r="D119" s="30" t="s">
        <v>57</v>
      </c>
      <c r="E119" s="31" t="s">
        <v>58</v>
      </c>
      <c r="F119" s="30" t="s">
        <v>59</v>
      </c>
      <c r="G119" s="30" t="s">
        <v>60</v>
      </c>
      <c r="H119" s="30" t="s">
        <v>61</v>
      </c>
      <c r="I119" s="30" t="s">
        <v>62</v>
      </c>
      <c r="J119" s="30" t="s">
        <v>63</v>
      </c>
      <c r="K119" s="30"/>
    </row>
    <row r="120">
      <c r="A120" s="32" t="s">
        <v>64</v>
      </c>
      <c r="B120" s="47" t="s">
        <v>65</v>
      </c>
      <c r="C120" s="34">
        <v>4</v>
      </c>
      <c r="D120" s="37">
        <v>4728.85</v>
      </c>
      <c r="E120" s="37">
        <v>0</v>
      </c>
      <c r="F120" s="34">
        <v>0</v>
      </c>
      <c r="G120" s="35">
        <f t="shared" ref="G120:G122" si="73">E120/F120</f>
      </c>
      <c r="H120" s="35">
        <f t="shared" ref="H120:H122" si="103">D120/F120</f>
      </c>
      <c r="I120" s="35">
        <f t="shared" ref="I120:I122" si="13">E120/D120</f>
      </c>
      <c r="J120" s="35">
        <f t="shared" ref="J120:J122" si="43">D120/C120</f>
      </c>
      <c r="K120" s="35"/>
    </row>
    <row r="121">
      <c r="A121" s="36" t="s">
        <v>90</v>
      </c>
      <c r="B121" s="47" t="s">
        <v>98</v>
      </c>
      <c r="C121" s="34">
        <v>3</v>
      </c>
      <c r="D121" s="34">
        <v>3009.83</v>
      </c>
      <c r="E121" s="34">
        <v>1119.6000000000001</v>
      </c>
      <c r="F121" s="34">
        <v>2</v>
      </c>
      <c r="G121" s="35">
        <f t="shared" si="73"/>
      </c>
      <c r="H121" s="35">
        <f t="shared" si="103"/>
      </c>
      <c r="I121" s="35">
        <f t="shared" si="13"/>
      </c>
      <c r="J121" s="35">
        <f t="shared" si="43"/>
      </c>
      <c r="K121" s="35"/>
    </row>
    <row r="122">
      <c r="A122" s="30" t="s">
        <v>70</v>
      </c>
      <c r="B122" s="30"/>
      <c r="C122" s="30">
        <f>SUM(C120:C121)</f>
      </c>
      <c r="D122" s="30">
        <f>SUM(D120:D121)</f>
      </c>
      <c r="E122" s="30">
        <f>SUM(E120:E121)</f>
      </c>
      <c r="F122" s="30">
        <f>SUM(F120:F121)</f>
      </c>
      <c r="G122" s="38">
        <f t="shared" si="73"/>
      </c>
      <c r="H122" s="38">
        <f t="shared" si="103"/>
      </c>
      <c r="I122" s="38">
        <f t="shared" si="13"/>
      </c>
      <c r="J122" s="38">
        <f t="shared" si="43"/>
      </c>
      <c r="K122" s="38"/>
    </row>
    <row r="123">
      <c r="A123" s="39" t="s">
        <v>71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>
      <c r="A124" s="40" t="s">
        <v>57</v>
      </c>
      <c r="B124" s="40" t="s">
        <v>72</v>
      </c>
      <c r="C124" s="40" t="s">
        <v>73</v>
      </c>
      <c r="D124" s="40" t="s">
        <v>74</v>
      </c>
      <c r="E124" s="40" t="s">
        <v>75</v>
      </c>
      <c r="F124" s="40" t="s">
        <v>76</v>
      </c>
      <c r="G124" s="40" t="s">
        <v>77</v>
      </c>
      <c r="H124" s="41" t="s">
        <v>78</v>
      </c>
      <c r="I124" s="41" t="s">
        <v>79</v>
      </c>
      <c r="J124" s="41" t="s">
        <v>80</v>
      </c>
      <c r="K124" s="41" t="s">
        <v>56</v>
      </c>
    </row>
    <row r="125">
      <c r="A125" s="42">
        <f>SUM(D120:D121)</f>
      </c>
      <c r="B125" s="43">
        <f>SUM(E120:E121)</f>
      </c>
      <c r="C125" s="43">
        <f>B125/((K125*300)+A125)</f>
      </c>
      <c r="D125" s="44">
        <f>A125/J125</f>
      </c>
      <c r="E125" s="43">
        <f>B125/J125</f>
      </c>
      <c r="F125" s="45">
        <f>J125/I125</f>
      </c>
      <c r="G125" s="45">
        <f>H125/J125</f>
      </c>
      <c r="H125" s="46">
        <v>1</v>
      </c>
      <c r="I125" s="46">
        <v>11</v>
      </c>
      <c r="J125" s="46">
        <f>F122</f>
      </c>
      <c r="K125" s="46">
        <f>C122</f>
      </c>
    </row>
    <row r="126">
      <c r="A126" s="29" t="s">
        <v>99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>
      <c r="A127" s="30" t="s">
        <v>54</v>
      </c>
      <c r="B127" s="30" t="s">
        <v>55</v>
      </c>
      <c r="C127" s="30" t="s">
        <v>56</v>
      </c>
      <c r="D127" s="30" t="s">
        <v>57</v>
      </c>
      <c r="E127" s="31" t="s">
        <v>58</v>
      </c>
      <c r="F127" s="30" t="s">
        <v>59</v>
      </c>
      <c r="G127" s="30" t="s">
        <v>60</v>
      </c>
      <c r="H127" s="30" t="s">
        <v>61</v>
      </c>
      <c r="I127" s="30" t="s">
        <v>62</v>
      </c>
      <c r="J127" s="30" t="s">
        <v>63</v>
      </c>
      <c r="K127" s="30"/>
    </row>
    <row r="128">
      <c r="A128" s="32" t="s">
        <v>68</v>
      </c>
      <c r="B128" s="47" t="s">
        <v>100</v>
      </c>
      <c r="C128" s="34">
        <v>3</v>
      </c>
      <c r="D128" s="37">
        <v>3806.73</v>
      </c>
      <c r="E128" s="37">
        <v>6441.6</v>
      </c>
      <c r="F128" s="34">
        <v>5</v>
      </c>
      <c r="G128" s="35">
        <f t="shared" ref="G128:G131" si="74">E128/F128</f>
      </c>
      <c r="H128" s="35">
        <f t="shared" ref="H128:H131" si="104">D128/F128</f>
      </c>
      <c r="I128" s="35">
        <f t="shared" ref="I128:I131" si="14">E128/D128</f>
      </c>
      <c r="J128" s="35">
        <f t="shared" ref="J128:J131" si="44">D128/C128</f>
      </c>
      <c r="K128" s="35"/>
    </row>
    <row r="129">
      <c r="A129" s="36" t="s">
        <v>90</v>
      </c>
      <c r="B129" s="47" t="s">
        <v>101</v>
      </c>
      <c r="C129" s="34">
        <v>4</v>
      </c>
      <c r="D129" s="34">
        <v>4843.25</v>
      </c>
      <c r="E129" s="34">
        <v>879.5999999999999</v>
      </c>
      <c r="F129" s="34">
        <v>1</v>
      </c>
      <c r="G129" s="35">
        <f t="shared" si="74"/>
      </c>
      <c r="H129" s="35">
        <f t="shared" si="104"/>
      </c>
      <c r="I129" s="35">
        <f t="shared" si="14"/>
      </c>
      <c r="J129" s="35">
        <f t="shared" si="44"/>
      </c>
      <c r="K129" s="35"/>
    </row>
    <row r="130">
      <c r="A130" s="36" t="s">
        <v>66</v>
      </c>
      <c r="B130" s="47" t="s">
        <v>92</v>
      </c>
      <c r="C130" s="34">
        <v>5</v>
      </c>
      <c r="D130" s="34">
        <v>5951.58</v>
      </c>
      <c r="E130" s="34">
        <v>9743.2</v>
      </c>
      <c r="F130" s="34">
        <v>6</v>
      </c>
      <c r="G130" s="35">
        <f t="shared" si="74"/>
      </c>
      <c r="H130" s="35">
        <f t="shared" si="104"/>
      </c>
      <c r="I130" s="35">
        <f t="shared" si="14"/>
      </c>
      <c r="J130" s="35">
        <f t="shared" si="44"/>
      </c>
      <c r="K130" s="35"/>
    </row>
    <row r="131">
      <c r="A131" s="30" t="s">
        <v>70</v>
      </c>
      <c r="B131" s="30"/>
      <c r="C131" s="30">
        <f>SUM(C128:C130)</f>
      </c>
      <c r="D131" s="30">
        <f>SUM(D128:D130)</f>
      </c>
      <c r="E131" s="30">
        <f>SUM(E128:E130)</f>
      </c>
      <c r="F131" s="30">
        <f>SUM(F128:F130)</f>
      </c>
      <c r="G131" s="38">
        <f t="shared" si="74"/>
      </c>
      <c r="H131" s="38">
        <f t="shared" si="104"/>
      </c>
      <c r="I131" s="38">
        <f t="shared" si="14"/>
      </c>
      <c r="J131" s="38">
        <f t="shared" si="44"/>
      </c>
      <c r="K131" s="38"/>
    </row>
    <row r="132">
      <c r="A132" s="39" t="s">
        <v>71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>
      <c r="A133" s="40" t="s">
        <v>57</v>
      </c>
      <c r="B133" s="40" t="s">
        <v>72</v>
      </c>
      <c r="C133" s="40" t="s">
        <v>73</v>
      </c>
      <c r="D133" s="40" t="s">
        <v>74</v>
      </c>
      <c r="E133" s="40" t="s">
        <v>75</v>
      </c>
      <c r="F133" s="40" t="s">
        <v>76</v>
      </c>
      <c r="G133" s="40" t="s">
        <v>77</v>
      </c>
      <c r="H133" s="41" t="s">
        <v>78</v>
      </c>
      <c r="I133" s="41" t="s">
        <v>79</v>
      </c>
      <c r="J133" s="41" t="s">
        <v>80</v>
      </c>
      <c r="K133" s="41" t="s">
        <v>56</v>
      </c>
    </row>
    <row r="134">
      <c r="A134" s="42">
        <f>SUM(D128:D130)</f>
      </c>
      <c r="B134" s="43">
        <f>SUM(E128:E130)</f>
      </c>
      <c r="C134" s="43">
        <f>B134/((K134*300)+A134)</f>
      </c>
      <c r="D134" s="44">
        <f>A134/J134</f>
      </c>
      <c r="E134" s="43">
        <f>B134/J134</f>
      </c>
      <c r="F134" s="45">
        <f>J134/I134</f>
      </c>
      <c r="G134" s="45">
        <f>H134/J134</f>
      </c>
      <c r="H134" s="46">
        <v>0</v>
      </c>
      <c r="I134" s="46">
        <v>23</v>
      </c>
      <c r="J134" s="46">
        <f>F131</f>
      </c>
      <c r="K134" s="46">
        <f>C131</f>
      </c>
    </row>
    <row r="135">
      <c r="A135" s="29" t="s">
        <v>102</v>
      </c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9"/>
      <c r="M135" s="49"/>
      <c r="N135" s="49"/>
      <c r="O135" s="49"/>
      <c r="P135" s="49"/>
      <c r="Q135" s="49"/>
      <c r="R135" s="49"/>
      <c r="S135" s="49"/>
      <c r="T135" s="49"/>
    </row>
    <row r="136">
      <c r="A136" s="30" t="s">
        <v>54</v>
      </c>
      <c r="B136" s="30" t="s">
        <v>55</v>
      </c>
      <c r="C136" s="30" t="s">
        <v>56</v>
      </c>
      <c r="D136" s="30" t="s">
        <v>57</v>
      </c>
      <c r="E136" s="31" t="s">
        <v>58</v>
      </c>
      <c r="F136" s="30" t="s">
        <v>59</v>
      </c>
      <c r="G136" s="30" t="s">
        <v>60</v>
      </c>
      <c r="H136" s="30" t="s">
        <v>61</v>
      </c>
      <c r="I136" s="30" t="s">
        <v>62</v>
      </c>
      <c r="J136" s="30" t="s">
        <v>63</v>
      </c>
      <c r="K136" s="30"/>
      <c r="L136" s="49"/>
      <c r="M136" s="49"/>
      <c r="N136" s="49"/>
      <c r="O136" s="49"/>
      <c r="P136" s="49"/>
      <c r="Q136" s="49"/>
      <c r="R136" s="49"/>
      <c r="S136" s="49"/>
      <c r="T136" s="49"/>
    </row>
    <row r="137">
      <c r="A137" s="36" t="s">
        <v>64</v>
      </c>
      <c r="B137" s="47" t="s">
        <v>103</v>
      </c>
      <c r="C137" s="34">
        <v>6</v>
      </c>
      <c r="D137" s="50">
        <v>5055.099999999999</v>
      </c>
      <c r="E137" s="50">
        <v>4878</v>
      </c>
      <c r="F137" s="34">
        <v>1</v>
      </c>
      <c r="G137" s="35">
        <f t="shared" ref="G137:G139" si="75">E137/F137</f>
      </c>
      <c r="H137" s="35">
        <f t="shared" ref="H137:H139" si="105">D137/F137</f>
      </c>
      <c r="I137" s="35">
        <f t="shared" ref="I137:I139" si="15">E137/D137</f>
      </c>
      <c r="J137" s="35">
        <f t="shared" ref="J137:J139" si="45">D137/C137</f>
      </c>
      <c r="K137" s="35"/>
      <c r="L137" s="49"/>
      <c r="M137" s="49"/>
      <c r="N137" s="49"/>
      <c r="O137" s="49"/>
      <c r="P137" s="49"/>
      <c r="Q137" s="49"/>
      <c r="R137" s="49"/>
      <c r="S137" s="49"/>
      <c r="T137" s="49"/>
    </row>
    <row r="138">
      <c r="A138" s="36" t="s">
        <v>66</v>
      </c>
      <c r="B138" s="47" t="s">
        <v>104</v>
      </c>
      <c r="C138" s="34">
        <v>6</v>
      </c>
      <c r="D138" s="51">
        <v>11128.220000000001</v>
      </c>
      <c r="E138" s="51">
        <v>19597.6</v>
      </c>
      <c r="F138" s="34">
        <v>10</v>
      </c>
      <c r="G138" s="35">
        <f t="shared" si="75"/>
      </c>
      <c r="H138" s="35">
        <f t="shared" si="105"/>
      </c>
      <c r="I138" s="35">
        <f t="shared" si="15"/>
      </c>
      <c r="J138" s="35">
        <f t="shared" si="45"/>
      </c>
      <c r="K138" s="35"/>
      <c r="L138" s="49"/>
      <c r="M138" s="49"/>
      <c r="N138" s="49"/>
      <c r="O138" s="49"/>
      <c r="P138" s="49"/>
      <c r="Q138" s="49"/>
      <c r="R138" s="49"/>
      <c r="S138" s="49"/>
      <c r="T138" s="49"/>
    </row>
    <row r="139">
      <c r="A139" s="30" t="s">
        <v>70</v>
      </c>
      <c r="B139" s="30"/>
      <c r="C139" s="30">
        <f>SUM(C137:C138)</f>
      </c>
      <c r="D139" s="30">
        <f>SUM(D137:D138)</f>
      </c>
      <c r="E139" s="30">
        <f>SUM(E137:E138)</f>
      </c>
      <c r="F139" s="30">
        <f>SUM(F137:F138)</f>
      </c>
      <c r="G139" s="38">
        <f t="shared" si="75"/>
      </c>
      <c r="H139" s="38">
        <f t="shared" si="105"/>
      </c>
      <c r="I139" s="38">
        <f t="shared" si="15"/>
      </c>
      <c r="J139" s="38">
        <f t="shared" si="45"/>
      </c>
      <c r="K139" s="38"/>
      <c r="L139" s="49"/>
      <c r="M139" s="49"/>
      <c r="N139" s="49"/>
      <c r="O139" s="49"/>
      <c r="P139" s="49"/>
      <c r="Q139" s="49"/>
      <c r="R139" s="49"/>
      <c r="S139" s="49"/>
      <c r="T139" s="49"/>
    </row>
    <row r="140">
      <c r="A140" s="39" t="s">
        <v>71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49"/>
      <c r="M140" s="49"/>
      <c r="N140" s="49"/>
      <c r="O140" s="49"/>
      <c r="P140" s="49"/>
      <c r="Q140" s="49"/>
      <c r="R140" s="49"/>
      <c r="S140" s="49"/>
      <c r="T140" s="49"/>
    </row>
    <row r="141">
      <c r="A141" s="40" t="s">
        <v>57</v>
      </c>
      <c r="B141" s="40" t="s">
        <v>72</v>
      </c>
      <c r="C141" s="40" t="s">
        <v>73</v>
      </c>
      <c r="D141" s="40" t="s">
        <v>74</v>
      </c>
      <c r="E141" s="40" t="s">
        <v>75</v>
      </c>
      <c r="F141" s="40" t="s">
        <v>76</v>
      </c>
      <c r="G141" s="40" t="s">
        <v>77</v>
      </c>
      <c r="H141" s="41" t="s">
        <v>78</v>
      </c>
      <c r="I141" s="41" t="s">
        <v>79</v>
      </c>
      <c r="J141" s="41" t="s">
        <v>80</v>
      </c>
      <c r="K141" s="41" t="s">
        <v>56</v>
      </c>
      <c r="L141" s="49"/>
      <c r="M141" s="49"/>
      <c r="N141" s="49"/>
      <c r="O141" s="49"/>
      <c r="P141" s="49"/>
      <c r="Q141" s="49"/>
      <c r="R141" s="49"/>
      <c r="S141" s="49"/>
      <c r="T141" s="49"/>
    </row>
    <row r="142">
      <c r="A142" s="42">
        <f>SUM(D137:D138)</f>
      </c>
      <c r="B142" s="43">
        <f>SUM(E137:E138)</f>
      </c>
      <c r="C142" s="43">
        <f>B142/((K142*300)+A142)</f>
      </c>
      <c r="D142" s="44">
        <f>A142/J142</f>
      </c>
      <c r="E142" s="43">
        <f>B142/J142</f>
      </c>
      <c r="F142" s="45">
        <f>J142/I142</f>
      </c>
      <c r="G142" s="45">
        <f>H142/J142</f>
      </c>
      <c r="H142" s="46">
        <v>2</v>
      </c>
      <c r="I142" s="46">
        <v>22</v>
      </c>
      <c r="J142" s="52">
        <f>F139</f>
      </c>
      <c r="K142" s="52">
        <f>C139</f>
      </c>
      <c r="L142" s="49"/>
      <c r="M142" s="49"/>
      <c r="N142" s="49"/>
      <c r="O142" s="49"/>
      <c r="P142" s="49"/>
      <c r="Q142" s="49"/>
      <c r="R142" s="49"/>
      <c r="S142" s="49"/>
      <c r="T142" s="49"/>
    </row>
    <row r="143">
      <c r="A143" s="29" t="s">
        <v>105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49"/>
      <c r="M143" s="49"/>
      <c r="N143" s="49"/>
      <c r="O143" s="49"/>
      <c r="P143" s="49"/>
      <c r="Q143" s="49"/>
      <c r="R143" s="49"/>
      <c r="S143" s="49"/>
      <c r="T143" s="49"/>
    </row>
    <row r="144">
      <c r="A144" s="30" t="s">
        <v>54</v>
      </c>
      <c r="B144" s="30" t="s">
        <v>55</v>
      </c>
      <c r="C144" s="30" t="s">
        <v>56</v>
      </c>
      <c r="D144" s="30" t="s">
        <v>57</v>
      </c>
      <c r="E144" s="31" t="s">
        <v>58</v>
      </c>
      <c r="F144" s="30" t="s">
        <v>59</v>
      </c>
      <c r="G144" s="30" t="s">
        <v>60</v>
      </c>
      <c r="H144" s="30" t="s">
        <v>61</v>
      </c>
      <c r="I144" s="30" t="s">
        <v>62</v>
      </c>
      <c r="J144" s="30" t="s">
        <v>63</v>
      </c>
      <c r="K144" s="30"/>
      <c r="L144" s="49"/>
      <c r="M144" s="49"/>
      <c r="N144" s="49"/>
      <c r="O144" s="49"/>
      <c r="P144" s="49"/>
      <c r="Q144" s="49"/>
      <c r="R144" s="49"/>
      <c r="S144" s="49"/>
      <c r="T144" s="49"/>
    </row>
    <row r="145">
      <c r="A145" s="36" t="s">
        <v>64</v>
      </c>
      <c r="B145" s="47" t="s">
        <v>103</v>
      </c>
      <c r="C145" s="34">
        <v>6</v>
      </c>
      <c r="D145" s="50">
        <v>5293.499999999999</v>
      </c>
      <c r="E145" s="53">
        <v>1263</v>
      </c>
      <c r="F145" s="34">
        <v>1</v>
      </c>
      <c r="G145" s="35">
        <f t="shared" ref="G145:G147" si="76">E145/F145</f>
      </c>
      <c r="H145" s="35">
        <f t="shared" ref="H145:H147" si="106">D145/F145</f>
      </c>
      <c r="I145" s="35">
        <f t="shared" ref="I145:I147" si="16">E145/D145</f>
      </c>
      <c r="J145" s="35">
        <f t="shared" ref="J145:J147" si="46">D145/C145</f>
      </c>
      <c r="K145" s="35"/>
      <c r="L145" s="49"/>
      <c r="M145" s="49"/>
      <c r="N145" s="49"/>
      <c r="O145" s="49"/>
      <c r="P145" s="49"/>
      <c r="Q145" s="49"/>
      <c r="R145" s="49"/>
      <c r="S145" s="49"/>
      <c r="T145" s="49"/>
    </row>
    <row r="146">
      <c r="A146" s="36" t="s">
        <v>66</v>
      </c>
      <c r="B146" s="47" t="s">
        <v>106</v>
      </c>
      <c r="C146" s="34">
        <v>3</v>
      </c>
      <c r="D146" s="51">
        <v>2448.1600000000008</v>
      </c>
      <c r="E146" s="34">
        <v>0</v>
      </c>
      <c r="F146" s="34">
        <v>0</v>
      </c>
      <c r="G146" s="35">
        <f t="shared" si="76"/>
      </c>
      <c r="H146" s="35">
        <f t="shared" si="106"/>
      </c>
      <c r="I146" s="35">
        <f t="shared" si="16"/>
      </c>
      <c r="J146" s="35">
        <f t="shared" si="46"/>
      </c>
      <c r="K146" s="35"/>
      <c r="L146" s="49"/>
      <c r="M146" s="49"/>
      <c r="N146" s="49"/>
      <c r="O146" s="49"/>
      <c r="P146" s="49"/>
      <c r="Q146" s="49"/>
      <c r="R146" s="49"/>
      <c r="S146" s="49"/>
      <c r="T146" s="49"/>
    </row>
    <row r="147">
      <c r="A147" s="30" t="s">
        <v>70</v>
      </c>
      <c r="B147" s="30"/>
      <c r="C147" s="30">
        <f>SUM(C145:C146)</f>
      </c>
      <c r="D147" s="30">
        <f>SUM(D145:D146)</f>
      </c>
      <c r="E147" s="30">
        <f>SUM(E145:E146)</f>
      </c>
      <c r="F147" s="30">
        <f>SUM(F145:F146)</f>
      </c>
      <c r="G147" s="38">
        <f t="shared" si="76"/>
      </c>
      <c r="H147" s="38">
        <f t="shared" si="106"/>
      </c>
      <c r="I147" s="38">
        <f t="shared" si="16"/>
      </c>
      <c r="J147" s="38">
        <f t="shared" si="46"/>
      </c>
      <c r="K147" s="38"/>
      <c r="L147" s="49"/>
      <c r="M147" s="49"/>
      <c r="N147" s="49"/>
      <c r="O147" s="49"/>
      <c r="P147" s="49"/>
      <c r="Q147" s="49"/>
      <c r="R147" s="49"/>
      <c r="S147" s="49"/>
      <c r="T147" s="49"/>
    </row>
    <row r="148">
      <c r="A148" s="39" t="s">
        <v>71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49"/>
      <c r="M148" s="49"/>
      <c r="N148" s="49"/>
      <c r="O148" s="49"/>
      <c r="P148" s="49"/>
      <c r="Q148" s="49"/>
      <c r="R148" s="49"/>
      <c r="S148" s="49"/>
      <c r="T148" s="49"/>
    </row>
    <row r="149">
      <c r="A149" s="40" t="s">
        <v>57</v>
      </c>
      <c r="B149" s="40" t="s">
        <v>72</v>
      </c>
      <c r="C149" s="40" t="s">
        <v>73</v>
      </c>
      <c r="D149" s="40" t="s">
        <v>74</v>
      </c>
      <c r="E149" s="40" t="s">
        <v>75</v>
      </c>
      <c r="F149" s="40" t="s">
        <v>76</v>
      </c>
      <c r="G149" s="40" t="s">
        <v>77</v>
      </c>
      <c r="H149" s="41" t="s">
        <v>78</v>
      </c>
      <c r="I149" s="41" t="s">
        <v>79</v>
      </c>
      <c r="J149" s="41" t="s">
        <v>80</v>
      </c>
      <c r="K149" s="41" t="s">
        <v>56</v>
      </c>
      <c r="L149" s="49"/>
      <c r="M149" s="49"/>
      <c r="N149" s="49"/>
      <c r="O149" s="49"/>
      <c r="P149" s="49"/>
      <c r="Q149" s="49"/>
      <c r="R149" s="49"/>
      <c r="S149" s="49"/>
      <c r="T149" s="49"/>
    </row>
    <row r="150">
      <c r="A150" s="42">
        <f>SUM(D145:D146)</f>
      </c>
      <c r="B150" s="43">
        <f>SUM(E145:E146)</f>
      </c>
      <c r="C150" s="43">
        <f>B150/((K150*300)+A150)</f>
      </c>
      <c r="D150" s="44">
        <f>A150/J150</f>
      </c>
      <c r="E150" s="43">
        <f>B150/J150</f>
      </c>
      <c r="F150" s="45">
        <f>J150/I150</f>
      </c>
      <c r="G150" s="45">
        <f>H150/J150</f>
      </c>
      <c r="H150" s="46">
        <v>0</v>
      </c>
      <c r="I150" s="46">
        <v>6</v>
      </c>
      <c r="J150" s="52">
        <f>F147</f>
      </c>
      <c r="K150" s="52">
        <f>C147</f>
      </c>
      <c r="L150" s="49"/>
      <c r="M150" s="49"/>
      <c r="N150" s="49"/>
      <c r="O150" s="49"/>
      <c r="P150" s="49"/>
      <c r="Q150" s="49"/>
      <c r="R150" s="49"/>
      <c r="S150" s="49"/>
      <c r="T150" s="49"/>
    </row>
    <row r="151">
      <c r="A151" s="29" t="s">
        <v>107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49"/>
      <c r="M151" s="49"/>
      <c r="N151" s="49"/>
      <c r="O151" s="49"/>
      <c r="P151" s="49"/>
      <c r="Q151" s="49"/>
      <c r="R151" s="49"/>
      <c r="S151" s="49"/>
      <c r="T151" s="49"/>
    </row>
    <row r="152">
      <c r="A152" s="30" t="s">
        <v>54</v>
      </c>
      <c r="B152" s="30" t="s">
        <v>55</v>
      </c>
      <c r="C152" s="30" t="s">
        <v>56</v>
      </c>
      <c r="D152" s="30" t="s">
        <v>57</v>
      </c>
      <c r="E152" s="31" t="s">
        <v>58</v>
      </c>
      <c r="F152" s="30" t="s">
        <v>59</v>
      </c>
      <c r="G152" s="30" t="s">
        <v>60</v>
      </c>
      <c r="H152" s="30" t="s">
        <v>61</v>
      </c>
      <c r="I152" s="30" t="s">
        <v>62</v>
      </c>
      <c r="J152" s="30" t="s">
        <v>63</v>
      </c>
      <c r="K152" s="30"/>
      <c r="L152" s="49"/>
      <c r="M152" s="49"/>
      <c r="N152" s="49"/>
      <c r="O152" s="49"/>
      <c r="P152" s="49"/>
      <c r="Q152" s="49"/>
      <c r="R152" s="49"/>
      <c r="S152" s="49"/>
      <c r="T152" s="49"/>
    </row>
    <row r="153">
      <c r="A153" s="36" t="s">
        <v>66</v>
      </c>
      <c r="B153" s="47" t="s">
        <v>103</v>
      </c>
      <c r="C153" s="34">
        <v>6</v>
      </c>
      <c r="D153" s="50">
        <v>6724.3</v>
      </c>
      <c r="E153" s="53">
        <v>18433</v>
      </c>
      <c r="F153" s="34">
        <v>11</v>
      </c>
      <c r="G153" s="35">
        <f t="shared" ref="G153:G155" si="77">E153/F153</f>
      </c>
      <c r="H153" s="35">
        <f t="shared" ref="H153:H155" si="107">D153/F153</f>
      </c>
      <c r="I153" s="35">
        <f t="shared" ref="I153:I155" si="17">E153/D153</f>
      </c>
      <c r="J153" s="35">
        <f t="shared" ref="J153:J155" si="47">D153/C153</f>
      </c>
      <c r="K153" s="35"/>
      <c r="L153" s="49"/>
      <c r="M153" s="49"/>
      <c r="N153" s="49"/>
      <c r="O153" s="49"/>
      <c r="P153" s="49"/>
      <c r="Q153" s="49"/>
      <c r="R153" s="49"/>
      <c r="S153" s="49"/>
      <c r="T153" s="49"/>
    </row>
    <row r="154">
      <c r="A154" s="36" t="s">
        <v>64</v>
      </c>
      <c r="B154" s="47" t="s">
        <v>104</v>
      </c>
      <c r="C154" s="34">
        <v>6</v>
      </c>
      <c r="D154" s="51">
        <v>12843.929999999997</v>
      </c>
      <c r="E154" s="34">
        <v>11105.8</v>
      </c>
      <c r="F154" s="34">
        <v>7</v>
      </c>
      <c r="G154" s="35">
        <f t="shared" si="77"/>
      </c>
      <c r="H154" s="35">
        <f t="shared" si="107"/>
      </c>
      <c r="I154" s="35">
        <f t="shared" si="17"/>
      </c>
      <c r="J154" s="35">
        <f t="shared" si="47"/>
      </c>
      <c r="K154" s="35"/>
      <c r="L154" s="49"/>
      <c r="M154" s="49"/>
      <c r="N154" s="49"/>
      <c r="O154" s="49"/>
      <c r="P154" s="49"/>
      <c r="Q154" s="49"/>
      <c r="R154" s="49"/>
      <c r="S154" s="49"/>
      <c r="T154" s="49"/>
    </row>
    <row r="155">
      <c r="A155" s="30" t="s">
        <v>70</v>
      </c>
      <c r="B155" s="30"/>
      <c r="C155" s="30">
        <f>SUM(C153:C154)</f>
      </c>
      <c r="D155" s="30">
        <f>SUM(D153:D154)</f>
      </c>
      <c r="E155" s="30">
        <f>SUM(E153:E154)</f>
      </c>
      <c r="F155" s="30">
        <f>SUM(F153:F154)</f>
      </c>
      <c r="G155" s="38">
        <f t="shared" si="77"/>
      </c>
      <c r="H155" s="38">
        <f t="shared" si="107"/>
      </c>
      <c r="I155" s="38">
        <f t="shared" si="17"/>
      </c>
      <c r="J155" s="38">
        <f t="shared" si="47"/>
      </c>
      <c r="K155" s="38"/>
      <c r="L155" s="49"/>
      <c r="M155" s="49"/>
      <c r="N155" s="49"/>
      <c r="O155" s="49"/>
      <c r="P155" s="49"/>
      <c r="Q155" s="49"/>
      <c r="R155" s="49"/>
      <c r="S155" s="49"/>
      <c r="T155" s="49"/>
    </row>
    <row r="156">
      <c r="A156" s="39" t="s">
        <v>71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49"/>
      <c r="M156" s="49"/>
      <c r="N156" s="49"/>
      <c r="O156" s="49"/>
      <c r="P156" s="49"/>
      <c r="Q156" s="49"/>
      <c r="R156" s="49"/>
      <c r="S156" s="49"/>
      <c r="T156" s="49"/>
    </row>
    <row r="157">
      <c r="A157" s="40" t="s">
        <v>57</v>
      </c>
      <c r="B157" s="40" t="s">
        <v>72</v>
      </c>
      <c r="C157" s="40" t="s">
        <v>73</v>
      </c>
      <c r="D157" s="40" t="s">
        <v>74</v>
      </c>
      <c r="E157" s="40" t="s">
        <v>75</v>
      </c>
      <c r="F157" s="40" t="s">
        <v>76</v>
      </c>
      <c r="G157" s="40" t="s">
        <v>77</v>
      </c>
      <c r="H157" s="41" t="s">
        <v>78</v>
      </c>
      <c r="I157" s="41" t="s">
        <v>79</v>
      </c>
      <c r="J157" s="41" t="s">
        <v>80</v>
      </c>
      <c r="K157" s="41" t="s">
        <v>56</v>
      </c>
      <c r="L157" s="49"/>
      <c r="M157" s="49"/>
      <c r="N157" s="49"/>
      <c r="O157" s="49"/>
      <c r="P157" s="49"/>
      <c r="Q157" s="49"/>
      <c r="R157" s="49"/>
      <c r="S157" s="49"/>
      <c r="T157" s="49"/>
    </row>
    <row r="158">
      <c r="A158" s="42">
        <f>SUM(D153:D154)</f>
      </c>
      <c r="B158" s="43">
        <f>SUM(E153:E154)</f>
      </c>
      <c r="C158" s="43">
        <f>B158/((K158*300)+A158)</f>
      </c>
      <c r="D158" s="44">
        <f>A158/J158</f>
      </c>
      <c r="E158" s="43">
        <f>B158/J158</f>
      </c>
      <c r="F158" s="45">
        <f>J158/I158</f>
      </c>
      <c r="G158" s="45">
        <f>H158/J158</f>
      </c>
      <c r="H158" s="46">
        <v>2</v>
      </c>
      <c r="I158" s="46">
        <v>38</v>
      </c>
      <c r="J158" s="52">
        <f>F155</f>
      </c>
      <c r="K158" s="52">
        <f>C155</f>
      </c>
      <c r="L158" s="49"/>
      <c r="M158" s="49"/>
      <c r="N158" s="49"/>
      <c r="O158" s="49"/>
      <c r="P158" s="49"/>
      <c r="Q158" s="49"/>
      <c r="R158" s="49"/>
      <c r="S158" s="49"/>
      <c r="T158" s="49"/>
    </row>
    <row customHeight="true" ht="16.071428571428573" r="159">
      <c r="A159" s="29" t="s">
        <v>108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49"/>
      <c r="M159" s="49"/>
      <c r="N159" s="49"/>
      <c r="O159" s="49"/>
      <c r="P159" s="49"/>
      <c r="Q159" s="49"/>
      <c r="R159" s="49"/>
      <c r="S159" s="49"/>
      <c r="T159" s="49"/>
    </row>
    <row customHeight="true" ht="16.071428571428573" r="160">
      <c r="A160" s="30" t="s">
        <v>54</v>
      </c>
      <c r="B160" s="30" t="s">
        <v>55</v>
      </c>
      <c r="C160" s="30" t="s">
        <v>56</v>
      </c>
      <c r="D160" s="30" t="s">
        <v>57</v>
      </c>
      <c r="E160" s="31" t="s">
        <v>58</v>
      </c>
      <c r="F160" s="30" t="s">
        <v>59</v>
      </c>
      <c r="G160" s="30" t="s">
        <v>60</v>
      </c>
      <c r="H160" s="30" t="s">
        <v>61</v>
      </c>
      <c r="I160" s="30" t="s">
        <v>62</v>
      </c>
      <c r="J160" s="30" t="s">
        <v>63</v>
      </c>
      <c r="K160" s="30"/>
      <c r="L160" s="49"/>
      <c r="M160" s="49"/>
      <c r="N160" s="49"/>
      <c r="O160" s="49"/>
      <c r="P160" s="49"/>
      <c r="Q160" s="49"/>
      <c r="R160" s="49"/>
      <c r="S160" s="49"/>
      <c r="T160" s="49"/>
    </row>
    <row customHeight="true" ht="16.071428571428573" r="161">
      <c r="A161" s="36" t="s">
        <v>66</v>
      </c>
      <c r="B161" s="47" t="s">
        <v>89</v>
      </c>
      <c r="C161" s="34">
        <v>5</v>
      </c>
      <c r="D161" s="50">
        <v>3405.56</v>
      </c>
      <c r="E161" s="53">
        <v>2533.2</v>
      </c>
      <c r="F161" s="34">
        <v>3</v>
      </c>
      <c r="G161" s="35">
        <f t="shared" ref="G161:G164" si="78">E161/F161</f>
      </c>
      <c r="H161" s="35">
        <f t="shared" ref="H161:H164" si="108">D161/F161</f>
      </c>
      <c r="I161" s="35">
        <f t="shared" ref="I161:I164" si="18">E161/D161</f>
      </c>
      <c r="J161" s="35">
        <f t="shared" ref="J161:J164" si="48">D161/C161</f>
      </c>
      <c r="K161" s="35"/>
      <c r="L161" s="49"/>
      <c r="M161" s="49"/>
      <c r="N161" s="49"/>
      <c r="O161" s="49"/>
      <c r="P161" s="49"/>
      <c r="Q161" s="49"/>
      <c r="R161" s="49"/>
      <c r="S161" s="49"/>
      <c r="T161" s="49"/>
    </row>
    <row customHeight="true" ht="16.071428571428573" r="162">
      <c r="A162" s="36" t="s">
        <v>90</v>
      </c>
      <c r="B162" s="47" t="s">
        <v>91</v>
      </c>
      <c r="C162" s="34">
        <v>2</v>
      </c>
      <c r="D162" s="50">
        <v>1641.7400000000002</v>
      </c>
      <c r="E162" s="54">
        <v>0</v>
      </c>
      <c r="F162" s="34">
        <v>0</v>
      </c>
      <c r="G162" s="35">
        <f t="shared" si="78"/>
      </c>
      <c r="H162" s="35">
        <f t="shared" si="108"/>
      </c>
      <c r="I162" s="35">
        <f t="shared" si="18"/>
      </c>
      <c r="J162" s="35">
        <f t="shared" si="48"/>
      </c>
      <c r="K162" s="35"/>
      <c r="L162" s="49"/>
      <c r="M162" s="49"/>
      <c r="N162" s="49"/>
      <c r="O162" s="49"/>
      <c r="P162" s="49"/>
      <c r="Q162" s="49"/>
      <c r="R162" s="49"/>
      <c r="S162" s="49"/>
      <c r="T162" s="49"/>
    </row>
    <row customHeight="true" ht="16.071428571428573" r="163">
      <c r="A163" s="36" t="s">
        <v>64</v>
      </c>
      <c r="B163" s="47" t="s">
        <v>109</v>
      </c>
      <c r="C163" s="34">
        <v>3</v>
      </c>
      <c r="D163" s="51">
        <v>2987.63</v>
      </c>
      <c r="E163" s="34">
        <v>1329.6</v>
      </c>
      <c r="F163" s="34">
        <v>2</v>
      </c>
      <c r="G163" s="35">
        <f t="shared" si="78"/>
      </c>
      <c r="H163" s="35">
        <f t="shared" si="108"/>
      </c>
      <c r="I163" s="35">
        <f t="shared" si="18"/>
      </c>
      <c r="J163" s="35">
        <f t="shared" si="48"/>
      </c>
      <c r="K163" s="35"/>
      <c r="L163" s="49"/>
      <c r="M163" s="49"/>
      <c r="N163" s="49"/>
      <c r="O163" s="49"/>
      <c r="P163" s="49"/>
      <c r="Q163" s="49"/>
      <c r="R163" s="49"/>
      <c r="S163" s="49"/>
      <c r="T163" s="49"/>
    </row>
    <row customHeight="true" ht="16.071428571428573" r="164">
      <c r="A164" s="30" t="s">
        <v>70</v>
      </c>
      <c r="B164" s="30"/>
      <c r="C164" s="30">
        <f>SUM(C161:C163)</f>
      </c>
      <c r="D164" s="30">
        <f>SUM(D161:D163)</f>
      </c>
      <c r="E164" s="30">
        <f>SUM(E161:E163)</f>
      </c>
      <c r="F164" s="30">
        <f>SUM(F161:F163)</f>
      </c>
      <c r="G164" s="38">
        <f t="shared" si="78"/>
      </c>
      <c r="H164" s="38">
        <f t="shared" si="108"/>
      </c>
      <c r="I164" s="38">
        <f t="shared" si="18"/>
      </c>
      <c r="J164" s="38">
        <f t="shared" si="48"/>
      </c>
      <c r="K164" s="38"/>
      <c r="L164" s="49"/>
      <c r="M164" s="49"/>
      <c r="N164" s="49"/>
      <c r="O164" s="49"/>
      <c r="P164" s="49"/>
      <c r="Q164" s="49"/>
      <c r="R164" s="49"/>
      <c r="S164" s="49"/>
      <c r="T164" s="49"/>
    </row>
    <row customHeight="true" ht="16.071428571428573" r="165">
      <c r="A165" s="39" t="s">
        <v>71</v>
      </c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49"/>
      <c r="M165" s="49"/>
      <c r="N165" s="49"/>
      <c r="O165" s="49"/>
      <c r="P165" s="49"/>
      <c r="Q165" s="49"/>
      <c r="R165" s="49"/>
      <c r="S165" s="49"/>
      <c r="T165" s="49"/>
    </row>
    <row customHeight="true" ht="16.071428571428573" r="166">
      <c r="A166" s="40" t="s">
        <v>57</v>
      </c>
      <c r="B166" s="40" t="s">
        <v>72</v>
      </c>
      <c r="C166" s="40" t="s">
        <v>73</v>
      </c>
      <c r="D166" s="40" t="s">
        <v>74</v>
      </c>
      <c r="E166" s="40" t="s">
        <v>75</v>
      </c>
      <c r="F166" s="40" t="s">
        <v>76</v>
      </c>
      <c r="G166" s="40" t="s">
        <v>77</v>
      </c>
      <c r="H166" s="41" t="s">
        <v>78</v>
      </c>
      <c r="I166" s="41" t="s">
        <v>79</v>
      </c>
      <c r="J166" s="41" t="s">
        <v>80</v>
      </c>
      <c r="K166" s="41" t="s">
        <v>56</v>
      </c>
      <c r="L166" s="49"/>
      <c r="M166" s="49"/>
      <c r="N166" s="49"/>
      <c r="O166" s="49"/>
      <c r="P166" s="49"/>
      <c r="Q166" s="49"/>
      <c r="R166" s="49"/>
      <c r="S166" s="49"/>
      <c r="T166" s="49"/>
    </row>
    <row customHeight="true" ht="16.071428571428573" r="167">
      <c r="A167" s="42">
        <f>SUM(D161:D163)</f>
      </c>
      <c r="B167" s="43">
        <f>SUM(E161:E163)</f>
      </c>
      <c r="C167" s="43">
        <f>B167/((K167*300)+A167)</f>
      </c>
      <c r="D167" s="44">
        <f>A167/J167</f>
      </c>
      <c r="E167" s="43">
        <f>B167/J167</f>
      </c>
      <c r="F167" s="45">
        <f>J167/I167</f>
      </c>
      <c r="G167" s="45">
        <f>H167/J167</f>
      </c>
      <c r="H167" s="46">
        <v>1</v>
      </c>
      <c r="I167" s="46">
        <v>13</v>
      </c>
      <c r="J167" s="52">
        <f>F164</f>
      </c>
      <c r="K167" s="52">
        <f>C164</f>
      </c>
      <c r="L167" s="49"/>
      <c r="M167" s="49"/>
      <c r="N167" s="49"/>
      <c r="O167" s="49"/>
      <c r="P167" s="49"/>
      <c r="Q167" s="49"/>
      <c r="R167" s="49"/>
      <c r="S167" s="49"/>
      <c r="T167" s="49"/>
    </row>
    <row r="168">
      <c r="A168" s="29" t="s">
        <v>110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49"/>
      <c r="M168" s="49"/>
      <c r="N168" s="49"/>
      <c r="O168" s="49"/>
      <c r="P168" s="49"/>
      <c r="Q168" s="49"/>
      <c r="R168" s="49"/>
      <c r="S168" s="49"/>
      <c r="T168" s="49"/>
    </row>
    <row r="169">
      <c r="A169" s="30" t="s">
        <v>54</v>
      </c>
      <c r="B169" s="30" t="s">
        <v>55</v>
      </c>
      <c r="C169" s="30" t="s">
        <v>56</v>
      </c>
      <c r="D169" s="30" t="s">
        <v>57</v>
      </c>
      <c r="E169" s="31" t="s">
        <v>58</v>
      </c>
      <c r="F169" s="30" t="s">
        <v>59</v>
      </c>
      <c r="G169" s="30" t="s">
        <v>60</v>
      </c>
      <c r="H169" s="30" t="s">
        <v>61</v>
      </c>
      <c r="I169" s="30" t="s">
        <v>62</v>
      </c>
      <c r="J169" s="30" t="s">
        <v>63</v>
      </c>
      <c r="K169" s="30"/>
      <c r="L169" s="49"/>
      <c r="M169" s="49"/>
      <c r="N169" s="49"/>
      <c r="O169" s="49"/>
      <c r="P169" s="49"/>
      <c r="Q169" s="49"/>
      <c r="R169" s="49"/>
      <c r="S169" s="49"/>
      <c r="T169" s="49"/>
    </row>
    <row r="170">
      <c r="A170" s="36" t="s">
        <v>66</v>
      </c>
      <c r="B170" s="47" t="s">
        <v>89</v>
      </c>
      <c r="C170" s="34">
        <v>5</v>
      </c>
      <c r="D170" s="50">
        <v>4716.04</v>
      </c>
      <c r="E170" s="53">
        <v>3727.2000000000003</v>
      </c>
      <c r="F170" s="34">
        <v>2</v>
      </c>
      <c r="G170" s="35">
        <f t="shared" ref="G170:G173" si="79">E170/F170</f>
      </c>
      <c r="H170" s="35">
        <f t="shared" ref="H170:H173" si="109">D170/F170</f>
      </c>
      <c r="I170" s="35">
        <f t="shared" ref="I170:I173" si="19">E170/D170</f>
      </c>
      <c r="J170" s="35">
        <f t="shared" ref="J170:J173" si="49">D170/C170</f>
      </c>
      <c r="K170" s="35"/>
    </row>
    <row r="171">
      <c r="A171" s="36" t="s">
        <v>90</v>
      </c>
      <c r="B171" s="47" t="s">
        <v>91</v>
      </c>
      <c r="C171" s="34">
        <v>2</v>
      </c>
      <c r="D171" s="50">
        <v>2182.260000000001</v>
      </c>
      <c r="E171" s="54">
        <v>3489</v>
      </c>
      <c r="F171" s="34">
        <v>2</v>
      </c>
      <c r="G171" s="35">
        <f t="shared" si="79"/>
      </c>
      <c r="H171" s="35">
        <f t="shared" si="109"/>
      </c>
      <c r="I171" s="35">
        <f t="shared" si="19"/>
      </c>
      <c r="J171" s="35">
        <f t="shared" si="49"/>
      </c>
      <c r="K171" s="35"/>
    </row>
    <row r="172">
      <c r="A172" s="36" t="s">
        <v>64</v>
      </c>
      <c r="B172" s="47" t="s">
        <v>92</v>
      </c>
      <c r="C172" s="34">
        <v>5</v>
      </c>
      <c r="D172" s="51">
        <v>6624.040000000001</v>
      </c>
      <c r="E172" s="34">
        <v>17310</v>
      </c>
      <c r="F172" s="34">
        <v>9</v>
      </c>
      <c r="G172" s="35">
        <f t="shared" si="79"/>
      </c>
      <c r="H172" s="35">
        <f t="shared" si="109"/>
      </c>
      <c r="I172" s="35">
        <f t="shared" si="19"/>
      </c>
      <c r="J172" s="35">
        <f t="shared" si="49"/>
      </c>
      <c r="K172" s="35"/>
    </row>
    <row r="173">
      <c r="A173" s="30" t="s">
        <v>70</v>
      </c>
      <c r="B173" s="30"/>
      <c r="C173" s="30">
        <f>SUM(C170:C172)</f>
      </c>
      <c r="D173" s="30">
        <f>SUM(D170:D172)</f>
      </c>
      <c r="E173" s="30">
        <f>SUM(E170:E172)</f>
      </c>
      <c r="F173" s="30">
        <f>SUM(F170:F172)</f>
      </c>
      <c r="G173" s="38">
        <f t="shared" si="79"/>
      </c>
      <c r="H173" s="38">
        <f t="shared" si="109"/>
      </c>
      <c r="I173" s="38">
        <f t="shared" si="19"/>
      </c>
      <c r="J173" s="38">
        <f t="shared" si="49"/>
      </c>
      <c r="K173" s="38"/>
    </row>
    <row r="174">
      <c r="A174" s="39" t="s">
        <v>71</v>
      </c>
      <c r="B174" s="39"/>
      <c r="C174" s="39"/>
      <c r="D174" s="39"/>
      <c r="E174" s="39"/>
      <c r="F174" s="39"/>
      <c r="G174" s="39"/>
      <c r="H174" s="39"/>
      <c r="I174" s="39"/>
      <c r="J174" s="39"/>
      <c r="K174" s="39"/>
    </row>
    <row r="175">
      <c r="A175" s="40" t="s">
        <v>57</v>
      </c>
      <c r="B175" s="40" t="s">
        <v>72</v>
      </c>
      <c r="C175" s="40" t="s">
        <v>73</v>
      </c>
      <c r="D175" s="40" t="s">
        <v>74</v>
      </c>
      <c r="E175" s="40" t="s">
        <v>75</v>
      </c>
      <c r="F175" s="40" t="s">
        <v>76</v>
      </c>
      <c r="G175" s="40" t="s">
        <v>77</v>
      </c>
      <c r="H175" s="41" t="s">
        <v>78</v>
      </c>
      <c r="I175" s="41" t="s">
        <v>79</v>
      </c>
      <c r="J175" s="41" t="s">
        <v>80</v>
      </c>
      <c r="K175" s="41" t="s">
        <v>56</v>
      </c>
    </row>
    <row r="176">
      <c r="A176" s="42">
        <f>SUM(D170:D172)</f>
      </c>
      <c r="B176" s="43">
        <f>SUM(E170:E172)</f>
      </c>
      <c r="C176" s="43">
        <f>B176/((K176*300)+A176)</f>
      </c>
      <c r="D176" s="44">
        <f>A176/J176</f>
      </c>
      <c r="E176" s="43">
        <f>B176/J176</f>
      </c>
      <c r="F176" s="45">
        <f>J176/I176</f>
      </c>
      <c r="G176" s="45">
        <f>H176/J176</f>
      </c>
      <c r="H176" s="46">
        <v>1</v>
      </c>
      <c r="I176" s="46">
        <v>21</v>
      </c>
      <c r="J176" s="52">
        <f>F173</f>
      </c>
      <c r="K176" s="52">
        <f>C173</f>
      </c>
    </row>
    <row customHeight="true" ht="18.452380952380953" r="177">
      <c r="A177" s="29" t="s">
        <v>111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49"/>
      <c r="M177" s="49"/>
      <c r="N177" s="49"/>
      <c r="O177" s="49"/>
      <c r="P177" s="49"/>
      <c r="Q177" s="49"/>
      <c r="R177" s="49"/>
      <c r="S177" s="49"/>
      <c r="T177" s="49"/>
    </row>
    <row customHeight="true" ht="18.452380952380953" r="178">
      <c r="A178" s="30" t="s">
        <v>54</v>
      </c>
      <c r="B178" s="30" t="s">
        <v>55</v>
      </c>
      <c r="C178" s="30" t="s">
        <v>56</v>
      </c>
      <c r="D178" s="30" t="s">
        <v>57</v>
      </c>
      <c r="E178" s="31" t="s">
        <v>58</v>
      </c>
      <c r="F178" s="30" t="s">
        <v>59</v>
      </c>
      <c r="G178" s="30" t="s">
        <v>60</v>
      </c>
      <c r="H178" s="30" t="s">
        <v>61</v>
      </c>
      <c r="I178" s="30" t="s">
        <v>62</v>
      </c>
      <c r="J178" s="30" t="s">
        <v>63</v>
      </c>
      <c r="K178" s="30"/>
      <c r="L178" s="49"/>
      <c r="M178" s="49"/>
      <c r="N178" s="49"/>
      <c r="O178" s="49"/>
      <c r="P178" s="49"/>
      <c r="Q178" s="49"/>
      <c r="R178" s="49"/>
      <c r="S178" s="49"/>
      <c r="T178" s="49"/>
    </row>
    <row customHeight="true" ht="18.452380952380953" r="179">
      <c r="A179" s="36" t="s">
        <v>66</v>
      </c>
      <c r="B179" s="47" t="s">
        <v>89</v>
      </c>
      <c r="C179" s="34">
        <v>5</v>
      </c>
      <c r="D179" s="50">
        <v>3887.46</v>
      </c>
      <c r="E179" s="54">
        <v>4587</v>
      </c>
      <c r="F179" s="34">
        <v>4</v>
      </c>
      <c r="G179" s="35">
        <f t="shared" ref="G179:G182" si="80">E179/F179</f>
      </c>
      <c r="H179" s="35">
        <f t="shared" ref="H179:H182" si="110">D179/F179</f>
      </c>
      <c r="I179" s="35">
        <f t="shared" ref="I179:I182" si="20">E179/D179</f>
      </c>
      <c r="J179" s="35">
        <f t="shared" ref="J179:J182" si="50">D179/C179</f>
      </c>
      <c r="K179" s="35"/>
    </row>
    <row customHeight="true" ht="18.452380952380953" r="180">
      <c r="A180" s="36" t="s">
        <v>90</v>
      </c>
      <c r="B180" s="47" t="s">
        <v>91</v>
      </c>
      <c r="C180" s="34">
        <v>2</v>
      </c>
      <c r="D180" s="50">
        <v>2164.62</v>
      </c>
      <c r="E180" s="54">
        <v>538.8</v>
      </c>
      <c r="F180" s="34">
        <v>1</v>
      </c>
      <c r="G180" s="35">
        <f t="shared" si="80"/>
      </c>
      <c r="H180" s="35">
        <f t="shared" si="110"/>
      </c>
      <c r="I180" s="35">
        <f t="shared" si="20"/>
      </c>
      <c r="J180" s="35">
        <f t="shared" si="50"/>
      </c>
      <c r="K180" s="35"/>
    </row>
    <row customHeight="true" ht="18.452380952380953" r="181">
      <c r="A181" s="36" t="s">
        <v>64</v>
      </c>
      <c r="B181" s="47" t="s">
        <v>92</v>
      </c>
      <c r="C181" s="34">
        <v>5</v>
      </c>
      <c r="D181" s="51">
        <v>7076.789999999999</v>
      </c>
      <c r="E181" s="34">
        <v>9703.2</v>
      </c>
      <c r="F181" s="34">
        <v>6</v>
      </c>
      <c r="G181" s="35">
        <f t="shared" si="80"/>
      </c>
      <c r="H181" s="35">
        <f t="shared" si="110"/>
      </c>
      <c r="I181" s="35">
        <f t="shared" si="20"/>
      </c>
      <c r="J181" s="35">
        <f t="shared" si="50"/>
      </c>
      <c r="K181" s="35"/>
    </row>
    <row customHeight="true" ht="18.452380952380953" r="182">
      <c r="A182" s="30" t="s">
        <v>70</v>
      </c>
      <c r="B182" s="30"/>
      <c r="C182" s="30">
        <f>SUM(C179:C181)</f>
      </c>
      <c r="D182" s="30">
        <f>SUM(D179:D181)</f>
      </c>
      <c r="E182" s="30">
        <f>SUM(E179:E181)</f>
      </c>
      <c r="F182" s="30">
        <f>SUM(F179:F181)</f>
      </c>
      <c r="G182" s="38">
        <f t="shared" si="80"/>
      </c>
      <c r="H182" s="38">
        <f t="shared" si="110"/>
      </c>
      <c r="I182" s="38">
        <f t="shared" si="20"/>
      </c>
      <c r="J182" s="38">
        <f t="shared" si="50"/>
      </c>
      <c r="K182" s="38"/>
    </row>
    <row customHeight="true" ht="18.452380952380953" r="183">
      <c r="A183" s="39" t="s">
        <v>71</v>
      </c>
      <c r="B183" s="39"/>
      <c r="C183" s="39"/>
      <c r="D183" s="39"/>
      <c r="E183" s="39"/>
      <c r="F183" s="39"/>
      <c r="G183" s="39"/>
      <c r="H183" s="39"/>
      <c r="I183" s="39"/>
      <c r="J183" s="39"/>
      <c r="K183" s="39"/>
    </row>
    <row customHeight="true" ht="18.452380952380953" r="184">
      <c r="A184" s="40" t="s">
        <v>57</v>
      </c>
      <c r="B184" s="40" t="s">
        <v>72</v>
      </c>
      <c r="C184" s="40" t="s">
        <v>73</v>
      </c>
      <c r="D184" s="40" t="s">
        <v>74</v>
      </c>
      <c r="E184" s="40" t="s">
        <v>75</v>
      </c>
      <c r="F184" s="40" t="s">
        <v>76</v>
      </c>
      <c r="G184" s="40" t="s">
        <v>77</v>
      </c>
      <c r="H184" s="41" t="s">
        <v>78</v>
      </c>
      <c r="I184" s="41" t="s">
        <v>79</v>
      </c>
      <c r="J184" s="41" t="s">
        <v>80</v>
      </c>
      <c r="K184" s="41" t="s">
        <v>56</v>
      </c>
    </row>
    <row r="185">
      <c r="A185" s="42">
        <f>SUM(D179:D181)</f>
      </c>
      <c r="B185" s="43">
        <f>SUM(E179:E181)</f>
      </c>
      <c r="C185" s="43">
        <f>B185/((K185*300)+A185)</f>
      </c>
      <c r="D185" s="44">
        <f>A185/J185</f>
      </c>
      <c r="E185" s="43">
        <f>B185/J185</f>
      </c>
      <c r="F185" s="45">
        <f>J185/I185</f>
      </c>
      <c r="G185" s="45">
        <f>H185/J185</f>
      </c>
      <c r="H185" s="46">
        <v>1</v>
      </c>
      <c r="I185" s="46">
        <v>17</v>
      </c>
      <c r="J185" s="52">
        <f>F182</f>
      </c>
      <c r="K185" s="52">
        <f>C182</f>
      </c>
    </row>
    <row customHeight="true" ht="18.452380952380953" r="186">
      <c r="A186" s="29" t="s">
        <v>112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49"/>
      <c r="M186" s="49"/>
      <c r="N186" s="49"/>
      <c r="O186" s="49"/>
      <c r="P186" s="49"/>
      <c r="Q186" s="49"/>
      <c r="R186" s="49"/>
      <c r="S186" s="49"/>
      <c r="T186" s="49"/>
    </row>
    <row customHeight="true" ht="18.452380952380953" r="187">
      <c r="A187" s="30" t="s">
        <v>54</v>
      </c>
      <c r="B187" s="30" t="s">
        <v>55</v>
      </c>
      <c r="C187" s="30" t="s">
        <v>56</v>
      </c>
      <c r="D187" s="30" t="s">
        <v>57</v>
      </c>
      <c r="E187" s="31" t="s">
        <v>58</v>
      </c>
      <c r="F187" s="30" t="s">
        <v>59</v>
      </c>
      <c r="G187" s="30" t="s">
        <v>60</v>
      </c>
      <c r="H187" s="30" t="s">
        <v>61</v>
      </c>
      <c r="I187" s="30" t="s">
        <v>62</v>
      </c>
      <c r="J187" s="30" t="s">
        <v>63</v>
      </c>
      <c r="K187" s="30"/>
      <c r="L187" s="49"/>
      <c r="M187" s="49"/>
      <c r="N187" s="49"/>
      <c r="O187" s="49"/>
      <c r="P187" s="49"/>
      <c r="Q187" s="49"/>
      <c r="R187" s="49"/>
      <c r="S187" s="49"/>
      <c r="T187" s="49"/>
    </row>
    <row customHeight="true" ht="18.452380952380953" r="188">
      <c r="A188" s="36" t="s">
        <v>113</v>
      </c>
      <c r="B188" s="47" t="s">
        <v>89</v>
      </c>
      <c r="C188" s="34">
        <v>5</v>
      </c>
      <c r="D188" s="50">
        <v>4280.610000000001</v>
      </c>
      <c r="E188" s="54">
        <v>7038</v>
      </c>
      <c r="F188" s="34">
        <v>3</v>
      </c>
      <c r="G188" s="35">
        <f t="shared" ref="G188:G191" si="81">E188/F188</f>
      </c>
      <c r="H188" s="35">
        <f t="shared" ref="H188:H191" si="111">D188/F188</f>
      </c>
      <c r="I188" s="35">
        <f t="shared" ref="I188:I191" si="21">E188/D188</f>
      </c>
      <c r="J188" s="35">
        <f t="shared" ref="J188:J191" si="51">D188/C188</f>
      </c>
      <c r="K188" s="35"/>
    </row>
    <row customHeight="true" ht="18.452380952380953" r="189">
      <c r="A189" s="36" t="s">
        <v>90</v>
      </c>
      <c r="B189" s="47" t="s">
        <v>91</v>
      </c>
      <c r="C189" s="34">
        <v>2</v>
      </c>
      <c r="D189" s="50">
        <v>2056.76</v>
      </c>
      <c r="E189" s="54">
        <v>5664</v>
      </c>
      <c r="F189" s="34">
        <v>2</v>
      </c>
      <c r="G189" s="35">
        <f t="shared" si="81"/>
      </c>
      <c r="H189" s="35">
        <f t="shared" si="111"/>
      </c>
      <c r="I189" s="35">
        <f t="shared" si="21"/>
      </c>
      <c r="J189" s="35">
        <f t="shared" si="51"/>
      </c>
      <c r="K189" s="35"/>
    </row>
    <row customHeight="true" ht="18.452380952380953" r="190">
      <c r="A190" s="36" t="s">
        <v>64</v>
      </c>
      <c r="B190" s="47" t="s">
        <v>92</v>
      </c>
      <c r="C190" s="34">
        <v>5</v>
      </c>
      <c r="D190" s="51">
        <v>7176.699999999999</v>
      </c>
      <c r="E190" s="34">
        <v>17409.600000000002</v>
      </c>
      <c r="F190" s="34">
        <v>9</v>
      </c>
      <c r="G190" s="35">
        <f t="shared" si="81"/>
      </c>
      <c r="H190" s="35">
        <f t="shared" si="111"/>
      </c>
      <c r="I190" s="35">
        <f t="shared" si="21"/>
      </c>
      <c r="J190" s="35">
        <f t="shared" si="51"/>
      </c>
      <c r="K190" s="35"/>
    </row>
    <row customHeight="true" ht="18.452380952380953" r="191">
      <c r="A191" s="30" t="s">
        <v>70</v>
      </c>
      <c r="B191" s="30"/>
      <c r="C191" s="30">
        <f>SUM(C188:C190)</f>
      </c>
      <c r="D191" s="30">
        <f>SUM(D188:D190)</f>
      </c>
      <c r="E191" s="30">
        <f>SUM(E188:E190)</f>
      </c>
      <c r="F191" s="30">
        <f>SUM(F188:F190)</f>
      </c>
      <c r="G191" s="38">
        <f t="shared" si="81"/>
      </c>
      <c r="H191" s="38">
        <f t="shared" si="111"/>
      </c>
      <c r="I191" s="38">
        <f t="shared" si="21"/>
      </c>
      <c r="J191" s="38">
        <f t="shared" si="51"/>
      </c>
      <c r="K191" s="38"/>
    </row>
    <row customHeight="true" ht="18.452380952380953" r="192">
      <c r="A192" s="39" t="s">
        <v>71</v>
      </c>
      <c r="B192" s="39"/>
      <c r="C192" s="39"/>
      <c r="D192" s="39"/>
      <c r="E192" s="39"/>
      <c r="F192" s="39"/>
      <c r="G192" s="39"/>
      <c r="H192" s="39"/>
      <c r="I192" s="39"/>
      <c r="J192" s="39"/>
      <c r="K192" s="39"/>
    </row>
    <row customHeight="true" ht="18.452380952380953" r="193">
      <c r="A193" s="40" t="s">
        <v>57</v>
      </c>
      <c r="B193" s="40" t="s">
        <v>72</v>
      </c>
      <c r="C193" s="40" t="s">
        <v>73</v>
      </c>
      <c r="D193" s="40" t="s">
        <v>74</v>
      </c>
      <c r="E193" s="40" t="s">
        <v>75</v>
      </c>
      <c r="F193" s="40" t="s">
        <v>76</v>
      </c>
      <c r="G193" s="40" t="s">
        <v>77</v>
      </c>
      <c r="H193" s="41" t="s">
        <v>78</v>
      </c>
      <c r="I193" s="41" t="s">
        <v>79</v>
      </c>
      <c r="J193" s="41" t="s">
        <v>80</v>
      </c>
      <c r="K193" s="41" t="s">
        <v>56</v>
      </c>
    </row>
    <row customHeight="true" ht="18.452380952380953" r="194">
      <c r="A194" s="42">
        <f>SUM(D188:D190)</f>
      </c>
      <c r="B194" s="43">
        <f>SUM(E188:E190)</f>
      </c>
      <c r="C194" s="43">
        <f>B194/((K194*300)+A194)</f>
      </c>
      <c r="D194" s="44">
        <f>A194/J194</f>
      </c>
      <c r="E194" s="43">
        <f>B194/J194</f>
      </c>
      <c r="F194" s="45">
        <f>J194/I194</f>
      </c>
      <c r="G194" s="45">
        <f>H194/J194</f>
      </c>
      <c r="H194" s="46">
        <v>2</v>
      </c>
      <c r="I194" s="46">
        <v>19</v>
      </c>
      <c r="J194" s="52">
        <f>F191</f>
      </c>
      <c r="K194" s="52">
        <f>C191</f>
      </c>
    </row>
    <row r="195">
      <c r="A195" s="29" t="s">
        <v>114</v>
      </c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9"/>
      <c r="M195" s="49"/>
      <c r="N195" s="49"/>
      <c r="O195" s="49"/>
      <c r="P195" s="49"/>
      <c r="Q195" s="49"/>
      <c r="R195" s="49"/>
      <c r="S195" s="49"/>
      <c r="T195" s="49"/>
    </row>
    <row r="196">
      <c r="A196" s="30" t="s">
        <v>54</v>
      </c>
      <c r="B196" s="30" t="s">
        <v>55</v>
      </c>
      <c r="C196" s="30" t="s">
        <v>56</v>
      </c>
      <c r="D196" s="30" t="s">
        <v>57</v>
      </c>
      <c r="E196" s="31" t="s">
        <v>58</v>
      </c>
      <c r="F196" s="30" t="s">
        <v>59</v>
      </c>
      <c r="G196" s="30" t="s">
        <v>60</v>
      </c>
      <c r="H196" s="30" t="s">
        <v>61</v>
      </c>
      <c r="I196" s="30" t="s">
        <v>62</v>
      </c>
      <c r="J196" s="30" t="s">
        <v>63</v>
      </c>
      <c r="K196" s="30"/>
      <c r="L196" s="49"/>
      <c r="M196" s="49"/>
      <c r="N196" s="49"/>
      <c r="O196" s="49"/>
      <c r="P196" s="49"/>
      <c r="Q196" s="49"/>
      <c r="R196" s="49"/>
      <c r="S196" s="49"/>
      <c r="T196" s="49"/>
    </row>
    <row r="197">
      <c r="A197" s="36" t="s">
        <v>66</v>
      </c>
      <c r="B197" s="47" t="s">
        <v>65</v>
      </c>
      <c r="C197" s="34">
        <v>4</v>
      </c>
      <c r="D197" s="50">
        <v>3186.06</v>
      </c>
      <c r="E197" s="42">
        <v>10028.4</v>
      </c>
      <c r="F197" s="34">
        <v>6</v>
      </c>
      <c r="G197" s="35">
        <f t="shared" ref="G197:G200" si="82">E197/F197</f>
      </c>
      <c r="H197" s="35">
        <f t="shared" ref="H197:H200" si="112">D197/F197</f>
      </c>
      <c r="I197" s="35">
        <f t="shared" ref="I197:I200" si="22">E197/D197</f>
      </c>
      <c r="J197" s="35">
        <f t="shared" ref="J197:J200" si="52">D197/C197</f>
      </c>
      <c r="K197" s="35"/>
      <c r="L197" s="49"/>
      <c r="M197" s="49"/>
      <c r="N197" s="49"/>
      <c r="O197" s="49"/>
      <c r="P197" s="49"/>
      <c r="Q197" s="49"/>
      <c r="R197" s="49"/>
      <c r="S197" s="49"/>
      <c r="T197" s="49"/>
    </row>
    <row r="198">
      <c r="A198" s="36" t="s">
        <v>113</v>
      </c>
      <c r="B198" s="47" t="s">
        <v>67</v>
      </c>
      <c r="C198" s="34">
        <v>4</v>
      </c>
      <c r="D198" s="37">
        <v>4564.05</v>
      </c>
      <c r="E198" s="54">
        <v>4622.4</v>
      </c>
      <c r="F198" s="34">
        <v>3</v>
      </c>
      <c r="G198" s="35">
        <f t="shared" si="82"/>
      </c>
      <c r="H198" s="35">
        <f t="shared" si="112"/>
      </c>
      <c r="I198" s="35">
        <f t="shared" si="22"/>
      </c>
      <c r="J198" s="35">
        <f t="shared" si="52"/>
      </c>
      <c r="K198" s="35"/>
      <c r="L198" s="49"/>
      <c r="M198" s="49"/>
      <c r="N198" s="49"/>
      <c r="O198" s="49"/>
      <c r="P198" s="49"/>
      <c r="Q198" s="49"/>
      <c r="R198" s="49"/>
      <c r="S198" s="49"/>
      <c r="T198" s="49"/>
    </row>
    <row r="199">
      <c r="A199" s="36" t="s">
        <v>64</v>
      </c>
      <c r="B199" s="47" t="s">
        <v>69</v>
      </c>
      <c r="C199" s="34">
        <v>4</v>
      </c>
      <c r="D199" s="51">
        <v>5301.9299999999985</v>
      </c>
      <c r="E199" s="51">
        <v>14438.399999999998</v>
      </c>
      <c r="F199" s="34">
        <v>7</v>
      </c>
      <c r="G199" s="35">
        <f t="shared" si="82"/>
      </c>
      <c r="H199" s="35">
        <f t="shared" si="112"/>
      </c>
      <c r="I199" s="35">
        <f t="shared" si="22"/>
      </c>
      <c r="J199" s="35">
        <f t="shared" si="52"/>
      </c>
      <c r="K199" s="35"/>
      <c r="L199" s="49"/>
      <c r="M199" s="49"/>
      <c r="N199" s="49"/>
      <c r="O199" s="49"/>
      <c r="P199" s="49"/>
      <c r="Q199" s="49"/>
      <c r="R199" s="49"/>
      <c r="S199" s="49"/>
      <c r="T199" s="49"/>
    </row>
    <row r="200">
      <c r="A200" s="30" t="s">
        <v>70</v>
      </c>
      <c r="B200" s="30"/>
      <c r="C200" s="30">
        <f>SUM(C197:C199)</f>
      </c>
      <c r="D200" s="30">
        <f>SUM(D197:D199)</f>
      </c>
      <c r="E200" s="30">
        <f>SUM(E197:E199)</f>
      </c>
      <c r="F200" s="30">
        <f>SUM(F197:F199)</f>
      </c>
      <c r="G200" s="38">
        <f t="shared" si="82"/>
      </c>
      <c r="H200" s="38">
        <f t="shared" si="112"/>
      </c>
      <c r="I200" s="38">
        <f t="shared" si="22"/>
      </c>
      <c r="J200" s="38">
        <f t="shared" si="52"/>
      </c>
      <c r="K200" s="38"/>
      <c r="L200" s="49"/>
      <c r="M200" s="49"/>
      <c r="N200" s="49"/>
      <c r="O200" s="49"/>
      <c r="P200" s="49"/>
      <c r="Q200" s="49"/>
      <c r="R200" s="49"/>
      <c r="S200" s="49"/>
      <c r="T200" s="49"/>
    </row>
    <row r="201">
      <c r="A201" s="39" t="s">
        <v>71</v>
      </c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49"/>
      <c r="M201" s="49"/>
      <c r="N201" s="49"/>
      <c r="O201" s="49"/>
      <c r="P201" s="49"/>
      <c r="Q201" s="49"/>
      <c r="R201" s="49"/>
      <c r="S201" s="49"/>
      <c r="T201" s="49"/>
    </row>
    <row r="202">
      <c r="A202" s="40" t="s">
        <v>57</v>
      </c>
      <c r="B202" s="40" t="s">
        <v>72</v>
      </c>
      <c r="C202" s="40" t="s">
        <v>73</v>
      </c>
      <c r="D202" s="40" t="s">
        <v>74</v>
      </c>
      <c r="E202" s="40" t="s">
        <v>75</v>
      </c>
      <c r="F202" s="40" t="s">
        <v>76</v>
      </c>
      <c r="G202" s="40" t="s">
        <v>77</v>
      </c>
      <c r="H202" s="41" t="s">
        <v>78</v>
      </c>
      <c r="I202" s="41" t="s">
        <v>79</v>
      </c>
      <c r="J202" s="41" t="s">
        <v>80</v>
      </c>
      <c r="K202" s="41" t="s">
        <v>56</v>
      </c>
      <c r="L202" s="49"/>
      <c r="M202" s="49"/>
      <c r="N202" s="49"/>
      <c r="O202" s="49"/>
      <c r="P202" s="49"/>
      <c r="Q202" s="49"/>
      <c r="R202" s="49"/>
      <c r="S202" s="49"/>
      <c r="T202" s="49"/>
    </row>
    <row r="203">
      <c r="A203" s="42">
        <f>SUM(D197:D199)</f>
      </c>
      <c r="B203" s="43">
        <f>SUM(E197:E199)</f>
      </c>
      <c r="C203" s="43">
        <f>B203/((K203*300)+A203)</f>
      </c>
      <c r="D203" s="44">
        <f>A203/J203</f>
      </c>
      <c r="E203" s="43">
        <f>B203/J203</f>
      </c>
      <c r="F203" s="45">
        <f>J203/I203</f>
      </c>
      <c r="G203" s="45">
        <f>H203/J203</f>
      </c>
      <c r="H203" s="46">
        <v>2</v>
      </c>
      <c r="I203" s="46">
        <v>23</v>
      </c>
      <c r="J203" s="52">
        <f>F200</f>
      </c>
      <c r="K203" s="52">
        <f>C200</f>
      </c>
      <c r="L203" s="49"/>
      <c r="M203" s="49"/>
      <c r="N203" s="49"/>
      <c r="O203" s="49"/>
      <c r="P203" s="49"/>
      <c r="Q203" s="49"/>
      <c r="R203" s="49"/>
      <c r="S203" s="49"/>
      <c r="T203" s="49"/>
    </row>
    <row r="204">
      <c r="A204" s="29" t="s">
        <v>115</v>
      </c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49"/>
      <c r="M204" s="49"/>
      <c r="N204" s="49"/>
      <c r="O204" s="49"/>
      <c r="P204" s="49"/>
      <c r="Q204" s="49"/>
      <c r="R204" s="49"/>
      <c r="S204" s="49"/>
      <c r="T204" s="49"/>
    </row>
    <row r="205">
      <c r="A205" s="30" t="s">
        <v>54</v>
      </c>
      <c r="B205" s="30" t="s">
        <v>55</v>
      </c>
      <c r="C205" s="30" t="s">
        <v>56</v>
      </c>
      <c r="D205" s="30" t="s">
        <v>57</v>
      </c>
      <c r="E205" s="31" t="s">
        <v>58</v>
      </c>
      <c r="F205" s="30" t="s">
        <v>59</v>
      </c>
      <c r="G205" s="30" t="s">
        <v>60</v>
      </c>
      <c r="H205" s="30" t="s">
        <v>61</v>
      </c>
      <c r="I205" s="30" t="s">
        <v>62</v>
      </c>
      <c r="J205" s="30" t="s">
        <v>63</v>
      </c>
      <c r="K205" s="30"/>
      <c r="L205" s="49"/>
      <c r="M205" s="49"/>
      <c r="N205" s="49"/>
      <c r="O205" s="49"/>
      <c r="P205" s="49"/>
      <c r="Q205" s="49"/>
      <c r="R205" s="49"/>
      <c r="S205" s="49"/>
      <c r="T205" s="49"/>
    </row>
    <row r="206">
      <c r="A206" s="36" t="s">
        <v>113</v>
      </c>
      <c r="B206" s="47" t="s">
        <v>89</v>
      </c>
      <c r="C206" s="34">
        <v>5</v>
      </c>
      <c r="D206" s="50">
        <v>3802.27</v>
      </c>
      <c r="E206" s="42">
        <v>6683.6</v>
      </c>
      <c r="F206" s="34">
        <v>4</v>
      </c>
      <c r="G206" s="35">
        <f t="shared" ref="G206:G209" si="83">E206/F206</f>
      </c>
      <c r="H206" s="35">
        <f t="shared" ref="H206:H209" si="113">D206/F206</f>
      </c>
      <c r="I206" s="35">
        <f t="shared" ref="I206:I209" si="23">E206/D206</f>
      </c>
      <c r="J206" s="35">
        <f t="shared" ref="J206:J209" si="53">D206/C206</f>
      </c>
      <c r="K206" s="35"/>
      <c r="L206" s="49"/>
      <c r="M206" s="49"/>
      <c r="N206" s="49"/>
      <c r="O206" s="49"/>
      <c r="P206" s="49"/>
      <c r="Q206" s="49"/>
      <c r="R206" s="49"/>
      <c r="S206" s="49"/>
      <c r="T206" s="49"/>
    </row>
    <row r="207">
      <c r="A207" s="36" t="s">
        <v>90</v>
      </c>
      <c r="B207" s="47" t="s">
        <v>91</v>
      </c>
      <c r="C207" s="34">
        <v>2</v>
      </c>
      <c r="D207" s="37">
        <v>1220.8300000000004</v>
      </c>
      <c r="E207" s="54">
        <v>0</v>
      </c>
      <c r="F207" s="34">
        <v>0</v>
      </c>
      <c r="G207" s="35">
        <f t="shared" si="83"/>
      </c>
      <c r="H207" s="35">
        <f t="shared" si="113"/>
      </c>
      <c r="I207" s="35">
        <f t="shared" si="23"/>
      </c>
      <c r="J207" s="35">
        <f t="shared" si="53"/>
      </c>
      <c r="K207" s="35"/>
      <c r="L207" s="49"/>
      <c r="M207" s="49"/>
      <c r="N207" s="49"/>
      <c r="O207" s="49"/>
      <c r="P207" s="49"/>
      <c r="Q207" s="49"/>
      <c r="R207" s="49"/>
      <c r="S207" s="49"/>
      <c r="T207" s="49"/>
    </row>
    <row r="208">
      <c r="A208" s="36" t="s">
        <v>66</v>
      </c>
      <c r="B208" s="47" t="s">
        <v>92</v>
      </c>
      <c r="C208" s="34">
        <v>5</v>
      </c>
      <c r="D208" s="51">
        <v>4522.68</v>
      </c>
      <c r="E208" s="51">
        <v>7250.6</v>
      </c>
      <c r="F208" s="34">
        <v>9</v>
      </c>
      <c r="G208" s="35">
        <f t="shared" si="83"/>
      </c>
      <c r="H208" s="35">
        <f t="shared" si="113"/>
      </c>
      <c r="I208" s="35">
        <f t="shared" si="23"/>
      </c>
      <c r="J208" s="35">
        <f t="shared" si="53"/>
      </c>
      <c r="K208" s="35"/>
    </row>
    <row r="209">
      <c r="A209" s="30" t="s">
        <v>70</v>
      </c>
      <c r="B209" s="30"/>
      <c r="C209" s="30">
        <f>SUM(C206:C208)</f>
      </c>
      <c r="D209" s="30">
        <f>SUM(D206:D208)</f>
      </c>
      <c r="E209" s="30">
        <f>SUM(E206:E208)</f>
      </c>
      <c r="F209" s="30">
        <f>SUM(F206:F208)</f>
      </c>
      <c r="G209" s="38">
        <f t="shared" si="83"/>
      </c>
      <c r="H209" s="38">
        <f t="shared" si="113"/>
      </c>
      <c r="I209" s="38">
        <f t="shared" si="23"/>
      </c>
      <c r="J209" s="38">
        <f t="shared" si="53"/>
      </c>
      <c r="K209" s="38"/>
    </row>
    <row r="210">
      <c r="A210" s="39" t="s">
        <v>71</v>
      </c>
      <c r="B210" s="39"/>
      <c r="C210" s="39"/>
      <c r="D210" s="39"/>
      <c r="E210" s="39"/>
      <c r="F210" s="39"/>
      <c r="G210" s="39"/>
      <c r="H210" s="39"/>
      <c r="I210" s="39"/>
      <c r="J210" s="39"/>
      <c r="K210" s="39"/>
    </row>
    <row r="211">
      <c r="A211" s="40" t="s">
        <v>57</v>
      </c>
      <c r="B211" s="40" t="s">
        <v>72</v>
      </c>
      <c r="C211" s="40" t="s">
        <v>73</v>
      </c>
      <c r="D211" s="40" t="s">
        <v>74</v>
      </c>
      <c r="E211" s="40" t="s">
        <v>75</v>
      </c>
      <c r="F211" s="40" t="s">
        <v>76</v>
      </c>
      <c r="G211" s="40" t="s">
        <v>77</v>
      </c>
      <c r="H211" s="41" t="s">
        <v>78</v>
      </c>
      <c r="I211" s="41" t="s">
        <v>79</v>
      </c>
      <c r="J211" s="41" t="s">
        <v>80</v>
      </c>
      <c r="K211" s="41" t="s">
        <v>56</v>
      </c>
    </row>
    <row r="212">
      <c r="A212" s="42">
        <f>SUM(D206:D208)</f>
      </c>
      <c r="B212" s="43">
        <f>SUM(E206:E208)</f>
      </c>
      <c r="C212" s="43">
        <f>B212/((K212*300)+A212)</f>
      </c>
      <c r="D212" s="44">
        <f>A212/J212</f>
      </c>
      <c r="E212" s="43">
        <f>B212/J212</f>
      </c>
      <c r="F212" s="45">
        <f>J212/I212</f>
      </c>
      <c r="G212" s="45">
        <f>H212/J212</f>
      </c>
      <c r="H212" s="46">
        <v>1</v>
      </c>
      <c r="I212" s="46">
        <v>17</v>
      </c>
      <c r="J212" s="52">
        <f>F209</f>
      </c>
      <c r="K212" s="52">
        <f>C209</f>
      </c>
    </row>
    <row r="213">
      <c r="A213" s="29" t="s">
        <v>116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</row>
    <row r="214">
      <c r="A214" s="30" t="s">
        <v>54</v>
      </c>
      <c r="B214" s="30" t="s">
        <v>55</v>
      </c>
      <c r="C214" s="30" t="s">
        <v>56</v>
      </c>
      <c r="D214" s="30" t="s">
        <v>57</v>
      </c>
      <c r="E214" s="31" t="s">
        <v>58</v>
      </c>
      <c r="F214" s="30" t="s">
        <v>59</v>
      </c>
      <c r="G214" s="30" t="s">
        <v>60</v>
      </c>
      <c r="H214" s="30" t="s">
        <v>61</v>
      </c>
      <c r="I214" s="30" t="s">
        <v>62</v>
      </c>
      <c r="J214" s="30" t="s">
        <v>63</v>
      </c>
      <c r="K214" s="30"/>
    </row>
    <row r="215">
      <c r="A215" s="36" t="s">
        <v>113</v>
      </c>
      <c r="B215" s="47" t="s">
        <v>65</v>
      </c>
      <c r="C215" s="34">
        <v>4</v>
      </c>
      <c r="D215" s="50">
        <v>3466.2799999999997</v>
      </c>
      <c r="E215" s="42">
        <v>3716</v>
      </c>
      <c r="F215" s="34">
        <v>2</v>
      </c>
      <c r="G215" s="35">
        <f t="shared" ref="G215:G218" si="84">E215/F215</f>
      </c>
      <c r="H215" s="35">
        <f t="shared" ref="H215:H218" si="114">D215/F215</f>
      </c>
      <c r="I215" s="35">
        <f t="shared" ref="I215:I218" si="24">E215/D215</f>
      </c>
      <c r="J215" s="35">
        <f t="shared" ref="J215:J218" si="54">D215/C215</f>
      </c>
      <c r="K215" s="35"/>
    </row>
    <row r="216">
      <c r="A216" s="36" t="s">
        <v>66</v>
      </c>
      <c r="B216" s="47" t="s">
        <v>67</v>
      </c>
      <c r="C216" s="34">
        <v>4</v>
      </c>
      <c r="D216" s="37">
        <v>3987.2599999999993</v>
      </c>
      <c r="E216" s="54">
        <v>9763.6</v>
      </c>
      <c r="F216" s="34">
        <v>5</v>
      </c>
      <c r="G216" s="35">
        <f t="shared" si="84"/>
      </c>
      <c r="H216" s="35">
        <f t="shared" si="114"/>
      </c>
      <c r="I216" s="35">
        <f t="shared" si="24"/>
      </c>
      <c r="J216" s="35">
        <f t="shared" si="54"/>
      </c>
      <c r="K216" s="35"/>
    </row>
    <row r="217">
      <c r="A217" s="36" t="s">
        <v>68</v>
      </c>
      <c r="B217" s="47" t="s">
        <v>69</v>
      </c>
      <c r="C217" s="34">
        <v>4</v>
      </c>
      <c r="D217" s="51">
        <v>6117.789999999999</v>
      </c>
      <c r="E217" s="51">
        <v>17858.4</v>
      </c>
      <c r="F217" s="34">
        <v>7</v>
      </c>
      <c r="G217" s="35">
        <f t="shared" si="84"/>
      </c>
      <c r="H217" s="35">
        <f t="shared" si="114"/>
      </c>
      <c r="I217" s="35">
        <f t="shared" si="24"/>
      </c>
      <c r="J217" s="35">
        <f t="shared" si="54"/>
      </c>
      <c r="K217" s="35"/>
    </row>
    <row r="218">
      <c r="A218" s="30" t="s">
        <v>70</v>
      </c>
      <c r="B218" s="30"/>
      <c r="C218" s="30">
        <f>SUM(C215:C217)</f>
      </c>
      <c r="D218" s="30">
        <f>SUM(D215:D217)</f>
      </c>
      <c r="E218" s="30">
        <f>SUM(E215:E217)</f>
      </c>
      <c r="F218" s="30">
        <f>SUM(F215:F217)</f>
      </c>
      <c r="G218" s="38">
        <f t="shared" si="84"/>
      </c>
      <c r="H218" s="38">
        <f t="shared" si="114"/>
      </c>
      <c r="I218" s="38">
        <f t="shared" si="24"/>
      </c>
      <c r="J218" s="38">
        <f t="shared" si="54"/>
      </c>
      <c r="K218" s="38"/>
    </row>
    <row r="219">
      <c r="A219" s="39" t="s">
        <v>71</v>
      </c>
      <c r="B219" s="39"/>
      <c r="C219" s="39"/>
      <c r="D219" s="39"/>
      <c r="E219" s="39"/>
      <c r="F219" s="39"/>
      <c r="G219" s="39"/>
      <c r="H219" s="39"/>
      <c r="I219" s="39"/>
      <c r="J219" s="39"/>
      <c r="K219" s="39"/>
    </row>
    <row r="220">
      <c r="A220" s="40" t="s">
        <v>57</v>
      </c>
      <c r="B220" s="40" t="s">
        <v>72</v>
      </c>
      <c r="C220" s="40" t="s">
        <v>73</v>
      </c>
      <c r="D220" s="40" t="s">
        <v>74</v>
      </c>
      <c r="E220" s="40" t="s">
        <v>75</v>
      </c>
      <c r="F220" s="40" t="s">
        <v>76</v>
      </c>
      <c r="G220" s="40" t="s">
        <v>77</v>
      </c>
      <c r="H220" s="41" t="s">
        <v>78</v>
      </c>
      <c r="I220" s="41" t="s">
        <v>79</v>
      </c>
      <c r="J220" s="41" t="s">
        <v>80</v>
      </c>
      <c r="K220" s="41" t="s">
        <v>56</v>
      </c>
    </row>
    <row r="221">
      <c r="A221" s="42">
        <f>SUM(D215:D217)</f>
      </c>
      <c r="B221" s="43">
        <f>SUM(E215:E217)</f>
      </c>
      <c r="C221" s="43">
        <f>B221/((K221*300)+A221)</f>
      </c>
      <c r="D221" s="44">
        <f>A221/J221</f>
      </c>
      <c r="E221" s="43">
        <f>B221/J221</f>
      </c>
      <c r="F221" s="45">
        <f>J221/I221</f>
      </c>
      <c r="G221" s="45">
        <f>H221/J221</f>
      </c>
      <c r="H221" s="46">
        <v>1</v>
      </c>
      <c r="I221" s="46">
        <v>22</v>
      </c>
      <c r="J221" s="52">
        <f>F218</f>
      </c>
      <c r="K221" s="52">
        <f>C218</f>
      </c>
    </row>
    <row r="222">
      <c r="A222" s="29" t="s">
        <v>117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</row>
    <row r="223">
      <c r="A223" s="30" t="s">
        <v>54</v>
      </c>
      <c r="B223" s="30" t="s">
        <v>55</v>
      </c>
      <c r="C223" s="30" t="s">
        <v>56</v>
      </c>
      <c r="D223" s="30" t="s">
        <v>57</v>
      </c>
      <c r="E223" s="31" t="s">
        <v>58</v>
      </c>
      <c r="F223" s="30" t="s">
        <v>59</v>
      </c>
      <c r="G223" s="30" t="s">
        <v>60</v>
      </c>
      <c r="H223" s="30" t="s">
        <v>61</v>
      </c>
      <c r="I223" s="30" t="s">
        <v>62</v>
      </c>
      <c r="J223" s="30" t="s">
        <v>63</v>
      </c>
      <c r="K223" s="30"/>
    </row>
    <row r="224">
      <c r="A224" s="36" t="s">
        <v>113</v>
      </c>
      <c r="B224" s="47" t="s">
        <v>65</v>
      </c>
      <c r="C224" s="34">
        <v>4</v>
      </c>
      <c r="D224" s="50">
        <v>2879.75</v>
      </c>
      <c r="E224" s="42">
        <v>5039.6</v>
      </c>
      <c r="F224" s="34">
        <v>4</v>
      </c>
      <c r="G224" s="35">
        <f t="shared" ref="G224:G227" si="85">E224/F224</f>
      </c>
      <c r="H224" s="35">
        <f t="shared" ref="H224:H227" si="115">D224/F224</f>
      </c>
      <c r="I224" s="35">
        <f t="shared" ref="I224:I227" si="25">E224/D224</f>
      </c>
      <c r="J224" s="35">
        <f t="shared" ref="J224:J227" si="55">D224/C224</f>
      </c>
      <c r="K224" s="35"/>
    </row>
    <row r="225">
      <c r="A225" s="36" t="s">
        <v>66</v>
      </c>
      <c r="B225" s="47" t="s">
        <v>67</v>
      </c>
      <c r="C225" s="34">
        <v>4</v>
      </c>
      <c r="D225" s="37">
        <v>3258.2299999999996</v>
      </c>
      <c r="E225" s="54">
        <v>8479.2</v>
      </c>
      <c r="F225" s="34">
        <v>2</v>
      </c>
      <c r="G225" s="35">
        <f t="shared" si="85"/>
      </c>
      <c r="H225" s="35">
        <f t="shared" si="115"/>
      </c>
      <c r="I225" s="35">
        <f t="shared" si="25"/>
      </c>
      <c r="J225" s="35">
        <f t="shared" si="55"/>
      </c>
      <c r="K225" s="35"/>
    </row>
    <row r="226">
      <c r="A226" s="36" t="s">
        <v>68</v>
      </c>
      <c r="B226" s="47" t="s">
        <v>69</v>
      </c>
      <c r="C226" s="34">
        <v>4</v>
      </c>
      <c r="D226" s="51">
        <v>5588.919999999998</v>
      </c>
      <c r="E226" s="51">
        <v>14721.600000000002</v>
      </c>
      <c r="F226" s="34">
        <v>6</v>
      </c>
      <c r="G226" s="35">
        <f t="shared" si="85"/>
      </c>
      <c r="H226" s="35">
        <f t="shared" si="115"/>
      </c>
      <c r="I226" s="35">
        <f t="shared" si="25"/>
      </c>
      <c r="J226" s="35">
        <f t="shared" si="55"/>
      </c>
      <c r="K226" s="35"/>
    </row>
    <row r="227">
      <c r="A227" s="30" t="s">
        <v>70</v>
      </c>
      <c r="B227" s="30"/>
      <c r="C227" s="30">
        <f>SUM(C224:C226)</f>
      </c>
      <c r="D227" s="30">
        <f>SUM(D224:D226)</f>
      </c>
      <c r="E227" s="30">
        <f>SUM(E224:E226)</f>
      </c>
      <c r="F227" s="30">
        <f>SUM(F224:F226)</f>
      </c>
      <c r="G227" s="38">
        <f t="shared" si="85"/>
      </c>
      <c r="H227" s="38">
        <f t="shared" si="115"/>
      </c>
      <c r="I227" s="38">
        <f t="shared" si="25"/>
      </c>
      <c r="J227" s="38">
        <f t="shared" si="55"/>
      </c>
      <c r="K227" s="38"/>
    </row>
    <row r="228">
      <c r="A228" s="39" t="s">
        <v>71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</row>
    <row r="229">
      <c r="A229" s="40" t="s">
        <v>57</v>
      </c>
      <c r="B229" s="40" t="s">
        <v>72</v>
      </c>
      <c r="C229" s="40" t="s">
        <v>73</v>
      </c>
      <c r="D229" s="40" t="s">
        <v>74</v>
      </c>
      <c r="E229" s="40" t="s">
        <v>75</v>
      </c>
      <c r="F229" s="40" t="s">
        <v>76</v>
      </c>
      <c r="G229" s="40" t="s">
        <v>77</v>
      </c>
      <c r="H229" s="41" t="s">
        <v>78</v>
      </c>
      <c r="I229" s="41" t="s">
        <v>79</v>
      </c>
      <c r="J229" s="41" t="s">
        <v>80</v>
      </c>
      <c r="K229" s="41" t="s">
        <v>56</v>
      </c>
    </row>
    <row r="230">
      <c r="A230" s="42">
        <f>SUM(D224:D226)</f>
      </c>
      <c r="B230" s="43">
        <f>SUM(E224:E226)</f>
      </c>
      <c r="C230" s="43">
        <f>B230/((K230*300)+A230)</f>
      </c>
      <c r="D230" s="44">
        <f>A230/J230</f>
      </c>
      <c r="E230" s="43">
        <f>B230/J230</f>
      </c>
      <c r="F230" s="45">
        <f>J230/I230</f>
      </c>
      <c r="G230" s="45">
        <f>H230/J230</f>
      </c>
      <c r="H230" s="46">
        <v>2</v>
      </c>
      <c r="I230" s="46">
        <v>18</v>
      </c>
      <c r="J230" s="52">
        <f>F227</f>
      </c>
      <c r="K230" s="52">
        <f>C227</f>
      </c>
    </row>
    <row customHeight="true" ht="18.452380952380953" r="231">
      <c r="A231" s="29" t="s">
        <v>118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</row>
    <row customHeight="true" ht="18.452380952380953" r="232">
      <c r="A232" s="31" t="s">
        <v>54</v>
      </c>
      <c r="B232" s="55" t="s">
        <v>55</v>
      </c>
      <c r="C232" s="55" t="s">
        <v>56</v>
      </c>
      <c r="D232" s="38" t="s">
        <v>57</v>
      </c>
      <c r="E232" s="31" t="s">
        <v>58</v>
      </c>
      <c r="F232" s="56" t="s">
        <v>59</v>
      </c>
      <c r="G232" s="56" t="s">
        <v>60</v>
      </c>
      <c r="H232" s="31" t="s">
        <v>61</v>
      </c>
      <c r="I232" s="31" t="s">
        <v>62</v>
      </c>
      <c r="J232" s="31" t="s">
        <v>63</v>
      </c>
      <c r="K232" s="31"/>
    </row>
    <row customHeight="true" ht="18.452380952380953" r="233">
      <c r="A233" s="57" t="s">
        <v>66</v>
      </c>
      <c r="B233" s="58" t="s">
        <v>65</v>
      </c>
      <c r="C233" s="59">
        <v>4</v>
      </c>
      <c r="D233" s="60">
        <v>4240.42</v>
      </c>
      <c r="E233" s="59">
        <v>6574.799999999999</v>
      </c>
      <c r="F233" s="61">
        <v>5</v>
      </c>
      <c r="G233" s="35">
        <f t="shared" ref="G233:G236" si="86">E233/F233</f>
      </c>
      <c r="H233" s="35">
        <f t="shared" ref="H233:H236" si="116">D233/F233</f>
      </c>
      <c r="I233" s="35">
        <f t="shared" ref="I233:I236" si="26">E233/D233</f>
      </c>
      <c r="J233" s="35">
        <f t="shared" ref="J233:J236" si="56">D233/C233</f>
      </c>
      <c r="K233" s="35"/>
    </row>
    <row customHeight="true" ht="18.452380952380953" r="234">
      <c r="A234" s="62" t="s">
        <v>64</v>
      </c>
      <c r="B234" s="58" t="s">
        <v>67</v>
      </c>
      <c r="C234" s="59">
        <v>4</v>
      </c>
      <c r="D234" s="60">
        <v>6423.75</v>
      </c>
      <c r="E234" s="59">
        <v>7905.599999999999</v>
      </c>
      <c r="F234" s="61">
        <v>5</v>
      </c>
      <c r="G234" s="35">
        <f t="shared" si="86"/>
      </c>
      <c r="H234" s="35">
        <f t="shared" si="116"/>
      </c>
      <c r="I234" s="35">
        <f t="shared" si="26"/>
      </c>
      <c r="J234" s="35">
        <f t="shared" si="56"/>
      </c>
      <c r="K234" s="35"/>
    </row>
    <row customHeight="true" ht="18.452380952380953" r="235">
      <c r="A235" s="57" t="s">
        <v>68</v>
      </c>
      <c r="B235" s="58" t="s">
        <v>69</v>
      </c>
      <c r="C235" s="59">
        <v>4</v>
      </c>
      <c r="D235" s="63">
        <v>7043.12</v>
      </c>
      <c r="E235" s="64">
        <v>23741</v>
      </c>
      <c r="F235" s="61">
        <v>14</v>
      </c>
      <c r="G235" s="35">
        <f t="shared" si="86"/>
      </c>
      <c r="H235" s="35">
        <f t="shared" si="116"/>
      </c>
      <c r="I235" s="35">
        <f t="shared" si="26"/>
      </c>
      <c r="J235" s="35">
        <f t="shared" si="56"/>
      </c>
      <c r="K235" s="35"/>
    </row>
    <row customHeight="true" ht="18.452380952380953" r="236">
      <c r="A236" s="31" t="s">
        <v>70</v>
      </c>
      <c r="B236" s="55"/>
      <c r="C236" s="55">
        <f>SUM(C233:C235)</f>
      </c>
      <c r="D236" s="38">
        <f>SUM(D233:D235)</f>
      </c>
      <c r="E236" s="55">
        <f>SUM(E233:E235)</f>
      </c>
      <c r="F236" s="31">
        <f>SUM(F233:F235)</f>
      </c>
      <c r="G236" s="38">
        <f t="shared" si="86"/>
      </c>
      <c r="H236" s="38">
        <f t="shared" si="116"/>
      </c>
      <c r="I236" s="38">
        <f t="shared" si="26"/>
      </c>
      <c r="J236" s="38">
        <f t="shared" si="56"/>
      </c>
      <c r="K236" s="38"/>
    </row>
    <row customHeight="true" ht="18.452380952380953" r="237">
      <c r="A237" s="39" t="s">
        <v>71</v>
      </c>
      <c r="B237" s="39"/>
      <c r="C237" s="39"/>
      <c r="D237" s="39"/>
      <c r="E237" s="39"/>
      <c r="F237" s="39"/>
      <c r="G237" s="39"/>
      <c r="H237" s="39"/>
      <c r="I237" s="39"/>
      <c r="J237" s="39"/>
      <c r="K237" s="39"/>
    </row>
    <row customHeight="true" ht="18.452380952380953" r="238">
      <c r="A238" s="40" t="s">
        <v>57</v>
      </c>
      <c r="B238" s="40" t="s">
        <v>72</v>
      </c>
      <c r="C238" s="40" t="s">
        <v>73</v>
      </c>
      <c r="D238" s="40" t="s">
        <v>74</v>
      </c>
      <c r="E238" s="40" t="s">
        <v>75</v>
      </c>
      <c r="F238" s="40" t="s">
        <v>76</v>
      </c>
      <c r="G238" s="40" t="s">
        <v>77</v>
      </c>
      <c r="H238" s="41" t="s">
        <v>78</v>
      </c>
      <c r="I238" s="41" t="s">
        <v>79</v>
      </c>
      <c r="J238" s="41" t="s">
        <v>80</v>
      </c>
      <c r="K238" s="41" t="s">
        <v>56</v>
      </c>
    </row>
    <row customHeight="true" ht="18.452380952380953" r="239">
      <c r="A239" s="42">
        <f>SUM(D233:D235)</f>
      </c>
      <c r="B239" s="43">
        <f>SUM(E233:E235)</f>
      </c>
      <c r="C239" s="43">
        <f>B239/((K239*300)+A239)</f>
      </c>
      <c r="D239" s="44">
        <f>A239/J239</f>
      </c>
      <c r="E239" s="43">
        <f>B239/J239</f>
      </c>
      <c r="F239" s="45">
        <f>J239/I239</f>
      </c>
      <c r="G239" s="45">
        <f>H239/J239</f>
      </c>
      <c r="H239" s="46">
        <v>3</v>
      </c>
      <c r="I239" s="46">
        <v>31</v>
      </c>
      <c r="J239" s="52">
        <f>F236</f>
      </c>
      <c r="K239" s="52">
        <f>C236</f>
      </c>
    </row>
    <row r="240">
      <c r="A240" s="29" t="s">
        <v>119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</row>
    <row r="241">
      <c r="A241" s="31" t="s">
        <v>54</v>
      </c>
      <c r="B241" s="55" t="s">
        <v>55</v>
      </c>
      <c r="C241" s="55" t="s">
        <v>56</v>
      </c>
      <c r="D241" s="38" t="s">
        <v>57</v>
      </c>
      <c r="E241" s="31" t="s">
        <v>58</v>
      </c>
      <c r="F241" s="56" t="s">
        <v>59</v>
      </c>
      <c r="G241" s="56" t="s">
        <v>60</v>
      </c>
      <c r="H241" s="31" t="s">
        <v>61</v>
      </c>
      <c r="I241" s="31" t="s">
        <v>62</v>
      </c>
      <c r="J241" s="31" t="s">
        <v>63</v>
      </c>
      <c r="K241" s="31"/>
    </row>
    <row r="242">
      <c r="A242" s="62" t="s">
        <v>64</v>
      </c>
      <c r="B242" s="58" t="s">
        <v>65</v>
      </c>
      <c r="C242" s="61">
        <v>4</v>
      </c>
      <c r="D242" s="60">
        <v>4487.530000000001</v>
      </c>
      <c r="E242" s="59">
        <v>8586.400000000001</v>
      </c>
      <c r="F242" s="61">
        <v>7</v>
      </c>
      <c r="G242" s="35">
        <f t="shared" ref="G242:G245" si="87">E242/F242</f>
      </c>
      <c r="H242" s="35">
        <f t="shared" ref="H242:H245" si="117">D242/F242</f>
      </c>
      <c r="I242" s="35">
        <f t="shared" ref="I242:I245" si="27">E242/D242</f>
      </c>
      <c r="J242" s="35">
        <f t="shared" ref="J242:J245" si="57">D242/C242</f>
      </c>
      <c r="K242" s="35"/>
    </row>
    <row r="243">
      <c r="A243" s="36" t="s">
        <v>113</v>
      </c>
      <c r="B243" s="58" t="s">
        <v>67</v>
      </c>
      <c r="C243" s="61">
        <v>4</v>
      </c>
      <c r="D243" s="60">
        <v>5927.449999999999</v>
      </c>
      <c r="E243" s="59">
        <v>10483.400000000001</v>
      </c>
      <c r="F243" s="61">
        <v>9</v>
      </c>
      <c r="G243" s="35">
        <f t="shared" si="87"/>
      </c>
      <c r="H243" s="35">
        <f t="shared" si="117"/>
      </c>
      <c r="I243" s="35">
        <f t="shared" si="27"/>
      </c>
      <c r="J243" s="35">
        <f t="shared" si="57"/>
      </c>
      <c r="K243" s="35"/>
    </row>
    <row r="244">
      <c r="A244" s="57" t="s">
        <v>68</v>
      </c>
      <c r="B244" s="58" t="s">
        <v>69</v>
      </c>
      <c r="C244" s="61">
        <v>4</v>
      </c>
      <c r="D244" s="63">
        <v>8246.560000000001</v>
      </c>
      <c r="E244" s="64">
        <v>3767.6000000000004</v>
      </c>
      <c r="F244" s="61">
        <v>3</v>
      </c>
      <c r="G244" s="35">
        <f t="shared" si="87"/>
      </c>
      <c r="H244" s="35">
        <f t="shared" si="117"/>
      </c>
      <c r="I244" s="35">
        <f t="shared" si="27"/>
      </c>
      <c r="J244" s="35">
        <f t="shared" si="57"/>
      </c>
      <c r="K244" s="35"/>
    </row>
    <row r="245">
      <c r="A245" s="31" t="s">
        <v>70</v>
      </c>
      <c r="B245" s="55"/>
      <c r="C245" s="55">
        <f>SUM(C242:C244)</f>
      </c>
      <c r="D245" s="38">
        <f>SUM(D242:D244)</f>
      </c>
      <c r="E245" s="55">
        <f>SUM(E242:E244)</f>
      </c>
      <c r="F245" s="31">
        <f>SUM(F242:F244)</f>
      </c>
      <c r="G245" s="38">
        <f t="shared" si="87"/>
      </c>
      <c r="H245" s="38">
        <f t="shared" si="117"/>
      </c>
      <c r="I245" s="38">
        <f t="shared" si="27"/>
      </c>
      <c r="J245" s="38">
        <f t="shared" si="57"/>
      </c>
      <c r="K245" s="38"/>
    </row>
    <row r="246">
      <c r="A246" s="39" t="s">
        <v>71</v>
      </c>
      <c r="B246" s="39"/>
      <c r="C246" s="39"/>
      <c r="D246" s="39"/>
      <c r="E246" s="39"/>
      <c r="F246" s="39"/>
      <c r="G246" s="39"/>
      <c r="H246" s="39"/>
      <c r="I246" s="39"/>
      <c r="J246" s="39"/>
      <c r="K246" s="39"/>
    </row>
    <row r="247">
      <c r="A247" s="40" t="s">
        <v>57</v>
      </c>
      <c r="B247" s="40" t="s">
        <v>72</v>
      </c>
      <c r="C247" s="40" t="s">
        <v>73</v>
      </c>
      <c r="D247" s="40" t="s">
        <v>74</v>
      </c>
      <c r="E247" s="40" t="s">
        <v>75</v>
      </c>
      <c r="F247" s="40" t="s">
        <v>76</v>
      </c>
      <c r="G247" s="40" t="s">
        <v>77</v>
      </c>
      <c r="H247" s="41" t="s">
        <v>78</v>
      </c>
      <c r="I247" s="41" t="s">
        <v>79</v>
      </c>
      <c r="J247" s="41" t="s">
        <v>80</v>
      </c>
      <c r="K247" s="41" t="s">
        <v>56</v>
      </c>
    </row>
    <row r="248">
      <c r="A248" s="42">
        <f>SUM(D242:D244)</f>
      </c>
      <c r="B248" s="43">
        <f>SUM(E242:E244)</f>
      </c>
      <c r="C248" s="43">
        <f>B248/((K248*300)+A248)</f>
      </c>
      <c r="D248" s="44">
        <f>A248/J248</f>
      </c>
      <c r="E248" s="43">
        <f>B248/J248</f>
      </c>
      <c r="F248" s="45">
        <f>J248/I248</f>
      </c>
      <c r="G248" s="45">
        <f>H248/J248</f>
      </c>
      <c r="H248" s="46">
        <v>2</v>
      </c>
      <c r="I248" s="46">
        <v>29</v>
      </c>
      <c r="J248" s="52">
        <f>F245</f>
      </c>
      <c r="K248" s="52">
        <f>C245</f>
      </c>
    </row>
    <row customHeight="true" ht="18.452380952380953" r="249">
      <c r="A249" s="29" t="s">
        <v>120</v>
      </c>
      <c r="B249" s="48"/>
      <c r="C249" s="48"/>
      <c r="D249" s="48"/>
      <c r="E249" s="48"/>
      <c r="F249" s="48"/>
      <c r="G249" s="48"/>
      <c r="H249" s="48"/>
      <c r="I249" s="48"/>
      <c r="J249" s="48"/>
      <c r="K249" s="48"/>
    </row>
    <row customHeight="true" ht="18.452380952380953" r="250">
      <c r="A250" s="31" t="s">
        <v>54</v>
      </c>
      <c r="B250" s="55" t="s">
        <v>55</v>
      </c>
      <c r="C250" s="55" t="s">
        <v>56</v>
      </c>
      <c r="D250" s="38" t="s">
        <v>57</v>
      </c>
      <c r="E250" s="31" t="s">
        <v>58</v>
      </c>
      <c r="F250" s="56" t="s">
        <v>59</v>
      </c>
      <c r="G250" s="56" t="s">
        <v>60</v>
      </c>
      <c r="H250" s="31" t="s">
        <v>61</v>
      </c>
      <c r="I250" s="31" t="s">
        <v>62</v>
      </c>
      <c r="J250" s="31" t="s">
        <v>63</v>
      </c>
      <c r="K250" s="31"/>
    </row>
    <row customHeight="true" ht="18.452380952380953" r="251">
      <c r="A251" s="57" t="s">
        <v>64</v>
      </c>
      <c r="B251" s="65" t="s">
        <v>121</v>
      </c>
      <c r="C251" s="61">
        <v>4</v>
      </c>
      <c r="D251" s="60">
        <v>4554.360000000001</v>
      </c>
      <c r="E251" s="59">
        <v>6593.799999999999</v>
      </c>
      <c r="F251" s="61">
        <v>6</v>
      </c>
      <c r="G251" s="35">
        <f t="shared" ref="G251:G255" si="88">E251/F251</f>
      </c>
      <c r="H251" s="35">
        <f t="shared" ref="H251:H255" si="118">D251/F251</f>
      </c>
      <c r="I251" s="35">
        <f t="shared" ref="I251:I255" si="28">E251/D251</f>
      </c>
      <c r="J251" s="35">
        <f t="shared" ref="J251:J255" si="58">D251/C251</f>
      </c>
      <c r="K251" s="35"/>
    </row>
    <row customHeight="true" ht="18.452380952380953" r="252">
      <c r="A252" s="57" t="s">
        <v>68</v>
      </c>
      <c r="B252" s="58" t="s">
        <v>65</v>
      </c>
      <c r="C252" s="59">
        <v>4</v>
      </c>
      <c r="D252" s="60">
        <v>4912.889999999999</v>
      </c>
      <c r="E252" s="59">
        <v>10012</v>
      </c>
      <c r="F252" s="61">
        <v>5</v>
      </c>
      <c r="G252" s="35">
        <f t="shared" si="88"/>
      </c>
      <c r="H252" s="35">
        <f t="shared" si="118"/>
      </c>
      <c r="I252" s="35">
        <f t="shared" si="28"/>
      </c>
      <c r="J252" s="35">
        <f t="shared" si="58"/>
      </c>
      <c r="K252" s="35"/>
    </row>
    <row customHeight="true" ht="18.452380952380953" r="253">
      <c r="A253" s="57" t="s">
        <v>113</v>
      </c>
      <c r="B253" s="58" t="s">
        <v>67</v>
      </c>
      <c r="C253" s="59">
        <v>4</v>
      </c>
      <c r="D253" s="60">
        <v>5188.629999999999</v>
      </c>
      <c r="E253" s="59">
        <v>12563.8</v>
      </c>
      <c r="F253" s="61">
        <v>8</v>
      </c>
      <c r="G253" s="35">
        <f t="shared" si="88"/>
      </c>
      <c r="H253" s="35">
        <f t="shared" si="118"/>
      </c>
      <c r="I253" s="35">
        <f t="shared" si="28"/>
      </c>
      <c r="J253" s="35">
        <f t="shared" si="58"/>
      </c>
      <c r="K253" s="35"/>
    </row>
    <row customHeight="true" ht="18.452380952380953" r="254">
      <c r="A254" s="62" t="s">
        <v>66</v>
      </c>
      <c r="B254" s="58" t="s">
        <v>69</v>
      </c>
      <c r="C254" s="59">
        <v>4</v>
      </c>
      <c r="D254" s="35">
        <v>8197.4</v>
      </c>
      <c r="E254" s="64">
        <v>10220.4</v>
      </c>
      <c r="F254" s="61">
        <v>5</v>
      </c>
      <c r="G254" s="35">
        <f t="shared" si="88"/>
      </c>
      <c r="H254" s="35">
        <f t="shared" si="118"/>
      </c>
      <c r="I254" s="35">
        <f t="shared" si="28"/>
      </c>
      <c r="J254" s="35">
        <f t="shared" si="58"/>
      </c>
      <c r="K254" s="35"/>
    </row>
    <row customHeight="true" ht="18.452380952380953" r="255">
      <c r="A255" s="31" t="s">
        <v>70</v>
      </c>
      <c r="B255" s="55"/>
      <c r="C255" s="66">
        <f>SUM(C251:C254)</f>
      </c>
      <c r="D255" s="55">
        <f>SUM(D251:D254)</f>
      </c>
      <c r="E255" s="55">
        <f>SUM(E251:E254)</f>
      </c>
      <c r="F255" s="31">
        <f>SUM(F251:F254)</f>
      </c>
      <c r="G255" s="38">
        <f t="shared" si="88"/>
      </c>
      <c r="H255" s="38">
        <f t="shared" si="118"/>
      </c>
      <c r="I255" s="38">
        <f t="shared" si="28"/>
      </c>
      <c r="J255" s="38">
        <f t="shared" si="58"/>
      </c>
      <c r="K255" s="38"/>
    </row>
    <row customHeight="true" ht="18.452380952380953" r="256">
      <c r="A256" s="39" t="s">
        <v>71</v>
      </c>
      <c r="B256" s="39"/>
      <c r="C256" s="39"/>
      <c r="D256" s="39"/>
      <c r="E256" s="39"/>
      <c r="F256" s="39"/>
      <c r="G256" s="39"/>
      <c r="H256" s="39"/>
      <c r="I256" s="39"/>
      <c r="J256" s="39"/>
      <c r="K256" s="39"/>
    </row>
    <row customHeight="true" ht="18.452380952380953" r="257">
      <c r="A257" s="40" t="s">
        <v>57</v>
      </c>
      <c r="B257" s="40" t="s">
        <v>72</v>
      </c>
      <c r="C257" s="40" t="s">
        <v>73</v>
      </c>
      <c r="D257" s="40" t="s">
        <v>74</v>
      </c>
      <c r="E257" s="40" t="s">
        <v>75</v>
      </c>
      <c r="F257" s="40" t="s">
        <v>76</v>
      </c>
      <c r="G257" s="40" t="s">
        <v>77</v>
      </c>
      <c r="H257" s="41" t="s">
        <v>78</v>
      </c>
      <c r="I257" s="41" t="s">
        <v>79</v>
      </c>
      <c r="J257" s="41" t="s">
        <v>80</v>
      </c>
      <c r="K257" s="41" t="s">
        <v>56</v>
      </c>
    </row>
    <row customHeight="true" ht="18.452380952380953" r="258">
      <c r="A258" s="42">
        <f>SUM(D251:D254)</f>
      </c>
      <c r="B258" s="42">
        <f>SUM(E251:E254)</f>
      </c>
      <c r="C258" s="43">
        <f>B258/((K258*300)+A258)</f>
      </c>
      <c r="D258" s="44">
        <f>A258/J258</f>
      </c>
      <c r="E258" s="43">
        <f>B258/J258</f>
      </c>
      <c r="F258" s="45">
        <f>J258/I258</f>
      </c>
      <c r="G258" s="45">
        <f>H258/J258</f>
      </c>
      <c r="H258" s="46">
        <v>4</v>
      </c>
      <c r="I258" s="46">
        <v>37</v>
      </c>
      <c r="J258" s="52">
        <f>F255</f>
      </c>
      <c r="K258" s="52">
        <f>C255</f>
      </c>
      <c r="P258" s="67" t="s">
        <v>112</v>
      </c>
    </row>
    <row customHeight="true" ht="18.452380952380953" r="259">
      <c r="A259" s="29" t="s">
        <v>122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</row>
    <row customHeight="true" ht="18.452380952380953" r="260">
      <c r="A260" s="31" t="s">
        <v>54</v>
      </c>
      <c r="B260" s="55" t="s">
        <v>55</v>
      </c>
      <c r="C260" s="55" t="s">
        <v>56</v>
      </c>
      <c r="D260" s="38" t="s">
        <v>57</v>
      </c>
      <c r="E260" s="31" t="s">
        <v>58</v>
      </c>
      <c r="F260" s="56" t="s">
        <v>59</v>
      </c>
      <c r="G260" s="56" t="s">
        <v>60</v>
      </c>
      <c r="H260" s="31" t="s">
        <v>61</v>
      </c>
      <c r="I260" s="31" t="s">
        <v>62</v>
      </c>
      <c r="J260" s="31" t="s">
        <v>63</v>
      </c>
      <c r="K260" s="31"/>
    </row>
    <row customHeight="true" ht="18.452380952380953" r="261">
      <c r="A261" s="57" t="s">
        <v>64</v>
      </c>
      <c r="B261" s="65" t="s">
        <v>121</v>
      </c>
      <c r="C261" s="61">
        <v>4</v>
      </c>
      <c r="D261" s="60">
        <v>6562.61</v>
      </c>
      <c r="E261" s="59">
        <v>2988</v>
      </c>
      <c r="F261" s="61">
        <v>3</v>
      </c>
      <c r="G261" s="35">
        <f t="shared" ref="G261:G265" si="89">E261/F261</f>
      </c>
      <c r="H261" s="35">
        <f t="shared" ref="H261:H265" si="119">D261/F261</f>
      </c>
      <c r="I261" s="35">
        <f t="shared" ref="I261:I265" si="29">E261/D261</f>
      </c>
      <c r="J261" s="35">
        <f t="shared" ref="J261:J265" si="59">D261/C261</f>
      </c>
      <c r="K261" s="35"/>
    </row>
    <row customHeight="true" ht="18.452380952380953" r="262">
      <c r="A262" s="57" t="s">
        <v>123</v>
      </c>
      <c r="B262" s="65" t="s">
        <v>124</v>
      </c>
      <c r="C262" s="61">
        <v>2</v>
      </c>
      <c r="D262" s="60">
        <v>3102.55</v>
      </c>
      <c r="E262" s="61">
        <v>0</v>
      </c>
      <c r="F262" s="61">
        <v>0</v>
      </c>
      <c r="G262" s="35">
        <f t="shared" si="89"/>
      </c>
      <c r="H262" s="35">
        <f t="shared" si="119"/>
      </c>
      <c r="I262" s="35">
        <f t="shared" si="29"/>
      </c>
      <c r="J262" s="35">
        <f t="shared" si="59"/>
      </c>
      <c r="K262" s="35"/>
    </row>
    <row customHeight="true" ht="18.452380952380953" r="263">
      <c r="A263" s="57" t="s">
        <v>113</v>
      </c>
      <c r="B263" s="65" t="s">
        <v>125</v>
      </c>
      <c r="C263" s="61">
        <v>5</v>
      </c>
      <c r="D263" s="60">
        <v>4841.030000000001</v>
      </c>
      <c r="E263" s="59">
        <v>5830.6</v>
      </c>
      <c r="F263" s="61">
        <v>3</v>
      </c>
      <c r="G263" s="35">
        <f t="shared" si="89"/>
      </c>
      <c r="H263" s="35">
        <f t="shared" si="119"/>
      </c>
      <c r="I263" s="35">
        <f t="shared" si="29"/>
      </c>
      <c r="J263" s="35">
        <f t="shared" si="59"/>
      </c>
      <c r="K263" s="35"/>
    </row>
    <row customHeight="true" ht="18.452380952380953" r="264">
      <c r="A264" s="62" t="s">
        <v>66</v>
      </c>
      <c r="B264" s="65" t="s">
        <v>109</v>
      </c>
      <c r="C264" s="61">
        <v>3</v>
      </c>
      <c r="D264" s="68">
        <v>2876.699999999999</v>
      </c>
      <c r="E264" s="64">
        <v>2817.6000000000004</v>
      </c>
      <c r="F264" s="61">
        <v>2</v>
      </c>
      <c r="G264" s="35">
        <f t="shared" si="89"/>
      </c>
      <c r="H264" s="35">
        <f t="shared" si="119"/>
      </c>
      <c r="I264" s="35">
        <f t="shared" si="29"/>
      </c>
      <c r="J264" s="35">
        <f t="shared" si="59"/>
      </c>
      <c r="K264" s="35"/>
    </row>
    <row customHeight="true" ht="18.452380952380953" r="265">
      <c r="A265" s="31" t="s">
        <v>70</v>
      </c>
      <c r="B265" s="55"/>
      <c r="C265" s="66">
        <f>SUM(C261:C264)</f>
      </c>
      <c r="D265" s="55">
        <f>SUM(D261:D264)</f>
      </c>
      <c r="E265" s="55">
        <f>SUM(E261:E264)</f>
      </c>
      <c r="F265" s="31">
        <f>SUM(F261:F264)</f>
      </c>
      <c r="G265" s="38">
        <f t="shared" si="89"/>
      </c>
      <c r="H265" s="38">
        <f t="shared" si="119"/>
      </c>
      <c r="I265" s="38">
        <f t="shared" si="29"/>
      </c>
      <c r="J265" s="38">
        <f t="shared" si="59"/>
      </c>
      <c r="K265" s="38"/>
    </row>
    <row customHeight="true" ht="18.452380952380953" r="266">
      <c r="A266" s="39" t="s">
        <v>71</v>
      </c>
      <c r="B266" s="39"/>
      <c r="C266" s="39"/>
      <c r="D266" s="39"/>
      <c r="E266" s="39"/>
      <c r="F266" s="39"/>
      <c r="G266" s="39"/>
      <c r="H266" s="39"/>
      <c r="I266" s="39"/>
      <c r="J266" s="39"/>
      <c r="K266" s="39"/>
    </row>
    <row customHeight="true" ht="18.452380952380953" r="267">
      <c r="A267" s="40" t="s">
        <v>57</v>
      </c>
      <c r="B267" s="40" t="s">
        <v>72</v>
      </c>
      <c r="C267" s="40" t="s">
        <v>73</v>
      </c>
      <c r="D267" s="40" t="s">
        <v>74</v>
      </c>
      <c r="E267" s="40" t="s">
        <v>75</v>
      </c>
      <c r="F267" s="40" t="s">
        <v>76</v>
      </c>
      <c r="G267" s="40" t="s">
        <v>77</v>
      </c>
      <c r="H267" s="41" t="s">
        <v>78</v>
      </c>
      <c r="I267" s="41" t="s">
        <v>79</v>
      </c>
      <c r="J267" s="41" t="s">
        <v>80</v>
      </c>
      <c r="K267" s="41" t="s">
        <v>56</v>
      </c>
    </row>
    <row customHeight="true" ht="18.452380952380953" r="268">
      <c r="A268" s="42">
        <f>SUM(D261:D264)</f>
      </c>
      <c r="B268" s="42">
        <f>SUM(E261:E264)</f>
      </c>
      <c r="C268" s="43">
        <f>B268/((K268*300)+A268)</f>
      </c>
      <c r="D268" s="44">
        <f>A268/J268</f>
      </c>
      <c r="E268" s="43">
        <f>B268/J268</f>
      </c>
      <c r="F268" s="45">
        <f>J268/I268</f>
      </c>
      <c r="G268" s="45">
        <f>H268/J268</f>
      </c>
      <c r="H268" s="46">
        <v>1</v>
      </c>
      <c r="I268" s="46">
        <v>13</v>
      </c>
      <c r="J268" s="52">
        <f>F265</f>
      </c>
      <c r="K268" s="52">
        <f>C265</f>
      </c>
      <c r="P268" s="67" t="s">
        <v>112</v>
      </c>
    </row>
    <row r="269">
      <c r="A269" s="69">
        <f>A270-A268</f>
      </c>
      <c r="B269" s="69"/>
    </row>
    <row r="270">
      <c r="A270" s="70">
        <v>17382.89</v>
      </c>
      <c r="B270" s="69"/>
    </row>
  </sheetData>
  <mergeCells>
    <mergeCell ref="J251:K251"/>
    <mergeCell ref="J252:K252"/>
    <mergeCell ref="J253:K253"/>
    <mergeCell ref="J254:K254"/>
    <mergeCell ref="J255:K255"/>
    <mergeCell ref="A256:K256"/>
    <mergeCell ref="J250:K250"/>
    <mergeCell ref="A249:K249"/>
    <mergeCell ref="A228:K228"/>
    <mergeCell ref="J227:K227"/>
    <mergeCell ref="J226:K226"/>
    <mergeCell ref="J225:K225"/>
    <mergeCell ref="J224:K224"/>
    <mergeCell ref="J223:K223"/>
    <mergeCell ref="A222:K222"/>
    <mergeCell ref="A219:K219"/>
    <mergeCell ref="J218:K218"/>
    <mergeCell ref="J217:K217"/>
    <mergeCell ref="J216:K216"/>
    <mergeCell ref="J215:K215"/>
    <mergeCell ref="J214:K214"/>
    <mergeCell ref="A213:K213"/>
    <mergeCell ref="A210:K210"/>
    <mergeCell ref="J209:K209"/>
    <mergeCell ref="J208:K208"/>
    <mergeCell ref="J207:K207"/>
    <mergeCell ref="J206:K206"/>
    <mergeCell ref="J205:K205"/>
    <mergeCell ref="A204:K204"/>
    <mergeCell ref="A201:K201"/>
    <mergeCell ref="J200:K200"/>
    <mergeCell ref="J199:K199"/>
    <mergeCell ref="J198:K198"/>
    <mergeCell ref="J197:K197"/>
    <mergeCell ref="J196:K196"/>
    <mergeCell ref="A195:K195"/>
    <mergeCell ref="A192:K192"/>
    <mergeCell ref="J191:K191"/>
    <mergeCell ref="J190:K190"/>
    <mergeCell ref="J189:K189"/>
    <mergeCell ref="J188:K188"/>
    <mergeCell ref="J187:K187"/>
    <mergeCell ref="A186:K186"/>
    <mergeCell ref="A140:K140"/>
    <mergeCell ref="J139:K139"/>
    <mergeCell ref="J138:K138"/>
    <mergeCell ref="J137:K137"/>
    <mergeCell ref="J136:K136"/>
    <mergeCell ref="A135:K135"/>
    <mergeCell ref="A132:K132"/>
    <mergeCell ref="J131:K131"/>
    <mergeCell ref="J130:K130"/>
    <mergeCell ref="J129:K129"/>
    <mergeCell ref="J128:K128"/>
    <mergeCell ref="J127:K127"/>
    <mergeCell ref="A126:K126"/>
    <mergeCell ref="A1:K1"/>
    <mergeCell ref="J2:K2"/>
    <mergeCell ref="J3:K3"/>
    <mergeCell ref="J4:K4"/>
    <mergeCell ref="J5:K5"/>
    <mergeCell ref="J6:K6"/>
    <mergeCell ref="A7:K7"/>
    <mergeCell ref="A10:K10"/>
    <mergeCell ref="J11:K11"/>
    <mergeCell ref="J12:K12"/>
    <mergeCell ref="J13:K13"/>
    <mergeCell ref="J14:K14"/>
    <mergeCell ref="J15:K15"/>
    <mergeCell ref="A16:K16"/>
    <mergeCell ref="A19:K19"/>
    <mergeCell ref="J20:K20"/>
    <mergeCell ref="J21:K21"/>
    <mergeCell ref="J22:K22"/>
    <mergeCell ref="J23:K23"/>
    <mergeCell ref="J24:K24"/>
    <mergeCell ref="A25:K25"/>
    <mergeCell ref="A28:K28"/>
    <mergeCell ref="J29:K29"/>
    <mergeCell ref="J30:K30"/>
    <mergeCell ref="J31:K31"/>
    <mergeCell ref="J32:K32"/>
    <mergeCell ref="J33:K33"/>
    <mergeCell ref="A34:K34"/>
    <mergeCell ref="A37:K37"/>
    <mergeCell ref="J38:K38"/>
    <mergeCell ref="J39:K39"/>
    <mergeCell ref="J40:K40"/>
    <mergeCell ref="J41:K41"/>
    <mergeCell ref="J42:K42"/>
    <mergeCell ref="A43:K43"/>
    <mergeCell ref="A46:K46"/>
    <mergeCell ref="J47:K47"/>
    <mergeCell ref="J48:K48"/>
    <mergeCell ref="J49:K49"/>
    <mergeCell ref="J50:K50"/>
    <mergeCell ref="J51:K51"/>
    <mergeCell ref="A52:K52"/>
    <mergeCell ref="A55:K55"/>
    <mergeCell ref="J56:K56"/>
    <mergeCell ref="J57:K57"/>
    <mergeCell ref="J58:K58"/>
    <mergeCell ref="J59:K59"/>
    <mergeCell ref="J60:K60"/>
    <mergeCell ref="A61:K61"/>
    <mergeCell ref="A64:K64"/>
    <mergeCell ref="J65:K65"/>
    <mergeCell ref="J66:K66"/>
    <mergeCell ref="J67:K67"/>
    <mergeCell ref="J68:K68"/>
    <mergeCell ref="J69:K69"/>
    <mergeCell ref="A70:K70"/>
    <mergeCell ref="A73:K73"/>
    <mergeCell ref="J74:K74"/>
    <mergeCell ref="J75:K75"/>
    <mergeCell ref="J76:K76"/>
    <mergeCell ref="J77:K77"/>
    <mergeCell ref="J78:K78"/>
    <mergeCell ref="A79:K79"/>
    <mergeCell ref="A82:K82"/>
    <mergeCell ref="J83:K83"/>
    <mergeCell ref="J84:K84"/>
    <mergeCell ref="J85:K85"/>
    <mergeCell ref="J86:K86"/>
    <mergeCell ref="J87:K87"/>
    <mergeCell ref="A88:K88"/>
    <mergeCell ref="A91:K91"/>
    <mergeCell ref="J92:K92"/>
    <mergeCell ref="J93:K93"/>
    <mergeCell ref="J94:K94"/>
    <mergeCell ref="J95:K95"/>
    <mergeCell ref="J96:K96"/>
    <mergeCell ref="A97:K97"/>
    <mergeCell ref="A100:K100"/>
    <mergeCell ref="J101:K101"/>
    <mergeCell ref="J102:K102"/>
    <mergeCell ref="J103:K103"/>
    <mergeCell ref="J104:K104"/>
    <mergeCell ref="J105:K105"/>
    <mergeCell ref="A106:K106"/>
    <mergeCell ref="A109:K109"/>
    <mergeCell ref="J110:K110"/>
    <mergeCell ref="J111:K111"/>
    <mergeCell ref="J112:K112"/>
    <mergeCell ref="J113:K113"/>
    <mergeCell ref="J114:K114"/>
    <mergeCell ref="A115:K115"/>
    <mergeCell ref="A118:K118"/>
    <mergeCell ref="J119:K119"/>
    <mergeCell ref="J120:K120"/>
    <mergeCell ref="J121:K121"/>
    <mergeCell ref="J122:K122"/>
    <mergeCell ref="A123:K123"/>
    <mergeCell ref="A143:K143"/>
    <mergeCell ref="J144:K144"/>
    <mergeCell ref="J145:K145"/>
    <mergeCell ref="J146:K146"/>
    <mergeCell ref="J147:K147"/>
    <mergeCell ref="A148:K148"/>
    <mergeCell ref="A151:K151"/>
    <mergeCell ref="J152:K152"/>
    <mergeCell ref="J153:K153"/>
    <mergeCell ref="J154:K154"/>
    <mergeCell ref="J155:K155"/>
    <mergeCell ref="A156:K156"/>
    <mergeCell ref="A159:K159"/>
    <mergeCell ref="J160:K160"/>
    <mergeCell ref="J161:K161"/>
    <mergeCell ref="A165:K165"/>
    <mergeCell ref="J164:K164"/>
    <mergeCell ref="J163:K163"/>
    <mergeCell ref="J162:K162"/>
    <mergeCell ref="A168:K168"/>
    <mergeCell ref="J169:K169"/>
    <mergeCell ref="J170:K170"/>
    <mergeCell ref="J171:K171"/>
    <mergeCell ref="J172:K172"/>
    <mergeCell ref="J173:K173"/>
    <mergeCell ref="A174:K174"/>
    <mergeCell ref="A177:K177"/>
    <mergeCell ref="J178:K178"/>
    <mergeCell ref="J179:K179"/>
    <mergeCell ref="J180:K180"/>
    <mergeCell ref="J181:K181"/>
    <mergeCell ref="J182:K182"/>
    <mergeCell ref="A183:K183"/>
    <mergeCell ref="A231:K231"/>
    <mergeCell ref="J232:K232"/>
    <mergeCell ref="J233:K233"/>
    <mergeCell ref="J234:K234"/>
    <mergeCell ref="J235:K235"/>
    <mergeCell ref="J236:K236"/>
    <mergeCell ref="A237:K237"/>
    <mergeCell ref="A240:K240"/>
    <mergeCell ref="J241:K241"/>
    <mergeCell ref="J242:K242"/>
    <mergeCell ref="J243:K243"/>
    <mergeCell ref="J244:K244"/>
    <mergeCell ref="J245:K245"/>
    <mergeCell ref="A246:K246"/>
    <mergeCell ref="A259:K259"/>
    <mergeCell ref="J260:K260"/>
    <mergeCell ref="J261:K261"/>
    <mergeCell ref="J262:K262"/>
    <mergeCell ref="J263:K263"/>
    <mergeCell ref="J264:K264"/>
    <mergeCell ref="J265:K265"/>
    <mergeCell ref="A266:K266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</cols>
  <sheetData>
    <row r="1">
      <c r="A1" s="71" t="s">
        <v>126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>
      <c r="A2" s="72" t="s">
        <v>127</v>
      </c>
      <c r="B2" s="72" t="s">
        <v>128</v>
      </c>
      <c r="C2" s="72" t="s">
        <v>129</v>
      </c>
      <c r="D2" s="72" t="s">
        <v>130</v>
      </c>
      <c r="E2" s="73" t="s">
        <v>131</v>
      </c>
      <c r="F2" s="72" t="s">
        <v>132</v>
      </c>
      <c r="G2" s="72" t="s">
        <v>133</v>
      </c>
      <c r="H2" s="72" t="s">
        <v>134</v>
      </c>
      <c r="I2" s="72" t="s">
        <v>135</v>
      </c>
      <c r="J2" s="72" t="s">
        <v>136</v>
      </c>
      <c r="K2" s="72"/>
    </row>
    <row r="3">
      <c r="A3" s="74" t="s">
        <v>137</v>
      </c>
      <c r="B3" s="75" t="s">
        <v>138</v>
      </c>
      <c r="C3" s="76">
        <v>4</v>
      </c>
      <c r="D3" s="77">
        <v>3263.78</v>
      </c>
      <c r="E3" s="77">
        <v>0</v>
      </c>
      <c r="F3" s="77">
        <v>0</v>
      </c>
      <c r="G3" s="78">
        <f t="shared" ref="G3:G6" si="62">E3/F3</f>
      </c>
      <c r="H3" s="78">
        <f t="shared" ref="H3:H6" si="31">D3/F3</f>
      </c>
      <c r="I3" s="78">
        <f t="shared" ref="I3:I6" si="0">E3/D3</f>
      </c>
      <c r="J3" s="78">
        <f t="shared" ref="J3:J6" si="93">D3/C3</f>
      </c>
      <c r="K3" s="78"/>
    </row>
    <row r="4">
      <c r="A4" s="74" t="s">
        <v>139</v>
      </c>
      <c r="B4" s="75" t="s">
        <v>140</v>
      </c>
      <c r="C4" s="77">
        <v>4</v>
      </c>
      <c r="D4" s="77">
        <v>3394.49</v>
      </c>
      <c r="E4" s="77">
        <v>12481.2</v>
      </c>
      <c r="F4" s="77">
        <v>3</v>
      </c>
      <c r="G4" s="78">
        <f t="shared" si="62"/>
      </c>
      <c r="H4" s="78">
        <f t="shared" si="31"/>
      </c>
      <c r="I4" s="78">
        <f t="shared" si="0"/>
      </c>
      <c r="J4" s="78">
        <f t="shared" si="93"/>
      </c>
      <c r="K4" s="78"/>
    </row>
    <row r="5">
      <c r="A5" s="79" t="s">
        <v>141</v>
      </c>
      <c r="B5" s="75" t="s">
        <v>142</v>
      </c>
      <c r="C5" s="77">
        <v>4</v>
      </c>
      <c r="D5" s="77">
        <v>5287.4</v>
      </c>
      <c r="E5" s="77">
        <v>9112.8</v>
      </c>
      <c r="F5" s="77">
        <v>4</v>
      </c>
      <c r="G5" s="78">
        <f t="shared" si="62"/>
      </c>
      <c r="H5" s="78">
        <f t="shared" si="31"/>
      </c>
      <c r="I5" s="78">
        <f t="shared" si="0"/>
      </c>
      <c r="J5" s="78">
        <f t="shared" si="93"/>
      </c>
      <c r="K5" s="78"/>
    </row>
    <row r="6">
      <c r="A6" s="72" t="s">
        <v>143</v>
      </c>
      <c r="B6" s="72"/>
      <c r="C6" s="72">
        <f>SUM(C3:C5)</f>
      </c>
      <c r="D6" s="72">
        <f>SUM(D3:D5)</f>
      </c>
      <c r="E6" s="72">
        <f>SUM(E3:E5)</f>
      </c>
      <c r="F6" s="72">
        <f>SUM(F3:F5)</f>
      </c>
      <c r="G6" s="80">
        <f t="shared" si="62"/>
      </c>
      <c r="H6" s="80">
        <f t="shared" si="31"/>
      </c>
      <c r="I6" s="80">
        <f t="shared" si="0"/>
      </c>
      <c r="J6" s="80">
        <f t="shared" si="93"/>
      </c>
      <c r="K6" s="80"/>
    </row>
    <row r="7">
      <c r="A7" s="81" t="s">
        <v>144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>
      <c r="A8" s="82" t="s">
        <v>130</v>
      </c>
      <c r="B8" s="82" t="s">
        <v>145</v>
      </c>
      <c r="C8" s="82" t="s">
        <v>146</v>
      </c>
      <c r="D8" s="82" t="s">
        <v>147</v>
      </c>
      <c r="E8" s="82" t="s">
        <v>148</v>
      </c>
      <c r="F8" s="82" t="s">
        <v>149</v>
      </c>
      <c r="G8" s="82" t="s">
        <v>150</v>
      </c>
      <c r="H8" s="83" t="s">
        <v>151</v>
      </c>
      <c r="I8" s="83" t="s">
        <v>152</v>
      </c>
      <c r="J8" s="83" t="s">
        <v>153</v>
      </c>
      <c r="K8" s="83" t="s">
        <v>129</v>
      </c>
    </row>
    <row r="9">
      <c r="A9" s="84">
        <f>SUM(D3:D5)</f>
      </c>
      <c r="B9" s="85">
        <f>SUM(E3:E5)</f>
      </c>
      <c r="C9" s="85">
        <f>B9/((K9*300)+A9)</f>
      </c>
      <c r="D9" s="86">
        <f>A9/J9</f>
      </c>
      <c r="E9" s="85">
        <f>B9/J9</f>
      </c>
      <c r="F9" s="87">
        <f>J9/I9</f>
      </c>
      <c r="G9" s="87">
        <f>H9/J9</f>
      </c>
      <c r="H9" s="88">
        <v>2</v>
      </c>
      <c r="I9" s="88">
        <v>18</v>
      </c>
      <c r="J9" s="88">
        <f>F6</f>
      </c>
      <c r="K9" s="89">
        <f>C6</f>
      </c>
    </row>
    <row r="10">
      <c r="A10" s="71" t="s">
        <v>154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</row>
    <row r="11">
      <c r="A11" s="72" t="s">
        <v>127</v>
      </c>
      <c r="B11" s="72" t="s">
        <v>128</v>
      </c>
      <c r="C11" s="72" t="s">
        <v>129</v>
      </c>
      <c r="D11" s="72" t="s">
        <v>130</v>
      </c>
      <c r="E11" s="73" t="s">
        <v>131</v>
      </c>
      <c r="F11" s="72" t="s">
        <v>132</v>
      </c>
      <c r="G11" s="72" t="s">
        <v>133</v>
      </c>
      <c r="H11" s="72" t="s">
        <v>134</v>
      </c>
      <c r="I11" s="72" t="s">
        <v>135</v>
      </c>
      <c r="J11" s="72" t="s">
        <v>136</v>
      </c>
      <c r="K11" s="72"/>
    </row>
    <row r="12">
      <c r="A12" s="74" t="s">
        <v>137</v>
      </c>
      <c r="B12" s="75" t="s">
        <v>138</v>
      </c>
      <c r="C12" s="76">
        <v>4</v>
      </c>
      <c r="D12" s="77">
        <v>5241.83</v>
      </c>
      <c r="E12" s="77">
        <v>6141.6</v>
      </c>
      <c r="F12" s="77">
        <v>4</v>
      </c>
      <c r="G12" s="78">
        <f t="shared" ref="G12:G15" si="63">E12/F12</f>
      </c>
      <c r="H12" s="78">
        <f t="shared" ref="H12:H15" si="32">D12/F12</f>
      </c>
      <c r="I12" s="78">
        <f t="shared" ref="I12:I15" si="1">E12/D12</f>
      </c>
      <c r="J12" s="78">
        <f t="shared" ref="J12:J15" si="94">D12/C12</f>
      </c>
      <c r="K12" s="78"/>
    </row>
    <row r="13">
      <c r="A13" s="74" t="s">
        <v>139</v>
      </c>
      <c r="B13" s="75" t="s">
        <v>140</v>
      </c>
      <c r="C13" s="77">
        <v>4</v>
      </c>
      <c r="D13" s="77">
        <v>5854.55</v>
      </c>
      <c r="E13" s="77">
        <v>18372.8</v>
      </c>
      <c r="F13" s="77">
        <v>11</v>
      </c>
      <c r="G13" s="78">
        <f t="shared" si="63"/>
      </c>
      <c r="H13" s="78">
        <f t="shared" si="32"/>
      </c>
      <c r="I13" s="78">
        <f t="shared" si="1"/>
      </c>
      <c r="J13" s="78">
        <f t="shared" si="94"/>
      </c>
      <c r="K13" s="78"/>
    </row>
    <row r="14">
      <c r="A14" s="79" t="s">
        <v>141</v>
      </c>
      <c r="B14" s="75" t="s">
        <v>142</v>
      </c>
      <c r="C14" s="77">
        <v>4</v>
      </c>
      <c r="D14" s="77">
        <v>5676.35</v>
      </c>
      <c r="E14" s="77">
        <v>10979</v>
      </c>
      <c r="F14" s="77">
        <v>5</v>
      </c>
      <c r="G14" s="78">
        <f t="shared" si="63"/>
      </c>
      <c r="H14" s="78">
        <f t="shared" si="32"/>
      </c>
      <c r="I14" s="78">
        <f t="shared" si="1"/>
      </c>
      <c r="J14" s="78">
        <f t="shared" si="94"/>
      </c>
      <c r="K14" s="78"/>
    </row>
    <row r="15">
      <c r="A15" s="72" t="s">
        <v>143</v>
      </c>
      <c r="B15" s="72"/>
      <c r="C15" s="72">
        <f>SUM(C12:C14)</f>
      </c>
      <c r="D15" s="72">
        <f>SUM(D12:D14)</f>
      </c>
      <c r="E15" s="72">
        <f>SUM(E12:E14)</f>
      </c>
      <c r="F15" s="72">
        <f>SUM(F12:F14)</f>
      </c>
      <c r="G15" s="80">
        <f t="shared" si="63"/>
      </c>
      <c r="H15" s="80">
        <f t="shared" si="32"/>
      </c>
      <c r="I15" s="80">
        <f t="shared" si="1"/>
      </c>
      <c r="J15" s="80">
        <f t="shared" si="94"/>
      </c>
      <c r="K15" s="80"/>
    </row>
    <row r="16">
      <c r="A16" s="81" t="s">
        <v>144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</row>
    <row r="17">
      <c r="A17" s="82" t="s">
        <v>130</v>
      </c>
      <c r="B17" s="82" t="s">
        <v>145</v>
      </c>
      <c r="C17" s="82" t="s">
        <v>146</v>
      </c>
      <c r="D17" s="82" t="s">
        <v>147</v>
      </c>
      <c r="E17" s="82" t="s">
        <v>148</v>
      </c>
      <c r="F17" s="82" t="s">
        <v>149</v>
      </c>
      <c r="G17" s="82" t="s">
        <v>150</v>
      </c>
      <c r="H17" s="83" t="s">
        <v>151</v>
      </c>
      <c r="I17" s="83" t="s">
        <v>152</v>
      </c>
      <c r="J17" s="83" t="s">
        <v>153</v>
      </c>
      <c r="K17" s="83" t="s">
        <v>129</v>
      </c>
    </row>
    <row r="18">
      <c r="A18" s="84">
        <f>SUM(D12:D14)</f>
      </c>
      <c r="B18" s="85">
        <f>SUM(E12:E14)</f>
      </c>
      <c r="C18" s="85">
        <f>B18/((K18*300)+A18)</f>
      </c>
      <c r="D18" s="86">
        <f>A18/J18</f>
      </c>
      <c r="E18" s="85">
        <f>B18/J18</f>
      </c>
      <c r="F18" s="87">
        <f>J18/I18</f>
      </c>
      <c r="G18" s="87">
        <f>H18/J18</f>
      </c>
      <c r="H18" s="88">
        <v>5</v>
      </c>
      <c r="I18" s="88">
        <v>24</v>
      </c>
      <c r="J18" s="88">
        <f>F15</f>
      </c>
      <c r="K18" s="89">
        <f>C15</f>
      </c>
    </row>
    <row r="19">
      <c r="A19" s="71" t="s">
        <v>155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</row>
    <row r="20">
      <c r="A20" s="72" t="s">
        <v>127</v>
      </c>
      <c r="B20" s="72" t="s">
        <v>128</v>
      </c>
      <c r="C20" s="72" t="s">
        <v>129</v>
      </c>
      <c r="D20" s="72" t="s">
        <v>130</v>
      </c>
      <c r="E20" s="73" t="s">
        <v>131</v>
      </c>
      <c r="F20" s="72" t="s">
        <v>132</v>
      </c>
      <c r="G20" s="72" t="s">
        <v>133</v>
      </c>
      <c r="H20" s="72" t="s">
        <v>134</v>
      </c>
      <c r="I20" s="72" t="s">
        <v>135</v>
      </c>
      <c r="J20" s="72" t="s">
        <v>136</v>
      </c>
      <c r="K20" s="72"/>
    </row>
    <row r="21">
      <c r="A21" s="79" t="s">
        <v>141</v>
      </c>
      <c r="B21" s="75" t="s">
        <v>138</v>
      </c>
      <c r="C21" s="76">
        <v>4</v>
      </c>
      <c r="D21" s="77">
        <v>4854.8</v>
      </c>
      <c r="E21" s="77">
        <v>1186.8000000000002</v>
      </c>
      <c r="F21" s="77">
        <v>1</v>
      </c>
      <c r="G21" s="78">
        <f t="shared" ref="G21:G24" si="64">E21/F21</f>
      </c>
      <c r="H21" s="78">
        <f t="shared" ref="H21:H24" si="33">D21/F21</f>
      </c>
      <c r="I21" s="78">
        <f t="shared" ref="I21:I24" si="2">E21/D21</f>
      </c>
      <c r="J21" s="78">
        <f t="shared" ref="J21:J24" si="95">D21/C21</f>
      </c>
      <c r="K21" s="78"/>
    </row>
    <row r="22">
      <c r="A22" s="74" t="s">
        <v>137</v>
      </c>
      <c r="B22" s="75" t="s">
        <v>140</v>
      </c>
      <c r="C22" s="77">
        <v>4</v>
      </c>
      <c r="D22" s="77">
        <v>3563.680000000001</v>
      </c>
      <c r="E22" s="77">
        <v>1712.8000000000002</v>
      </c>
      <c r="F22" s="77">
        <v>2</v>
      </c>
      <c r="G22" s="78">
        <f t="shared" si="64"/>
      </c>
      <c r="H22" s="78">
        <f t="shared" si="33"/>
      </c>
      <c r="I22" s="78">
        <f t="shared" si="2"/>
      </c>
      <c r="J22" s="78">
        <f t="shared" si="95"/>
      </c>
      <c r="K22" s="78"/>
    </row>
    <row r="23">
      <c r="A23" s="79" t="s">
        <v>139</v>
      </c>
      <c r="B23" s="75" t="s">
        <v>142</v>
      </c>
      <c r="C23" s="77">
        <v>4</v>
      </c>
      <c r="D23" s="77">
        <v>4882.999999999998</v>
      </c>
      <c r="E23" s="77">
        <v>3376.8</v>
      </c>
      <c r="F23" s="77">
        <v>2</v>
      </c>
      <c r="G23" s="78">
        <f t="shared" si="64"/>
      </c>
      <c r="H23" s="78">
        <f t="shared" si="33"/>
      </c>
      <c r="I23" s="78">
        <f t="shared" si="2"/>
      </c>
      <c r="J23" s="78">
        <f t="shared" si="95"/>
      </c>
      <c r="K23" s="78"/>
    </row>
    <row r="24">
      <c r="A24" s="72" t="s">
        <v>143</v>
      </c>
      <c r="B24" s="72"/>
      <c r="C24" s="72">
        <f>SUM(C21:C23)</f>
      </c>
      <c r="D24" s="72">
        <f>SUM(D21:D23)</f>
      </c>
      <c r="E24" s="72">
        <f>SUM(E21:E23)</f>
      </c>
      <c r="F24" s="72">
        <f>SUM(F21:F23)</f>
      </c>
      <c r="G24" s="80">
        <f t="shared" si="64"/>
      </c>
      <c r="H24" s="80">
        <f t="shared" si="33"/>
      </c>
      <c r="I24" s="80">
        <f t="shared" si="2"/>
      </c>
      <c r="J24" s="80">
        <f t="shared" si="95"/>
      </c>
      <c r="K24" s="80"/>
    </row>
    <row r="25">
      <c r="A25" s="81" t="s">
        <v>144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>
      <c r="A26" s="82" t="s">
        <v>130</v>
      </c>
      <c r="B26" s="82" t="s">
        <v>145</v>
      </c>
      <c r="C26" s="82" t="s">
        <v>146</v>
      </c>
      <c r="D26" s="82" t="s">
        <v>147</v>
      </c>
      <c r="E26" s="82" t="s">
        <v>148</v>
      </c>
      <c r="F26" s="82" t="s">
        <v>149</v>
      </c>
      <c r="G26" s="82" t="s">
        <v>150</v>
      </c>
      <c r="H26" s="83" t="s">
        <v>151</v>
      </c>
      <c r="I26" s="83" t="s">
        <v>152</v>
      </c>
      <c r="J26" s="83" t="s">
        <v>153</v>
      </c>
      <c r="K26" s="83" t="s">
        <v>129</v>
      </c>
    </row>
    <row r="27">
      <c r="A27" s="84">
        <f>SUM(D21:D23)</f>
      </c>
      <c r="B27" s="85">
        <f>SUM(E21:E23)</f>
      </c>
      <c r="C27" s="85">
        <f>B27/((K27*300)+A27)</f>
      </c>
      <c r="D27" s="86">
        <f>A27/J27</f>
      </c>
      <c r="E27" s="85">
        <f>B27/J27</f>
      </c>
      <c r="F27" s="87">
        <f>J27/I27</f>
      </c>
      <c r="G27" s="87">
        <f>H27/J27</f>
      </c>
      <c r="H27" s="88">
        <v>0</v>
      </c>
      <c r="I27" s="88">
        <v>7</v>
      </c>
      <c r="J27" s="88">
        <f>F24</f>
      </c>
      <c r="K27" s="89">
        <f>C24</f>
      </c>
    </row>
    <row r="28">
      <c r="A28" s="71" t="s">
        <v>156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</row>
    <row r="29">
      <c r="A29" s="72" t="s">
        <v>127</v>
      </c>
      <c r="B29" s="72" t="s">
        <v>128</v>
      </c>
      <c r="C29" s="72" t="s">
        <v>129</v>
      </c>
      <c r="D29" s="72" t="s">
        <v>130</v>
      </c>
      <c r="E29" s="73" t="s">
        <v>131</v>
      </c>
      <c r="F29" s="72" t="s">
        <v>132</v>
      </c>
      <c r="G29" s="72" t="s">
        <v>133</v>
      </c>
      <c r="H29" s="72" t="s">
        <v>134</v>
      </c>
      <c r="I29" s="72" t="s">
        <v>135</v>
      </c>
      <c r="J29" s="72" t="s">
        <v>136</v>
      </c>
      <c r="K29" s="72"/>
    </row>
    <row r="30">
      <c r="A30" s="79" t="s">
        <v>137</v>
      </c>
      <c r="B30" s="90" t="s">
        <v>157</v>
      </c>
      <c r="C30" s="77">
        <v>5</v>
      </c>
      <c r="D30" s="77">
        <v>3537.42</v>
      </c>
      <c r="E30" s="77">
        <v>1669.2</v>
      </c>
      <c r="F30" s="77">
        <v>1</v>
      </c>
      <c r="G30" s="78">
        <f t="shared" ref="G30:G32" si="65">E30/F30</f>
      </c>
      <c r="H30" s="78">
        <f t="shared" ref="H30:H32" si="34">D30/F30</f>
      </c>
      <c r="I30" s="78">
        <f t="shared" ref="I30:I32" si="3">E30/D30</f>
      </c>
      <c r="J30" s="78">
        <f t="shared" ref="J30:J32" si="96">D30/C30</f>
      </c>
      <c r="K30" s="78"/>
    </row>
    <row r="31">
      <c r="A31" s="79" t="s">
        <v>141</v>
      </c>
      <c r="B31" s="90" t="s">
        <v>158</v>
      </c>
      <c r="C31" s="77">
        <v>5</v>
      </c>
      <c r="D31" s="77">
        <v>5036.209999999999</v>
      </c>
      <c r="E31" s="77">
        <v>5604</v>
      </c>
      <c r="F31" s="77">
        <v>3</v>
      </c>
      <c r="G31" s="78">
        <f t="shared" si="65"/>
      </c>
      <c r="H31" s="78">
        <f t="shared" si="34"/>
      </c>
      <c r="I31" s="78">
        <f t="shared" si="3"/>
      </c>
      <c r="J31" s="78">
        <f t="shared" si="96"/>
      </c>
      <c r="K31" s="78"/>
    </row>
    <row r="32">
      <c r="A32" s="72" t="s">
        <v>143</v>
      </c>
      <c r="B32" s="72"/>
      <c r="C32" s="72">
        <f>SUM(C30:C31)</f>
      </c>
      <c r="D32" s="72">
        <f>SUM(D30:D31)</f>
      </c>
      <c r="E32" s="72">
        <f>SUM(E30:E31)</f>
      </c>
      <c r="F32" s="72">
        <f>SUM(F30:F31)</f>
      </c>
      <c r="G32" s="80">
        <f t="shared" si="65"/>
      </c>
      <c r="H32" s="80">
        <f t="shared" si="34"/>
      </c>
      <c r="I32" s="80">
        <f t="shared" si="3"/>
      </c>
      <c r="J32" s="80">
        <f t="shared" si="96"/>
      </c>
      <c r="K32" s="80"/>
    </row>
    <row r="33">
      <c r="A33" s="81" t="s">
        <v>144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>
      <c r="A34" s="82" t="s">
        <v>130</v>
      </c>
      <c r="B34" s="82" t="s">
        <v>145</v>
      </c>
      <c r="C34" s="82" t="s">
        <v>146</v>
      </c>
      <c r="D34" s="82" t="s">
        <v>147</v>
      </c>
      <c r="E34" s="82" t="s">
        <v>148</v>
      </c>
      <c r="F34" s="82" t="s">
        <v>149</v>
      </c>
      <c r="G34" s="82" t="s">
        <v>150</v>
      </c>
      <c r="H34" s="83" t="s">
        <v>151</v>
      </c>
      <c r="I34" s="83" t="s">
        <v>152</v>
      </c>
      <c r="J34" s="83" t="s">
        <v>153</v>
      </c>
      <c r="K34" s="83" t="s">
        <v>129</v>
      </c>
    </row>
    <row r="35">
      <c r="A35" s="84">
        <f>SUM(D30:D31)</f>
      </c>
      <c r="B35" s="85">
        <f>SUM(E30:E31)</f>
      </c>
      <c r="C35" s="85">
        <f>B35/((K35*300)+A35)</f>
      </c>
      <c r="D35" s="86">
        <f>A35/J35</f>
      </c>
      <c r="E35" s="85">
        <f>B35/J35</f>
      </c>
      <c r="F35" s="87">
        <f>J35/I35</f>
      </c>
      <c r="G35" s="87">
        <f>H35/J35</f>
      </c>
      <c r="H35" s="88">
        <v>0</v>
      </c>
      <c r="I35" s="88">
        <v>5</v>
      </c>
      <c r="J35" s="88">
        <f>F32</f>
      </c>
      <c r="K35" s="89">
        <f>C32</f>
      </c>
    </row>
    <row r="36">
      <c r="A36" s="71" t="s">
        <v>159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>
      <c r="A37" s="72" t="s">
        <v>127</v>
      </c>
      <c r="B37" s="72" t="s">
        <v>128</v>
      </c>
      <c r="C37" s="72" t="s">
        <v>129</v>
      </c>
      <c r="D37" s="72" t="s">
        <v>130</v>
      </c>
      <c r="E37" s="73" t="s">
        <v>131</v>
      </c>
      <c r="F37" s="72" t="s">
        <v>132</v>
      </c>
      <c r="G37" s="72" t="s">
        <v>133</v>
      </c>
      <c r="H37" s="72" t="s">
        <v>134</v>
      </c>
      <c r="I37" s="72" t="s">
        <v>135</v>
      </c>
      <c r="J37" s="72" t="s">
        <v>136</v>
      </c>
      <c r="K37" s="72"/>
    </row>
    <row r="38">
      <c r="A38" s="79" t="s">
        <v>141</v>
      </c>
      <c r="B38" s="90" t="s">
        <v>160</v>
      </c>
      <c r="C38" s="77">
        <v>6</v>
      </c>
      <c r="D38" s="77">
        <v>5480.81</v>
      </c>
      <c r="E38" s="77">
        <v>7651.2</v>
      </c>
      <c r="F38" s="77">
        <v>5</v>
      </c>
      <c r="G38" s="78">
        <f t="shared" ref="G38:G40" si="66">E38/F38</f>
      </c>
      <c r="H38" s="78">
        <f t="shared" ref="H38:H40" si="35">D38/F38</f>
      </c>
      <c r="I38" s="78">
        <f t="shared" ref="I38:I40" si="4">E38/D38</f>
      </c>
      <c r="J38" s="78">
        <f t="shared" ref="J38:J40" si="97">D38/C38</f>
      </c>
      <c r="K38" s="78"/>
    </row>
    <row r="39">
      <c r="A39" s="79" t="s">
        <v>139</v>
      </c>
      <c r="B39" s="90" t="s">
        <v>161</v>
      </c>
      <c r="C39" s="77">
        <v>6</v>
      </c>
      <c r="D39" s="77">
        <v>8010.7300000000005</v>
      </c>
      <c r="E39" s="77">
        <v>12816</v>
      </c>
      <c r="F39" s="77">
        <v>5</v>
      </c>
      <c r="G39" s="78">
        <f t="shared" si="66"/>
      </c>
      <c r="H39" s="78">
        <f t="shared" si="35"/>
      </c>
      <c r="I39" s="78">
        <f t="shared" si="4"/>
      </c>
      <c r="J39" s="78">
        <f t="shared" si="97"/>
      </c>
      <c r="K39" s="78"/>
    </row>
    <row r="40">
      <c r="A40" s="72" t="s">
        <v>143</v>
      </c>
      <c r="B40" s="72"/>
      <c r="C40" s="72">
        <f>SUM(C38:C39)</f>
      </c>
      <c r="D40" s="72">
        <f>SUM(D38:D39)</f>
      </c>
      <c r="E40" s="72">
        <f>SUM(E38:E39)</f>
      </c>
      <c r="F40" s="72">
        <f>SUM(F38:F39)</f>
      </c>
      <c r="G40" s="80">
        <f t="shared" si="66"/>
      </c>
      <c r="H40" s="80">
        <f t="shared" si="35"/>
      </c>
      <c r="I40" s="80">
        <f t="shared" si="4"/>
      </c>
      <c r="J40" s="80">
        <f t="shared" si="97"/>
      </c>
      <c r="K40" s="80"/>
    </row>
    <row r="41">
      <c r="A41" s="81" t="s">
        <v>144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</row>
    <row r="42">
      <c r="A42" s="82" t="s">
        <v>130</v>
      </c>
      <c r="B42" s="82" t="s">
        <v>145</v>
      </c>
      <c r="C42" s="82" t="s">
        <v>146</v>
      </c>
      <c r="D42" s="82" t="s">
        <v>147</v>
      </c>
      <c r="E42" s="82" t="s">
        <v>148</v>
      </c>
      <c r="F42" s="82" t="s">
        <v>149</v>
      </c>
      <c r="G42" s="82" t="s">
        <v>150</v>
      </c>
      <c r="H42" s="83" t="s">
        <v>151</v>
      </c>
      <c r="I42" s="83" t="s">
        <v>152</v>
      </c>
      <c r="J42" s="83" t="s">
        <v>153</v>
      </c>
      <c r="K42" s="83" t="s">
        <v>129</v>
      </c>
    </row>
    <row r="43">
      <c r="A43" s="84">
        <f>SUM(D38:D39)</f>
      </c>
      <c r="B43" s="85">
        <f>SUM(E38:E39)</f>
      </c>
      <c r="C43" s="85">
        <f>B43/((K43*300)+A43)</f>
      </c>
      <c r="D43" s="86">
        <f>A43/J43</f>
      </c>
      <c r="E43" s="85">
        <f>B43/J43</f>
      </c>
      <c r="F43" s="87">
        <f>J43/I43</f>
      </c>
      <c r="G43" s="87">
        <f>H43/J43</f>
      </c>
      <c r="H43" s="88">
        <v>2</v>
      </c>
      <c r="I43" s="88">
        <v>11</v>
      </c>
      <c r="J43" s="88">
        <f>F40</f>
      </c>
      <c r="K43" s="89">
        <f>C40</f>
      </c>
    </row>
    <row r="44">
      <c r="A44" s="71" t="s">
        <v>162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>
      <c r="A45" s="72" t="s">
        <v>127</v>
      </c>
      <c r="B45" s="72" t="s">
        <v>128</v>
      </c>
      <c r="C45" s="72" t="s">
        <v>129</v>
      </c>
      <c r="D45" s="72" t="s">
        <v>130</v>
      </c>
      <c r="E45" s="73" t="s">
        <v>131</v>
      </c>
      <c r="F45" s="72" t="s">
        <v>132</v>
      </c>
      <c r="G45" s="72" t="s">
        <v>133</v>
      </c>
      <c r="H45" s="72" t="s">
        <v>134</v>
      </c>
      <c r="I45" s="72" t="s">
        <v>135</v>
      </c>
      <c r="J45" s="72" t="s">
        <v>136</v>
      </c>
      <c r="K45" s="72"/>
    </row>
    <row r="46">
      <c r="A46" s="74" t="s">
        <v>141</v>
      </c>
      <c r="B46" s="75" t="s">
        <v>138</v>
      </c>
      <c r="C46" s="76">
        <v>4</v>
      </c>
      <c r="D46" s="77">
        <v>4463.099999999999</v>
      </c>
      <c r="E46" s="77">
        <v>7545.2</v>
      </c>
      <c r="F46" s="77">
        <v>3</v>
      </c>
      <c r="G46" s="78">
        <f t="shared" ref="G46:G49" si="67">E46/F46</f>
      </c>
      <c r="H46" s="78">
        <f t="shared" ref="H46:H49" si="36">D46/F46</f>
      </c>
      <c r="I46" s="78">
        <f t="shared" ref="I46:I49" si="5">E46/D46</f>
      </c>
      <c r="J46" s="78">
        <f t="shared" ref="J46:J49" si="98">D46/C46</f>
      </c>
      <c r="K46" s="78"/>
    </row>
    <row r="47">
      <c r="A47" s="74" t="s">
        <v>139</v>
      </c>
      <c r="B47" s="75" t="s">
        <v>140</v>
      </c>
      <c r="C47" s="77">
        <v>4</v>
      </c>
      <c r="D47" s="77">
        <v>3530.55</v>
      </c>
      <c r="E47" s="77">
        <v>2058.000000000001</v>
      </c>
      <c r="F47" s="77">
        <v>1</v>
      </c>
      <c r="G47" s="78">
        <f t="shared" si="67"/>
      </c>
      <c r="H47" s="78">
        <f t="shared" si="36"/>
      </c>
      <c r="I47" s="78">
        <f t="shared" si="5"/>
      </c>
      <c r="J47" s="78">
        <f t="shared" si="98"/>
      </c>
      <c r="K47" s="78"/>
    </row>
    <row r="48">
      <c r="A48" s="79" t="s">
        <v>137</v>
      </c>
      <c r="B48" s="75" t="s">
        <v>142</v>
      </c>
      <c r="C48" s="77">
        <v>4</v>
      </c>
      <c r="D48" s="77">
        <v>6969.140000000001</v>
      </c>
      <c r="E48" s="77">
        <v>15519.599999999999</v>
      </c>
      <c r="F48" s="77">
        <v>12</v>
      </c>
      <c r="G48" s="78">
        <f t="shared" si="67"/>
      </c>
      <c r="H48" s="78">
        <f t="shared" si="36"/>
      </c>
      <c r="I48" s="78">
        <f t="shared" si="5"/>
      </c>
      <c r="J48" s="78">
        <f t="shared" si="98"/>
      </c>
      <c r="K48" s="78"/>
    </row>
    <row r="49">
      <c r="A49" s="72" t="s">
        <v>143</v>
      </c>
      <c r="B49" s="72"/>
      <c r="C49" s="72">
        <f>SUM(C46:C48)</f>
      </c>
      <c r="D49" s="72">
        <f>SUM(D46:D48)</f>
      </c>
      <c r="E49" s="72">
        <f>SUM(E46:E48)</f>
      </c>
      <c r="F49" s="72">
        <f>SUM(F46:F48)</f>
      </c>
      <c r="G49" s="80">
        <f t="shared" si="67"/>
      </c>
      <c r="H49" s="80">
        <f t="shared" si="36"/>
      </c>
      <c r="I49" s="80">
        <f t="shared" si="5"/>
      </c>
      <c r="J49" s="80">
        <f t="shared" si="98"/>
      </c>
      <c r="K49" s="80"/>
    </row>
    <row r="50">
      <c r="A50" s="81" t="s">
        <v>144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</row>
    <row r="51">
      <c r="A51" s="82" t="s">
        <v>130</v>
      </c>
      <c r="B51" s="82" t="s">
        <v>145</v>
      </c>
      <c r="C51" s="82" t="s">
        <v>146</v>
      </c>
      <c r="D51" s="82" t="s">
        <v>147</v>
      </c>
      <c r="E51" s="82" t="s">
        <v>148</v>
      </c>
      <c r="F51" s="82" t="s">
        <v>149</v>
      </c>
      <c r="G51" s="82" t="s">
        <v>150</v>
      </c>
      <c r="H51" s="83" t="s">
        <v>151</v>
      </c>
      <c r="I51" s="83" t="s">
        <v>152</v>
      </c>
      <c r="J51" s="83" t="s">
        <v>153</v>
      </c>
      <c r="K51" s="83" t="s">
        <v>129</v>
      </c>
    </row>
    <row r="52">
      <c r="A52" s="84">
        <f>SUM(D46:D48)</f>
      </c>
      <c r="B52" s="85">
        <f>SUM(E46:E48)</f>
      </c>
      <c r="C52" s="85">
        <f>B52/((K52*300)+A52)</f>
      </c>
      <c r="D52" s="86">
        <f>A52/J52</f>
      </c>
      <c r="E52" s="85">
        <f>B52/J52</f>
      </c>
      <c r="F52" s="87">
        <f>J52/I52</f>
      </c>
      <c r="G52" s="87">
        <f>H52/J52</f>
      </c>
      <c r="H52" s="88">
        <v>2</v>
      </c>
      <c r="I52" s="88">
        <v>22</v>
      </c>
      <c r="J52" s="88">
        <f>F49</f>
      </c>
      <c r="K52" s="88">
        <v>12</v>
      </c>
    </row>
    <row r="53">
      <c r="A53" s="71" t="s">
        <v>163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>
      <c r="A54" s="72" t="s">
        <v>127</v>
      </c>
      <c r="B54" s="72" t="s">
        <v>128</v>
      </c>
      <c r="C54" s="72" t="s">
        <v>129</v>
      </c>
      <c r="D54" s="72" t="s">
        <v>130</v>
      </c>
      <c r="E54" s="73" t="s">
        <v>131</v>
      </c>
      <c r="F54" s="72" t="s">
        <v>132</v>
      </c>
      <c r="G54" s="72" t="s">
        <v>133</v>
      </c>
      <c r="H54" s="72" t="s">
        <v>134</v>
      </c>
      <c r="I54" s="72" t="s">
        <v>135</v>
      </c>
      <c r="J54" s="72" t="s">
        <v>136</v>
      </c>
      <c r="K54" s="72"/>
    </row>
    <row r="55">
      <c r="A55" s="74" t="s">
        <v>139</v>
      </c>
      <c r="B55" s="75" t="s">
        <v>138</v>
      </c>
      <c r="C55" s="76">
        <v>4</v>
      </c>
      <c r="D55" s="77">
        <v>4455.72</v>
      </c>
      <c r="E55" s="77">
        <v>8900</v>
      </c>
      <c r="F55" s="77">
        <v>6</v>
      </c>
      <c r="G55" s="78">
        <f t="shared" ref="G55:G58" si="68">E55/F55</f>
      </c>
      <c r="H55" s="78">
        <f t="shared" ref="H55:H58" si="37">D55/F55</f>
      </c>
      <c r="I55" s="78">
        <f t="shared" ref="I55:I58" si="6">E55/D55</f>
      </c>
      <c r="J55" s="78">
        <f t="shared" ref="J55:J58" si="99">D55/C55</f>
      </c>
      <c r="K55" s="78"/>
    </row>
    <row r="56">
      <c r="A56" s="74" t="s">
        <v>141</v>
      </c>
      <c r="B56" s="75" t="s">
        <v>140</v>
      </c>
      <c r="C56" s="77">
        <v>4</v>
      </c>
      <c r="D56" s="77">
        <v>4359.909999999999</v>
      </c>
      <c r="E56" s="77">
        <v>2058</v>
      </c>
      <c r="F56" s="77">
        <v>1</v>
      </c>
      <c r="G56" s="78">
        <f t="shared" si="68"/>
      </c>
      <c r="H56" s="78">
        <f t="shared" si="37"/>
      </c>
      <c r="I56" s="78">
        <f t="shared" si="6"/>
      </c>
      <c r="J56" s="78">
        <f t="shared" si="99"/>
      </c>
      <c r="K56" s="78"/>
    </row>
    <row r="57">
      <c r="A57" s="79" t="s">
        <v>137</v>
      </c>
      <c r="B57" s="75" t="s">
        <v>142</v>
      </c>
      <c r="C57" s="77">
        <v>4</v>
      </c>
      <c r="D57" s="77">
        <v>5779.6</v>
      </c>
      <c r="E57" s="77">
        <v>7648.799999999999</v>
      </c>
      <c r="F57" s="77">
        <v>4</v>
      </c>
      <c r="G57" s="78">
        <f t="shared" si="68"/>
      </c>
      <c r="H57" s="78">
        <f t="shared" si="37"/>
      </c>
      <c r="I57" s="78">
        <f t="shared" si="6"/>
      </c>
      <c r="J57" s="78">
        <f t="shared" si="99"/>
      </c>
      <c r="K57" s="78"/>
    </row>
    <row r="58">
      <c r="A58" s="72" t="s">
        <v>143</v>
      </c>
      <c r="B58" s="72"/>
      <c r="C58" s="72">
        <f>SUM(C55:C57)</f>
      </c>
      <c r="D58" s="72">
        <f>SUM(D55:D57)</f>
      </c>
      <c r="E58" s="72">
        <f>SUM(E55:E57)</f>
      </c>
      <c r="F58" s="72">
        <f>SUM(F55:F57)</f>
      </c>
      <c r="G58" s="80">
        <f t="shared" si="68"/>
      </c>
      <c r="H58" s="80">
        <f t="shared" si="37"/>
      </c>
      <c r="I58" s="80">
        <f t="shared" si="6"/>
      </c>
      <c r="J58" s="80">
        <f t="shared" si="99"/>
      </c>
      <c r="K58" s="80"/>
    </row>
    <row r="59">
      <c r="A59" s="81" t="s">
        <v>144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</row>
    <row r="60">
      <c r="A60" s="82" t="s">
        <v>130</v>
      </c>
      <c r="B60" s="82" t="s">
        <v>145</v>
      </c>
      <c r="C60" s="82" t="s">
        <v>146</v>
      </c>
      <c r="D60" s="82" t="s">
        <v>147</v>
      </c>
      <c r="E60" s="82" t="s">
        <v>148</v>
      </c>
      <c r="F60" s="82" t="s">
        <v>149</v>
      </c>
      <c r="G60" s="82" t="s">
        <v>150</v>
      </c>
      <c r="H60" s="83" t="s">
        <v>151</v>
      </c>
      <c r="I60" s="83" t="s">
        <v>152</v>
      </c>
      <c r="J60" s="83" t="s">
        <v>153</v>
      </c>
      <c r="K60" s="83" t="s">
        <v>129</v>
      </c>
    </row>
    <row r="61">
      <c r="A61" s="84">
        <f>SUM(D55:D57)</f>
      </c>
      <c r="B61" s="85">
        <f>SUM(E55:E57)</f>
      </c>
      <c r="C61" s="85">
        <f>B61/((K61*300)+A61)</f>
      </c>
      <c r="D61" s="86">
        <f>A61/J61</f>
      </c>
      <c r="E61" s="85">
        <f>B61/J61</f>
      </c>
      <c r="F61" s="87">
        <f>J61/I61</f>
      </c>
      <c r="G61" s="87">
        <f>H61/J61</f>
      </c>
      <c r="H61" s="88">
        <v>3</v>
      </c>
      <c r="I61" s="88">
        <v>20</v>
      </c>
      <c r="J61" s="88">
        <f>F58</f>
      </c>
      <c r="K61" s="88">
        <v>12</v>
      </c>
    </row>
    <row r="62">
      <c r="A62" s="71" t="s">
        <v>164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>
      <c r="A63" s="72" t="s">
        <v>127</v>
      </c>
      <c r="B63" s="72" t="s">
        <v>128</v>
      </c>
      <c r="C63" s="72" t="s">
        <v>129</v>
      </c>
      <c r="D63" s="72" t="s">
        <v>130</v>
      </c>
      <c r="E63" s="73" t="s">
        <v>131</v>
      </c>
      <c r="F63" s="72" t="s">
        <v>132</v>
      </c>
      <c r="G63" s="72" t="s">
        <v>133</v>
      </c>
      <c r="H63" s="72" t="s">
        <v>134</v>
      </c>
      <c r="I63" s="72" t="s">
        <v>135</v>
      </c>
      <c r="J63" s="72" t="s">
        <v>136</v>
      </c>
      <c r="K63" s="72"/>
    </row>
    <row r="64">
      <c r="A64" s="74" t="s">
        <v>139</v>
      </c>
      <c r="B64" s="75" t="s">
        <v>138</v>
      </c>
      <c r="C64" s="76">
        <v>4</v>
      </c>
      <c r="D64" s="77">
        <v>2562.22</v>
      </c>
      <c r="E64" s="77">
        <v>3900.8</v>
      </c>
      <c r="F64" s="77">
        <v>3</v>
      </c>
      <c r="G64" s="78">
        <f t="shared" ref="G64:G67" si="69">E64/F64</f>
      </c>
      <c r="H64" s="78">
        <f t="shared" ref="H64:H67" si="38">D64/F64</f>
      </c>
      <c r="I64" s="78">
        <f t="shared" ref="I64:I67" si="7">E64/D64</f>
      </c>
      <c r="J64" s="78">
        <f t="shared" ref="J64:J67" si="100">D64/C64</f>
      </c>
      <c r="K64" s="78"/>
    </row>
    <row r="65">
      <c r="A65" s="74" t="s">
        <v>137</v>
      </c>
      <c r="B65" s="75" t="s">
        <v>140</v>
      </c>
      <c r="C65" s="77">
        <v>4</v>
      </c>
      <c r="D65" s="77">
        <v>3231.7</v>
      </c>
      <c r="E65" s="77">
        <v>8470.8</v>
      </c>
      <c r="F65" s="77">
        <v>6</v>
      </c>
      <c r="G65" s="78">
        <f t="shared" si="69"/>
      </c>
      <c r="H65" s="78">
        <f t="shared" si="38"/>
      </c>
      <c r="I65" s="78">
        <f t="shared" si="7"/>
      </c>
      <c r="J65" s="78">
        <f t="shared" si="100"/>
      </c>
      <c r="K65" s="78"/>
    </row>
    <row r="66">
      <c r="A66" s="79" t="s">
        <v>141</v>
      </c>
      <c r="B66" s="75" t="s">
        <v>142</v>
      </c>
      <c r="C66" s="77">
        <v>4</v>
      </c>
      <c r="D66" s="77">
        <v>3588.4400000000005</v>
      </c>
      <c r="E66" s="77">
        <v>1851.6000000000022</v>
      </c>
      <c r="F66" s="77">
        <v>2</v>
      </c>
      <c r="G66" s="78">
        <f t="shared" si="69"/>
      </c>
      <c r="H66" s="78">
        <f t="shared" si="38"/>
      </c>
      <c r="I66" s="78">
        <f t="shared" si="7"/>
      </c>
      <c r="J66" s="78">
        <f t="shared" si="100"/>
      </c>
      <c r="K66" s="78"/>
    </row>
    <row r="67">
      <c r="A67" s="72" t="s">
        <v>143</v>
      </c>
      <c r="B67" s="72"/>
      <c r="C67" s="72">
        <f>SUM(C64:C66)</f>
      </c>
      <c r="D67" s="72">
        <f>SUM(D64:D66)</f>
      </c>
      <c r="E67" s="72">
        <f>SUM(E64:E66)</f>
      </c>
      <c r="F67" s="72">
        <f>SUM(F64:F66)</f>
      </c>
      <c r="G67" s="80">
        <f t="shared" si="69"/>
      </c>
      <c r="H67" s="80">
        <f t="shared" si="38"/>
      </c>
      <c r="I67" s="80">
        <f t="shared" si="7"/>
      </c>
      <c r="J67" s="80">
        <f t="shared" si="100"/>
      </c>
      <c r="K67" s="80"/>
    </row>
    <row r="68">
      <c r="A68" s="81" t="s">
        <v>144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</row>
    <row r="69">
      <c r="A69" s="82" t="s">
        <v>130</v>
      </c>
      <c r="B69" s="82" t="s">
        <v>145</v>
      </c>
      <c r="C69" s="82" t="s">
        <v>146</v>
      </c>
      <c r="D69" s="82" t="s">
        <v>147</v>
      </c>
      <c r="E69" s="82" t="s">
        <v>148</v>
      </c>
      <c r="F69" s="82" t="s">
        <v>149</v>
      </c>
      <c r="G69" s="82" t="s">
        <v>150</v>
      </c>
      <c r="H69" s="83" t="s">
        <v>151</v>
      </c>
      <c r="I69" s="83" t="s">
        <v>152</v>
      </c>
      <c r="J69" s="83" t="s">
        <v>153</v>
      </c>
      <c r="K69" s="83" t="s">
        <v>129</v>
      </c>
    </row>
    <row r="70">
      <c r="A70" s="84">
        <f>SUM(D64:D66)</f>
      </c>
      <c r="B70" s="85">
        <f>SUM(E64:E66)</f>
      </c>
      <c r="C70" s="85">
        <f>B70/((K70*300)+A70)</f>
      </c>
      <c r="D70" s="86">
        <f>A70/J70</f>
      </c>
      <c r="E70" s="85">
        <f>B70/J70</f>
      </c>
      <c r="F70" s="87">
        <f>J70/I70</f>
      </c>
      <c r="G70" s="87">
        <f>H70/J70</f>
      </c>
      <c r="H70" s="88">
        <v>1</v>
      </c>
      <c r="I70" s="88">
        <v>13</v>
      </c>
      <c r="J70" s="88">
        <f>F67</f>
      </c>
      <c r="K70" s="88">
        <v>12</v>
      </c>
    </row>
    <row r="71">
      <c r="A71" s="71" t="s">
        <v>165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>
      <c r="A72" s="72" t="s">
        <v>127</v>
      </c>
      <c r="B72" s="72" t="s">
        <v>128</v>
      </c>
      <c r="C72" s="72" t="s">
        <v>129</v>
      </c>
      <c r="D72" s="72" t="s">
        <v>130</v>
      </c>
      <c r="E72" s="73" t="s">
        <v>131</v>
      </c>
      <c r="F72" s="72" t="s">
        <v>132</v>
      </c>
      <c r="G72" s="72" t="s">
        <v>133</v>
      </c>
      <c r="H72" s="72" t="s">
        <v>134</v>
      </c>
      <c r="I72" s="72" t="s">
        <v>135</v>
      </c>
      <c r="J72" s="72" t="s">
        <v>136</v>
      </c>
      <c r="K72" s="72"/>
    </row>
    <row r="73">
      <c r="A73" s="74" t="s">
        <v>141</v>
      </c>
      <c r="B73" s="75" t="s">
        <v>138</v>
      </c>
      <c r="C73" s="76">
        <v>4</v>
      </c>
      <c r="D73" s="77">
        <v>4771.72</v>
      </c>
      <c r="E73" s="77">
        <v>2466</v>
      </c>
      <c r="F73" s="77">
        <v>2</v>
      </c>
      <c r="G73" s="78">
        <f t="shared" ref="G73:G76" si="70">E73/F73</f>
      </c>
      <c r="H73" s="78">
        <f t="shared" ref="H73:H76" si="39">D73/F73</f>
      </c>
      <c r="I73" s="78">
        <f t="shared" ref="I73:I76" si="8">E73/D73</f>
      </c>
      <c r="J73" s="78">
        <f t="shared" ref="J73:J76" si="101">D73/C73</f>
      </c>
      <c r="K73" s="78"/>
    </row>
    <row r="74">
      <c r="A74" s="74" t="s">
        <v>139</v>
      </c>
      <c r="B74" s="75" t="s">
        <v>140</v>
      </c>
      <c r="C74" s="77">
        <v>4</v>
      </c>
      <c r="D74" s="77">
        <v>4273.62</v>
      </c>
      <c r="E74" s="77">
        <v>2373.6000000000004</v>
      </c>
      <c r="F74" s="77">
        <v>2</v>
      </c>
      <c r="G74" s="78">
        <f t="shared" si="70"/>
      </c>
      <c r="H74" s="78">
        <f t="shared" si="39"/>
      </c>
      <c r="I74" s="78">
        <f t="shared" si="8"/>
      </c>
      <c r="J74" s="78">
        <f t="shared" si="101"/>
      </c>
      <c r="K74" s="78"/>
    </row>
    <row r="75">
      <c r="A75" s="79" t="s">
        <v>137</v>
      </c>
      <c r="B75" s="75" t="s">
        <v>142</v>
      </c>
      <c r="C75" s="77">
        <v>4</v>
      </c>
      <c r="D75" s="77">
        <v>5545.969999999999</v>
      </c>
      <c r="E75" s="77">
        <v>8485</v>
      </c>
      <c r="F75" s="77">
        <v>6</v>
      </c>
      <c r="G75" s="78">
        <f t="shared" si="70"/>
      </c>
      <c r="H75" s="78">
        <f t="shared" si="39"/>
      </c>
      <c r="I75" s="78">
        <f t="shared" si="8"/>
      </c>
      <c r="J75" s="78">
        <f t="shared" si="101"/>
      </c>
      <c r="K75" s="78"/>
    </row>
    <row r="76">
      <c r="A76" s="72" t="s">
        <v>143</v>
      </c>
      <c r="B76" s="72"/>
      <c r="C76" s="72">
        <f>SUM(C73:C75)</f>
      </c>
      <c r="D76" s="72">
        <f>SUM(D73:D75)</f>
      </c>
      <c r="E76" s="72">
        <f>SUM(E73:E75)</f>
      </c>
      <c r="F76" s="72">
        <f>SUM(F73:F75)</f>
      </c>
      <c r="G76" s="80">
        <f t="shared" si="70"/>
      </c>
      <c r="H76" s="80">
        <f t="shared" si="39"/>
      </c>
      <c r="I76" s="80">
        <f t="shared" si="8"/>
      </c>
      <c r="J76" s="80">
        <f t="shared" si="101"/>
      </c>
      <c r="K76" s="80"/>
    </row>
    <row r="77">
      <c r="A77" s="81" t="s">
        <v>144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</row>
    <row r="78">
      <c r="A78" s="82" t="s">
        <v>130</v>
      </c>
      <c r="B78" s="82" t="s">
        <v>145</v>
      </c>
      <c r="C78" s="82" t="s">
        <v>146</v>
      </c>
      <c r="D78" s="82" t="s">
        <v>147</v>
      </c>
      <c r="E78" s="82" t="s">
        <v>148</v>
      </c>
      <c r="F78" s="82" t="s">
        <v>149</v>
      </c>
      <c r="G78" s="82" t="s">
        <v>150</v>
      </c>
      <c r="H78" s="83" t="s">
        <v>151</v>
      </c>
      <c r="I78" s="83" t="s">
        <v>152</v>
      </c>
      <c r="J78" s="83" t="s">
        <v>153</v>
      </c>
      <c r="K78" s="83" t="s">
        <v>129</v>
      </c>
    </row>
    <row r="79">
      <c r="A79" s="84">
        <f>SUM(D73:D75)</f>
      </c>
      <c r="B79" s="85">
        <f>SUM(E73:E75)</f>
      </c>
      <c r="C79" s="85">
        <f>B79/((K79*300)+A79)</f>
      </c>
      <c r="D79" s="86">
        <f>A79/J79</f>
      </c>
      <c r="E79" s="85">
        <f>B79/J79</f>
      </c>
      <c r="F79" s="87">
        <f>J79/I79</f>
      </c>
      <c r="G79" s="87">
        <f>H79/J79</f>
      </c>
      <c r="H79" s="88">
        <v>0</v>
      </c>
      <c r="I79" s="88">
        <v>15</v>
      </c>
      <c r="J79" s="88">
        <f>F76</f>
      </c>
      <c r="K79" s="88">
        <f>C76</f>
      </c>
    </row>
    <row r="80">
      <c r="A80" s="71" t="s">
        <v>166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>
      <c r="A81" s="72" t="s">
        <v>127</v>
      </c>
      <c r="B81" s="72" t="s">
        <v>128</v>
      </c>
      <c r="C81" s="72" t="s">
        <v>129</v>
      </c>
      <c r="D81" s="72" t="s">
        <v>130</v>
      </c>
      <c r="E81" s="73" t="s">
        <v>131</v>
      </c>
      <c r="F81" s="72" t="s">
        <v>132</v>
      </c>
      <c r="G81" s="72" t="s">
        <v>133</v>
      </c>
      <c r="H81" s="72" t="s">
        <v>134</v>
      </c>
      <c r="I81" s="72" t="s">
        <v>135</v>
      </c>
      <c r="J81" s="72" t="s">
        <v>136</v>
      </c>
      <c r="K81" s="72"/>
    </row>
    <row r="82">
      <c r="A82" s="74" t="s">
        <v>141</v>
      </c>
      <c r="B82" s="75" t="s">
        <v>138</v>
      </c>
      <c r="C82" s="76">
        <v>4</v>
      </c>
      <c r="D82" s="77">
        <v>3347.2000000000003</v>
      </c>
      <c r="E82" s="77">
        <v>7819.200000000001</v>
      </c>
      <c r="F82" s="77">
        <v>4</v>
      </c>
      <c r="G82" s="78">
        <f t="shared" ref="G82:G85" si="71">E82/F82</f>
      </c>
      <c r="H82" s="78">
        <f t="shared" ref="H82:H85" si="40">D82/F82</f>
      </c>
      <c r="I82" s="78">
        <f t="shared" ref="I82:I85" si="9">E82/D82</f>
      </c>
      <c r="J82" s="78">
        <f t="shared" ref="J82:J85" si="102">D82/C82</f>
      </c>
      <c r="K82" s="78"/>
    </row>
    <row r="83">
      <c r="A83" s="74" t="s">
        <v>139</v>
      </c>
      <c r="B83" s="75" t="s">
        <v>140</v>
      </c>
      <c r="C83" s="77">
        <v>4</v>
      </c>
      <c r="D83" s="77">
        <v>4291.08</v>
      </c>
      <c r="E83" s="77">
        <v>8225.6</v>
      </c>
      <c r="F83" s="77">
        <v>6</v>
      </c>
      <c r="G83" s="78">
        <f t="shared" si="71"/>
      </c>
      <c r="H83" s="78">
        <f t="shared" si="40"/>
      </c>
      <c r="I83" s="78">
        <f t="shared" si="9"/>
      </c>
      <c r="J83" s="78">
        <f t="shared" si="102"/>
      </c>
      <c r="K83" s="78"/>
    </row>
    <row r="84">
      <c r="A84" s="79" t="s">
        <v>137</v>
      </c>
      <c r="B84" s="75" t="s">
        <v>142</v>
      </c>
      <c r="C84" s="77">
        <v>4</v>
      </c>
      <c r="D84" s="77">
        <v>4725.5</v>
      </c>
      <c r="E84" s="77">
        <v>9911.999999999998</v>
      </c>
      <c r="F84" s="77">
        <v>4</v>
      </c>
      <c r="G84" s="78">
        <f t="shared" si="71"/>
      </c>
      <c r="H84" s="78">
        <f t="shared" si="40"/>
      </c>
      <c r="I84" s="78">
        <f t="shared" si="9"/>
      </c>
      <c r="J84" s="78">
        <f t="shared" si="102"/>
      </c>
      <c r="K84" s="78"/>
    </row>
    <row r="85">
      <c r="A85" s="72" t="s">
        <v>143</v>
      </c>
      <c r="B85" s="72"/>
      <c r="C85" s="72">
        <f>SUM(C82:C84)</f>
      </c>
      <c r="D85" s="72">
        <f>SUM(D82:D84)</f>
      </c>
      <c r="E85" s="72">
        <f>SUM(E82:E84)</f>
      </c>
      <c r="F85" s="72">
        <f>SUM(F82:F84)</f>
      </c>
      <c r="G85" s="80">
        <f t="shared" si="71"/>
      </c>
      <c r="H85" s="80">
        <f t="shared" si="40"/>
      </c>
      <c r="I85" s="80">
        <f t="shared" si="9"/>
      </c>
      <c r="J85" s="80">
        <f t="shared" si="102"/>
      </c>
      <c r="K85" s="80"/>
    </row>
    <row r="86">
      <c r="A86" s="81" t="s">
        <v>144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</row>
    <row r="87">
      <c r="A87" s="82" t="s">
        <v>130</v>
      </c>
      <c r="B87" s="82" t="s">
        <v>145</v>
      </c>
      <c r="C87" s="82" t="s">
        <v>146</v>
      </c>
      <c r="D87" s="82" t="s">
        <v>147</v>
      </c>
      <c r="E87" s="82" t="s">
        <v>148</v>
      </c>
      <c r="F87" s="82" t="s">
        <v>149</v>
      </c>
      <c r="G87" s="82" t="s">
        <v>150</v>
      </c>
      <c r="H87" s="83" t="s">
        <v>151</v>
      </c>
      <c r="I87" s="83" t="s">
        <v>152</v>
      </c>
      <c r="J87" s="83" t="s">
        <v>153</v>
      </c>
      <c r="K87" s="83" t="s">
        <v>129</v>
      </c>
    </row>
    <row r="88">
      <c r="A88" s="84">
        <f>SUM(D82:D84)</f>
      </c>
      <c r="B88" s="85">
        <f>SUM(E82:E84)</f>
      </c>
      <c r="C88" s="85">
        <f>B88/((K88*300)+A88)</f>
      </c>
      <c r="D88" s="86">
        <f>A88/J88</f>
      </c>
      <c r="E88" s="85">
        <f>B88/J88</f>
      </c>
      <c r="F88" s="87">
        <f>J88/I88</f>
      </c>
      <c r="G88" s="87">
        <f>H88/J88</f>
      </c>
      <c r="H88" s="88">
        <v>1</v>
      </c>
      <c r="I88" s="88">
        <v>23</v>
      </c>
      <c r="J88" s="88">
        <v>14</v>
      </c>
      <c r="K88" s="88">
        <f>C85</f>
      </c>
    </row>
    <row r="89">
      <c r="A89" s="71" t="s">
        <v>167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>
      <c r="A90" s="72" t="s">
        <v>127</v>
      </c>
      <c r="B90" s="72" t="s">
        <v>128</v>
      </c>
      <c r="C90" s="72" t="s">
        <v>129</v>
      </c>
      <c r="D90" s="72" t="s">
        <v>130</v>
      </c>
      <c r="E90" s="73" t="s">
        <v>131</v>
      </c>
      <c r="F90" s="72" t="s">
        <v>132</v>
      </c>
      <c r="G90" s="72" t="s">
        <v>133</v>
      </c>
      <c r="H90" s="72" t="s">
        <v>134</v>
      </c>
      <c r="I90" s="72" t="s">
        <v>135</v>
      </c>
      <c r="J90" s="72" t="s">
        <v>136</v>
      </c>
      <c r="K90" s="72"/>
    </row>
    <row r="91">
      <c r="A91" s="74" t="s">
        <v>141</v>
      </c>
      <c r="B91" s="75" t="s">
        <v>138</v>
      </c>
      <c r="C91" s="76">
        <v>4</v>
      </c>
      <c r="D91" s="77">
        <v>3996.24</v>
      </c>
      <c r="E91" s="77">
        <v>0</v>
      </c>
      <c r="F91" s="77">
        <v>0</v>
      </c>
      <c r="G91" s="78">
        <f t="shared" ref="G91:G94" si="72">E91/F91</f>
      </c>
      <c r="H91" s="78">
        <f t="shared" ref="H91:H94" si="41">D91/F91</f>
      </c>
      <c r="I91" s="78">
        <f t="shared" ref="I91:I94" si="10">E91/D91</f>
      </c>
      <c r="J91" s="78">
        <f t="shared" ref="J91:J94" si="103">D91/C91</f>
      </c>
      <c r="K91" s="78"/>
    </row>
    <row r="92">
      <c r="A92" s="74" t="s">
        <v>139</v>
      </c>
      <c r="B92" s="75" t="s">
        <v>140</v>
      </c>
      <c r="C92" s="77">
        <v>4</v>
      </c>
      <c r="D92" s="77">
        <v>4836.33</v>
      </c>
      <c r="E92" s="77">
        <v>8394</v>
      </c>
      <c r="F92" s="77">
        <v>5</v>
      </c>
      <c r="G92" s="78">
        <f t="shared" si="72"/>
      </c>
      <c r="H92" s="78">
        <f t="shared" si="41"/>
      </c>
      <c r="I92" s="78">
        <f t="shared" si="10"/>
      </c>
      <c r="J92" s="78">
        <f t="shared" si="103"/>
      </c>
      <c r="K92" s="78"/>
    </row>
    <row r="93">
      <c r="A93" s="79" t="s">
        <v>137</v>
      </c>
      <c r="B93" s="75" t="s">
        <v>142</v>
      </c>
      <c r="C93" s="77">
        <v>4</v>
      </c>
      <c r="D93" s="77">
        <v>5080.5999999999985</v>
      </c>
      <c r="E93" s="77">
        <v>24206.8</v>
      </c>
      <c r="F93" s="77">
        <v>11</v>
      </c>
      <c r="G93" s="78">
        <f t="shared" si="72"/>
      </c>
      <c r="H93" s="78">
        <f t="shared" si="41"/>
      </c>
      <c r="I93" s="78">
        <f t="shared" si="10"/>
      </c>
      <c r="J93" s="78">
        <f t="shared" si="103"/>
      </c>
      <c r="K93" s="78"/>
    </row>
    <row r="94">
      <c r="A94" s="72" t="s">
        <v>143</v>
      </c>
      <c r="B94" s="72"/>
      <c r="C94" s="72">
        <f>SUM(C91:C93)</f>
      </c>
      <c r="D94" s="72">
        <f>SUM(D91:D93)</f>
      </c>
      <c r="E94" s="72">
        <f>SUM(E91:E93)</f>
      </c>
      <c r="F94" s="72">
        <f>SUM(F91:F93)</f>
      </c>
      <c r="G94" s="80">
        <f t="shared" si="72"/>
      </c>
      <c r="H94" s="80">
        <f t="shared" si="41"/>
      </c>
      <c r="I94" s="80">
        <f t="shared" si="10"/>
      </c>
      <c r="J94" s="80">
        <f t="shared" si="103"/>
      </c>
      <c r="K94" s="80"/>
    </row>
    <row r="95">
      <c r="A95" s="81" t="s">
        <v>144</v>
      </c>
      <c r="B95" s="81"/>
      <c r="C95" s="81"/>
      <c r="D95" s="81"/>
      <c r="E95" s="81"/>
      <c r="F95" s="81"/>
      <c r="G95" s="81"/>
      <c r="H95" s="81"/>
      <c r="I95" s="81"/>
      <c r="J95" s="81"/>
      <c r="K95" s="81"/>
    </row>
    <row r="96">
      <c r="A96" s="82" t="s">
        <v>130</v>
      </c>
      <c r="B96" s="82" t="s">
        <v>145</v>
      </c>
      <c r="C96" s="82" t="s">
        <v>146</v>
      </c>
      <c r="D96" s="82" t="s">
        <v>147</v>
      </c>
      <c r="E96" s="82" t="s">
        <v>148</v>
      </c>
      <c r="F96" s="82" t="s">
        <v>149</v>
      </c>
      <c r="G96" s="82" t="s">
        <v>150</v>
      </c>
      <c r="H96" s="83" t="s">
        <v>151</v>
      </c>
      <c r="I96" s="83" t="s">
        <v>152</v>
      </c>
      <c r="J96" s="83" t="s">
        <v>153</v>
      </c>
      <c r="K96" s="83" t="s">
        <v>129</v>
      </c>
    </row>
    <row r="97">
      <c r="A97" s="84">
        <f>SUM(D91:D93)</f>
      </c>
      <c r="B97" s="85">
        <f>SUM(E91:E93)</f>
      </c>
      <c r="C97" s="85">
        <f>B97/((K97*300)+A97)</f>
      </c>
      <c r="D97" s="86">
        <f>A97/J97</f>
      </c>
      <c r="E97" s="85">
        <f>B97/J97</f>
      </c>
      <c r="F97" s="87">
        <f>J97/I97</f>
      </c>
      <c r="G97" s="87">
        <f>H97/J97</f>
      </c>
      <c r="H97" s="88">
        <v>1</v>
      </c>
      <c r="I97" s="88">
        <v>23</v>
      </c>
      <c r="J97" s="88">
        <f>F94</f>
      </c>
      <c r="K97" s="88">
        <v>12</v>
      </c>
    </row>
    <row r="98">
      <c r="A98" s="71" t="s">
        <v>168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>
      <c r="A99" s="72" t="s">
        <v>127</v>
      </c>
      <c r="B99" s="72" t="s">
        <v>128</v>
      </c>
      <c r="C99" s="72" t="s">
        <v>129</v>
      </c>
      <c r="D99" s="72" t="s">
        <v>130</v>
      </c>
      <c r="E99" s="73" t="s">
        <v>131</v>
      </c>
      <c r="F99" s="72" t="s">
        <v>132</v>
      </c>
      <c r="G99" s="72" t="s">
        <v>133</v>
      </c>
      <c r="H99" s="72" t="s">
        <v>134</v>
      </c>
      <c r="I99" s="72" t="s">
        <v>135</v>
      </c>
      <c r="J99" s="72" t="s">
        <v>136</v>
      </c>
      <c r="K99" s="72"/>
    </row>
    <row r="100">
      <c r="A100" s="79" t="s">
        <v>137</v>
      </c>
      <c r="B100" s="75" t="s">
        <v>138</v>
      </c>
      <c r="C100" s="76">
        <v>4</v>
      </c>
      <c r="D100" s="77">
        <v>2659.51</v>
      </c>
      <c r="E100" s="77">
        <v>2462.4</v>
      </c>
      <c r="F100" s="77">
        <v>2</v>
      </c>
      <c r="G100" s="78">
        <f t="shared" ref="G100:G103" si="73">E100/F100</f>
      </c>
      <c r="H100" s="78">
        <f t="shared" ref="H100:H103" si="42">D100/F100</f>
      </c>
      <c r="I100" s="78">
        <f t="shared" ref="I100:I103" si="11">E100/D100</f>
      </c>
      <c r="J100" s="78">
        <f t="shared" ref="J100:J103" si="104">D100/C100</f>
      </c>
      <c r="K100" s="78"/>
    </row>
    <row r="101">
      <c r="A101" s="74" t="s">
        <v>141</v>
      </c>
      <c r="B101" s="75" t="s">
        <v>140</v>
      </c>
      <c r="C101" s="77">
        <v>4</v>
      </c>
      <c r="D101" s="77">
        <v>2465.4700000000003</v>
      </c>
      <c r="E101" s="77">
        <v>664.7999999999997</v>
      </c>
      <c r="F101" s="77">
        <v>1</v>
      </c>
      <c r="G101" s="78">
        <f t="shared" si="73"/>
      </c>
      <c r="H101" s="78">
        <f t="shared" si="42"/>
      </c>
      <c r="I101" s="78">
        <f t="shared" si="11"/>
      </c>
      <c r="J101" s="78">
        <f t="shared" si="104"/>
      </c>
      <c r="K101" s="78"/>
    </row>
    <row r="102">
      <c r="A102" s="74" t="s">
        <v>139</v>
      </c>
      <c r="B102" s="75" t="s">
        <v>142</v>
      </c>
      <c r="C102" s="77">
        <v>4</v>
      </c>
      <c r="D102" s="77">
        <v>3598.569999999999</v>
      </c>
      <c r="E102" s="77">
        <v>4590.8</v>
      </c>
      <c r="F102" s="77">
        <v>4</v>
      </c>
      <c r="G102" s="78">
        <f t="shared" si="73"/>
      </c>
      <c r="H102" s="78">
        <f t="shared" si="42"/>
      </c>
      <c r="I102" s="78">
        <f t="shared" si="11"/>
      </c>
      <c r="J102" s="78">
        <f t="shared" si="104"/>
      </c>
      <c r="K102" s="78"/>
    </row>
    <row r="103">
      <c r="A103" s="72" t="s">
        <v>143</v>
      </c>
      <c r="B103" s="72"/>
      <c r="C103" s="72">
        <f>SUM(C100:C102)</f>
      </c>
      <c r="D103" s="72">
        <f>SUM(D100:D102)</f>
      </c>
      <c r="E103" s="72">
        <f>SUM(E100:E102)</f>
      </c>
      <c r="F103" s="72">
        <f>SUM(F100:F102)</f>
      </c>
      <c r="G103" s="80">
        <f t="shared" si="73"/>
      </c>
      <c r="H103" s="80">
        <f t="shared" si="42"/>
      </c>
      <c r="I103" s="80">
        <f t="shared" si="11"/>
      </c>
      <c r="J103" s="80">
        <f t="shared" si="104"/>
      </c>
      <c r="K103" s="80"/>
    </row>
    <row r="104">
      <c r="A104" s="81" t="s">
        <v>144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</row>
    <row r="105">
      <c r="A105" s="82" t="s">
        <v>130</v>
      </c>
      <c r="B105" s="82" t="s">
        <v>145</v>
      </c>
      <c r="C105" s="82" t="s">
        <v>146</v>
      </c>
      <c r="D105" s="82" t="s">
        <v>147</v>
      </c>
      <c r="E105" s="82" t="s">
        <v>148</v>
      </c>
      <c r="F105" s="82" t="s">
        <v>149</v>
      </c>
      <c r="G105" s="82" t="s">
        <v>150</v>
      </c>
      <c r="H105" s="83" t="s">
        <v>151</v>
      </c>
      <c r="I105" s="83" t="s">
        <v>152</v>
      </c>
      <c r="J105" s="83" t="s">
        <v>153</v>
      </c>
      <c r="K105" s="83" t="s">
        <v>129</v>
      </c>
    </row>
    <row r="106">
      <c r="A106" s="84">
        <f>SUM(D100:D102)</f>
      </c>
      <c r="B106" s="85">
        <f>SUM(E100:E102)</f>
      </c>
      <c r="C106" s="85">
        <f>B106/((K106*300)+A106)</f>
      </c>
      <c r="D106" s="86">
        <f>A106/J106</f>
      </c>
      <c r="E106" s="85">
        <f>B106/J106</f>
      </c>
      <c r="F106" s="87">
        <f>J106/I106</f>
      </c>
      <c r="G106" s="87">
        <f>H106/J106</f>
      </c>
      <c r="H106" s="88">
        <v>1</v>
      </c>
      <c r="I106" s="88">
        <v>11</v>
      </c>
      <c r="J106" s="88">
        <f>F103</f>
      </c>
      <c r="K106" s="88">
        <v>12</v>
      </c>
    </row>
    <row r="107">
      <c r="A107" s="71" t="s">
        <v>169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>
      <c r="A108" s="72" t="s">
        <v>127</v>
      </c>
      <c r="B108" s="72" t="s">
        <v>128</v>
      </c>
      <c r="C108" s="72" t="s">
        <v>129</v>
      </c>
      <c r="D108" s="72" t="s">
        <v>130</v>
      </c>
      <c r="E108" s="73" t="s">
        <v>131</v>
      </c>
      <c r="F108" s="72" t="s">
        <v>132</v>
      </c>
      <c r="G108" s="72" t="s">
        <v>133</v>
      </c>
      <c r="H108" s="72" t="s">
        <v>134</v>
      </c>
      <c r="I108" s="72" t="s">
        <v>135</v>
      </c>
      <c r="J108" s="72" t="s">
        <v>136</v>
      </c>
      <c r="K108" s="72"/>
    </row>
    <row r="109">
      <c r="A109" s="79" t="s">
        <v>137</v>
      </c>
      <c r="B109" s="75" t="s">
        <v>138</v>
      </c>
      <c r="C109" s="76">
        <v>4</v>
      </c>
      <c r="D109" s="77">
        <v>2909.9300000000003</v>
      </c>
      <c r="E109" s="77">
        <v>6790.400000000001</v>
      </c>
      <c r="F109" s="77">
        <v>4</v>
      </c>
      <c r="G109" s="78">
        <f t="shared" ref="G109:G112" si="74">E109/F109</f>
      </c>
      <c r="H109" s="78">
        <f t="shared" ref="H109:H112" si="43">D109/F109</f>
      </c>
      <c r="I109" s="78">
        <f t="shared" ref="I109:I112" si="12">E109/D109</f>
      </c>
      <c r="J109" s="78">
        <f t="shared" ref="J109:J112" si="105">D109/C109</f>
      </c>
      <c r="K109" s="78"/>
    </row>
    <row r="110">
      <c r="A110" s="74" t="s">
        <v>141</v>
      </c>
      <c r="B110" s="75" t="s">
        <v>140</v>
      </c>
      <c r="C110" s="77">
        <v>4</v>
      </c>
      <c r="D110" s="77">
        <v>4375.049999999999</v>
      </c>
      <c r="E110" s="77">
        <v>4755.599999999999</v>
      </c>
      <c r="F110" s="77">
        <v>4</v>
      </c>
      <c r="G110" s="78">
        <f t="shared" si="74"/>
      </c>
      <c r="H110" s="78">
        <f t="shared" si="43"/>
      </c>
      <c r="I110" s="78">
        <f t="shared" si="12"/>
      </c>
      <c r="J110" s="78">
        <f t="shared" si="105"/>
      </c>
      <c r="K110" s="78"/>
    </row>
    <row r="111">
      <c r="A111" s="74" t="s">
        <v>139</v>
      </c>
      <c r="B111" s="75" t="s">
        <v>142</v>
      </c>
      <c r="C111" s="77">
        <v>4</v>
      </c>
      <c r="D111" s="77">
        <v>4376.48</v>
      </c>
      <c r="E111" s="77">
        <v>6139</v>
      </c>
      <c r="F111" s="77">
        <v>4</v>
      </c>
      <c r="G111" s="78">
        <f t="shared" si="74"/>
      </c>
      <c r="H111" s="78">
        <f t="shared" si="43"/>
      </c>
      <c r="I111" s="78">
        <f t="shared" si="12"/>
      </c>
      <c r="J111" s="78">
        <f t="shared" si="105"/>
      </c>
      <c r="K111" s="78"/>
    </row>
    <row r="112">
      <c r="A112" s="72" t="s">
        <v>143</v>
      </c>
      <c r="B112" s="72"/>
      <c r="C112" s="72">
        <f>SUM(C109:C111)</f>
      </c>
      <c r="D112" s="72">
        <f>SUM(D109:D111)</f>
      </c>
      <c r="E112" s="72">
        <f>SUM(E109:E111)</f>
      </c>
      <c r="F112" s="72">
        <f>SUM(F109:F111)</f>
      </c>
      <c r="G112" s="80">
        <f t="shared" si="74"/>
      </c>
      <c r="H112" s="80">
        <f t="shared" si="43"/>
      </c>
      <c r="I112" s="80">
        <f t="shared" si="12"/>
      </c>
      <c r="J112" s="80">
        <f t="shared" si="105"/>
      </c>
      <c r="K112" s="80"/>
    </row>
    <row r="113">
      <c r="A113" s="81" t="s">
        <v>144</v>
      </c>
      <c r="B113" s="81"/>
      <c r="C113" s="81"/>
      <c r="D113" s="81"/>
      <c r="E113" s="81"/>
      <c r="F113" s="81"/>
      <c r="G113" s="81"/>
      <c r="H113" s="81"/>
      <c r="I113" s="81"/>
      <c r="J113" s="81"/>
      <c r="K113" s="81"/>
    </row>
    <row r="114">
      <c r="A114" s="82" t="s">
        <v>130</v>
      </c>
      <c r="B114" s="82" t="s">
        <v>145</v>
      </c>
      <c r="C114" s="82" t="s">
        <v>146</v>
      </c>
      <c r="D114" s="82" t="s">
        <v>147</v>
      </c>
      <c r="E114" s="82" t="s">
        <v>148</v>
      </c>
      <c r="F114" s="82" t="s">
        <v>149</v>
      </c>
      <c r="G114" s="82" t="s">
        <v>150</v>
      </c>
      <c r="H114" s="83" t="s">
        <v>151</v>
      </c>
      <c r="I114" s="83" t="s">
        <v>152</v>
      </c>
      <c r="J114" s="83" t="s">
        <v>153</v>
      </c>
      <c r="K114" s="83" t="s">
        <v>129</v>
      </c>
    </row>
    <row r="115">
      <c r="A115" s="84">
        <f>SUM(D109:D111)</f>
      </c>
      <c r="B115" s="85">
        <f>SUM(E109:E111)</f>
      </c>
      <c r="C115" s="85">
        <f>B115/((K115*300)+A115)</f>
      </c>
      <c r="D115" s="86">
        <f>A115/J115</f>
      </c>
      <c r="E115" s="85">
        <f>B115/J115</f>
      </c>
      <c r="F115" s="87">
        <f>J115/I115</f>
      </c>
      <c r="G115" s="87">
        <f>H115/J115</f>
      </c>
      <c r="H115" s="88">
        <v>2</v>
      </c>
      <c r="I115" s="88">
        <v>19</v>
      </c>
      <c r="J115" s="88">
        <f>F112</f>
      </c>
      <c r="K115" s="88">
        <v>12</v>
      </c>
    </row>
    <row r="116">
      <c r="A116" s="71" t="s">
        <v>170</v>
      </c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>
      <c r="A117" s="72" t="s">
        <v>127</v>
      </c>
      <c r="B117" s="72" t="s">
        <v>128</v>
      </c>
      <c r="C117" s="72" t="s">
        <v>129</v>
      </c>
      <c r="D117" s="72" t="s">
        <v>130</v>
      </c>
      <c r="E117" s="73" t="s">
        <v>131</v>
      </c>
      <c r="F117" s="72" t="s">
        <v>132</v>
      </c>
      <c r="G117" s="72" t="s">
        <v>133</v>
      </c>
      <c r="H117" s="72" t="s">
        <v>134</v>
      </c>
      <c r="I117" s="72" t="s">
        <v>135</v>
      </c>
      <c r="J117" s="72" t="s">
        <v>136</v>
      </c>
      <c r="K117" s="72"/>
    </row>
    <row r="118">
      <c r="A118" s="79" t="s">
        <v>137</v>
      </c>
      <c r="B118" s="90" t="s">
        <v>160</v>
      </c>
      <c r="C118" s="77">
        <v>6</v>
      </c>
      <c r="D118" s="77">
        <v>4857.6</v>
      </c>
      <c r="E118" s="77">
        <v>19240.8</v>
      </c>
      <c r="F118" s="77">
        <v>6</v>
      </c>
      <c r="G118" s="78">
        <f t="shared" ref="G118:G120" si="75">E118/F118</f>
      </c>
      <c r="H118" s="78">
        <f t="shared" ref="H118:H120" si="44">D118/F118</f>
      </c>
      <c r="I118" s="78">
        <f t="shared" ref="I118:I120" si="13">E118/D118</f>
      </c>
      <c r="J118" s="78">
        <f t="shared" ref="J118:J120" si="106">D118/C118</f>
      </c>
      <c r="K118" s="78"/>
    </row>
    <row r="119">
      <c r="A119" s="74" t="s">
        <v>141</v>
      </c>
      <c r="B119" s="90" t="s">
        <v>161</v>
      </c>
      <c r="C119" s="77">
        <v>6</v>
      </c>
      <c r="D119" s="77">
        <v>6062.030000000001</v>
      </c>
      <c r="E119" s="77">
        <v>1230</v>
      </c>
      <c r="F119" s="77">
        <v>1</v>
      </c>
      <c r="G119" s="78">
        <f t="shared" si="75"/>
      </c>
      <c r="H119" s="78">
        <f t="shared" si="44"/>
      </c>
      <c r="I119" s="78">
        <f t="shared" si="13"/>
      </c>
      <c r="J119" s="78">
        <f t="shared" si="106"/>
      </c>
      <c r="K119" s="78"/>
    </row>
    <row r="120">
      <c r="A120" s="72" t="s">
        <v>143</v>
      </c>
      <c r="B120" s="72"/>
      <c r="C120" s="72">
        <f>SUM(C118:C119)</f>
      </c>
      <c r="D120" s="72">
        <f>SUM(D118:D119)</f>
      </c>
      <c r="E120" s="72">
        <f>SUM(E118:E119)</f>
      </c>
      <c r="F120" s="72">
        <f>SUM(F118:F119)</f>
      </c>
      <c r="G120" s="80">
        <f t="shared" si="75"/>
      </c>
      <c r="H120" s="80">
        <f t="shared" si="44"/>
      </c>
      <c r="I120" s="80">
        <f t="shared" si="13"/>
      </c>
      <c r="J120" s="80">
        <f t="shared" si="106"/>
      </c>
      <c r="K120" s="80"/>
    </row>
    <row r="121">
      <c r="A121" s="81" t="s">
        <v>144</v>
      </c>
      <c r="B121" s="81"/>
      <c r="C121" s="81"/>
      <c r="D121" s="81"/>
      <c r="E121" s="81"/>
      <c r="F121" s="81"/>
      <c r="G121" s="81"/>
      <c r="H121" s="81"/>
      <c r="I121" s="81"/>
      <c r="J121" s="81"/>
      <c r="K121" s="81"/>
    </row>
    <row r="122">
      <c r="A122" s="82" t="s">
        <v>130</v>
      </c>
      <c r="B122" s="82" t="s">
        <v>145</v>
      </c>
      <c r="C122" s="82" t="s">
        <v>146</v>
      </c>
      <c r="D122" s="82" t="s">
        <v>147</v>
      </c>
      <c r="E122" s="82" t="s">
        <v>148</v>
      </c>
      <c r="F122" s="82" t="s">
        <v>149</v>
      </c>
      <c r="G122" s="82" t="s">
        <v>150</v>
      </c>
      <c r="H122" s="83" t="s">
        <v>151</v>
      </c>
      <c r="I122" s="83" t="s">
        <v>152</v>
      </c>
      <c r="J122" s="83" t="s">
        <v>153</v>
      </c>
      <c r="K122" s="83" t="s">
        <v>129</v>
      </c>
    </row>
    <row r="123">
      <c r="A123" s="84">
        <f>SUM(D118:D119)</f>
      </c>
      <c r="B123" s="85">
        <f>SUM(E118:E119)</f>
      </c>
      <c r="C123" s="85">
        <f>B123/((K123*300)+A123)</f>
      </c>
      <c r="D123" s="86">
        <f>A123/J123</f>
      </c>
      <c r="E123" s="85">
        <f>B123/J123</f>
      </c>
      <c r="F123" s="87">
        <f>J123/I123</f>
      </c>
      <c r="G123" s="87">
        <f>H123/J123</f>
      </c>
      <c r="H123" s="88">
        <v>1</v>
      </c>
      <c r="I123" s="88">
        <v>11</v>
      </c>
      <c r="J123" s="88">
        <f>F120</f>
      </c>
      <c r="K123" s="88">
        <v>12</v>
      </c>
    </row>
    <row r="124">
      <c r="A124" s="71" t="s">
        <v>171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>
      <c r="A125" s="72" t="s">
        <v>127</v>
      </c>
      <c r="B125" s="72" t="s">
        <v>128</v>
      </c>
      <c r="C125" s="72" t="s">
        <v>129</v>
      </c>
      <c r="D125" s="72" t="s">
        <v>130</v>
      </c>
      <c r="E125" s="73" t="s">
        <v>131</v>
      </c>
      <c r="F125" s="72" t="s">
        <v>132</v>
      </c>
      <c r="G125" s="72" t="s">
        <v>133</v>
      </c>
      <c r="H125" s="72" t="s">
        <v>134</v>
      </c>
      <c r="I125" s="72" t="s">
        <v>135</v>
      </c>
      <c r="J125" s="72" t="s">
        <v>136</v>
      </c>
      <c r="K125" s="72"/>
    </row>
    <row r="126">
      <c r="A126" s="79" t="s">
        <v>137</v>
      </c>
      <c r="B126" s="75" t="s">
        <v>138</v>
      </c>
      <c r="C126" s="76">
        <v>4</v>
      </c>
      <c r="D126" s="77">
        <v>2940.69</v>
      </c>
      <c r="E126" s="77">
        <v>7195.2</v>
      </c>
      <c r="F126" s="77">
        <v>4</v>
      </c>
      <c r="G126" s="78">
        <f t="shared" ref="G126:G129" si="76">E126/F126</f>
      </c>
      <c r="H126" s="78">
        <f t="shared" ref="H126:H129" si="45">D126/F126</f>
      </c>
      <c r="I126" s="78">
        <f t="shared" ref="I126:I129" si="14">E126/D126</f>
      </c>
      <c r="J126" s="78">
        <f t="shared" ref="J126:J129" si="107">D126/C126</f>
      </c>
      <c r="K126" s="78"/>
    </row>
    <row r="127">
      <c r="A127" s="74" t="s">
        <v>141</v>
      </c>
      <c r="B127" s="75" t="s">
        <v>140</v>
      </c>
      <c r="C127" s="77">
        <v>4</v>
      </c>
      <c r="D127" s="77">
        <v>4066.1</v>
      </c>
      <c r="E127" s="77">
        <v>22087.000000000004</v>
      </c>
      <c r="F127" s="77">
        <v>13</v>
      </c>
      <c r="G127" s="78">
        <f t="shared" si="76"/>
      </c>
      <c r="H127" s="78">
        <f t="shared" si="45"/>
      </c>
      <c r="I127" s="78">
        <f t="shared" si="14"/>
      </c>
      <c r="J127" s="78">
        <f t="shared" si="107"/>
      </c>
      <c r="K127" s="78"/>
    </row>
    <row r="128">
      <c r="A128" s="74" t="s">
        <v>139</v>
      </c>
      <c r="B128" s="75" t="s">
        <v>142</v>
      </c>
      <c r="C128" s="77">
        <v>4</v>
      </c>
      <c r="D128" s="77">
        <v>6606.88</v>
      </c>
      <c r="E128" s="77">
        <v>19455.600000000006</v>
      </c>
      <c r="F128" s="77">
        <v>8</v>
      </c>
      <c r="G128" s="78">
        <f t="shared" si="76"/>
      </c>
      <c r="H128" s="78">
        <f t="shared" si="45"/>
      </c>
      <c r="I128" s="78">
        <f t="shared" si="14"/>
      </c>
      <c r="J128" s="78">
        <f t="shared" si="107"/>
      </c>
      <c r="K128" s="78"/>
    </row>
    <row r="129">
      <c r="A129" s="72" t="s">
        <v>143</v>
      </c>
      <c r="B129" s="72"/>
      <c r="C129" s="72">
        <f>SUM(C126:C128)</f>
      </c>
      <c r="D129" s="72">
        <f>SUM(D126:D128)</f>
      </c>
      <c r="E129" s="72">
        <f>SUM(E126:E128)</f>
      </c>
      <c r="F129" s="72">
        <f>SUM(F126:F128)</f>
      </c>
      <c r="G129" s="80">
        <f t="shared" si="76"/>
      </c>
      <c r="H129" s="80">
        <f t="shared" si="45"/>
      </c>
      <c r="I129" s="80">
        <f t="shared" si="14"/>
      </c>
      <c r="J129" s="80">
        <f t="shared" si="107"/>
      </c>
      <c r="K129" s="80"/>
    </row>
    <row r="130">
      <c r="A130" s="81" t="s">
        <v>144</v>
      </c>
      <c r="B130" s="81"/>
      <c r="C130" s="81"/>
      <c r="D130" s="81"/>
      <c r="E130" s="81"/>
      <c r="F130" s="81"/>
      <c r="G130" s="81"/>
      <c r="H130" s="81"/>
      <c r="I130" s="81"/>
      <c r="J130" s="81"/>
      <c r="K130" s="81"/>
    </row>
    <row r="131">
      <c r="A131" s="82" t="s">
        <v>130</v>
      </c>
      <c r="B131" s="82" t="s">
        <v>145</v>
      </c>
      <c r="C131" s="82" t="s">
        <v>146</v>
      </c>
      <c r="D131" s="82" t="s">
        <v>147</v>
      </c>
      <c r="E131" s="82" t="s">
        <v>148</v>
      </c>
      <c r="F131" s="82" t="s">
        <v>149</v>
      </c>
      <c r="G131" s="82" t="s">
        <v>150</v>
      </c>
      <c r="H131" s="83" t="s">
        <v>151</v>
      </c>
      <c r="I131" s="83" t="s">
        <v>152</v>
      </c>
      <c r="J131" s="83" t="s">
        <v>153</v>
      </c>
      <c r="K131" s="83" t="s">
        <v>129</v>
      </c>
    </row>
    <row r="132">
      <c r="A132" s="84">
        <f>SUM(D126:D128)</f>
      </c>
      <c r="B132" s="85">
        <f>SUM(E126:E128)</f>
      </c>
      <c r="C132" s="85">
        <f>B132/((K132*300)+A132)</f>
      </c>
      <c r="D132" s="86">
        <f>A132/J132</f>
      </c>
      <c r="E132" s="85">
        <f>B132/J132</f>
      </c>
      <c r="F132" s="87">
        <f>J132/I132</f>
      </c>
      <c r="G132" s="87">
        <f>H132/J132</f>
      </c>
      <c r="H132" s="88">
        <v>6</v>
      </c>
      <c r="I132" s="88">
        <v>26</v>
      </c>
      <c r="J132" s="88">
        <f>F129</f>
      </c>
      <c r="K132" s="88">
        <v>12</v>
      </c>
    </row>
    <row r="133">
      <c r="A133" s="71" t="s">
        <v>172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>
      <c r="A134" s="72" t="s">
        <v>127</v>
      </c>
      <c r="B134" s="72" t="s">
        <v>128</v>
      </c>
      <c r="C134" s="72" t="s">
        <v>129</v>
      </c>
      <c r="D134" s="72" t="s">
        <v>130</v>
      </c>
      <c r="E134" s="73" t="s">
        <v>131</v>
      </c>
      <c r="F134" s="72" t="s">
        <v>132</v>
      </c>
      <c r="G134" s="72" t="s">
        <v>133</v>
      </c>
      <c r="H134" s="72" t="s">
        <v>134</v>
      </c>
      <c r="I134" s="72" t="s">
        <v>135</v>
      </c>
      <c r="J134" s="72" t="s">
        <v>136</v>
      </c>
      <c r="K134" s="72"/>
    </row>
    <row r="135">
      <c r="A135" s="74" t="s">
        <v>141</v>
      </c>
      <c r="B135" s="75" t="s">
        <v>138</v>
      </c>
      <c r="C135" s="76">
        <v>4</v>
      </c>
      <c r="D135" s="77">
        <v>4180.75</v>
      </c>
      <c r="E135" s="77">
        <v>11736</v>
      </c>
      <c r="F135" s="77">
        <v>8</v>
      </c>
      <c r="G135" s="78">
        <f t="shared" ref="G135:G138" si="77">E135/F135</f>
      </c>
      <c r="H135" s="78">
        <f t="shared" ref="H135:H138" si="46">D135/F135</f>
      </c>
      <c r="I135" s="78">
        <f t="shared" ref="I135:I138" si="15">E135/D135</f>
      </c>
      <c r="J135" s="78">
        <f t="shared" ref="J135:J138" si="108">D135/C135</f>
      </c>
      <c r="K135" s="78"/>
    </row>
    <row r="136">
      <c r="A136" s="74" t="s">
        <v>139</v>
      </c>
      <c r="B136" s="75" t="s">
        <v>140</v>
      </c>
      <c r="C136" s="77">
        <v>4</v>
      </c>
      <c r="D136" s="77">
        <v>4449.51</v>
      </c>
      <c r="E136" s="77">
        <v>1916.3999999999996</v>
      </c>
      <c r="F136" s="77">
        <v>2</v>
      </c>
      <c r="G136" s="78">
        <f t="shared" si="77"/>
      </c>
      <c r="H136" s="78">
        <f t="shared" si="46"/>
      </c>
      <c r="I136" s="78">
        <f t="shared" si="15"/>
      </c>
      <c r="J136" s="78">
        <f t="shared" si="108"/>
      </c>
      <c r="K136" s="78"/>
    </row>
    <row r="137">
      <c r="A137" s="79" t="s">
        <v>137</v>
      </c>
      <c r="B137" s="75" t="s">
        <v>142</v>
      </c>
      <c r="C137" s="77">
        <v>4</v>
      </c>
      <c r="D137" s="77">
        <v>5471.030000000001</v>
      </c>
      <c r="E137" s="77">
        <v>17388.4</v>
      </c>
      <c r="F137" s="77">
        <v>12</v>
      </c>
      <c r="G137" s="78">
        <f t="shared" si="77"/>
      </c>
      <c r="H137" s="78">
        <f t="shared" si="46"/>
      </c>
      <c r="I137" s="78">
        <f t="shared" si="15"/>
      </c>
      <c r="J137" s="78">
        <f t="shared" si="108"/>
      </c>
      <c r="K137" s="78"/>
    </row>
    <row r="138">
      <c r="A138" s="72" t="s">
        <v>143</v>
      </c>
      <c r="B138" s="72"/>
      <c r="C138" s="72">
        <f>SUM(C135:C137)</f>
      </c>
      <c r="D138" s="72">
        <f>SUM(D135:D137)</f>
      </c>
      <c r="E138" s="72">
        <f>SUM(E135:E137)</f>
      </c>
      <c r="F138" s="72">
        <f>SUM(F135:F137)</f>
      </c>
      <c r="G138" s="80">
        <f t="shared" si="77"/>
      </c>
      <c r="H138" s="80">
        <f t="shared" si="46"/>
      </c>
      <c r="I138" s="80">
        <f t="shared" si="15"/>
      </c>
      <c r="J138" s="80">
        <f t="shared" si="108"/>
      </c>
      <c r="K138" s="80"/>
    </row>
    <row r="139">
      <c r="A139" s="81" t="s">
        <v>144</v>
      </c>
      <c r="B139" s="81"/>
      <c r="C139" s="81"/>
      <c r="D139" s="81"/>
      <c r="E139" s="81"/>
      <c r="F139" s="81"/>
      <c r="G139" s="81"/>
      <c r="H139" s="81"/>
      <c r="I139" s="81"/>
      <c r="J139" s="81"/>
      <c r="K139" s="81"/>
    </row>
    <row r="140">
      <c r="A140" s="82" t="s">
        <v>130</v>
      </c>
      <c r="B140" s="82" t="s">
        <v>145</v>
      </c>
      <c r="C140" s="82" t="s">
        <v>146</v>
      </c>
      <c r="D140" s="82" t="s">
        <v>147</v>
      </c>
      <c r="E140" s="82" t="s">
        <v>148</v>
      </c>
      <c r="F140" s="82" t="s">
        <v>149</v>
      </c>
      <c r="G140" s="82" t="s">
        <v>150</v>
      </c>
      <c r="H140" s="83" t="s">
        <v>151</v>
      </c>
      <c r="I140" s="83" t="s">
        <v>152</v>
      </c>
      <c r="J140" s="83" t="s">
        <v>153</v>
      </c>
      <c r="K140" s="83" t="s">
        <v>129</v>
      </c>
    </row>
    <row r="141">
      <c r="A141" s="84">
        <f>SUM(D135:D137)</f>
      </c>
      <c r="B141" s="85">
        <f>SUM(E135:E137)</f>
      </c>
      <c r="C141" s="85">
        <f>B141/((K141*300)+A141)</f>
      </c>
      <c r="D141" s="86">
        <f>A141/J141</f>
      </c>
      <c r="E141" s="85">
        <f>B141/J141</f>
      </c>
      <c r="F141" s="87">
        <f>J141/I141</f>
      </c>
      <c r="G141" s="87">
        <f>H141/J141</f>
      </c>
      <c r="H141" s="88">
        <v>3</v>
      </c>
      <c r="I141" s="88">
        <v>25</v>
      </c>
      <c r="J141" s="88">
        <f>F138</f>
      </c>
      <c r="K141" s="88">
        <v>12</v>
      </c>
    </row>
    <row r="142">
      <c r="A142" s="71" t="s">
        <v>173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</row>
    <row r="143">
      <c r="A143" s="72" t="s">
        <v>127</v>
      </c>
      <c r="B143" s="72" t="s">
        <v>128</v>
      </c>
      <c r="C143" s="72" t="s">
        <v>129</v>
      </c>
      <c r="D143" s="72" t="s">
        <v>130</v>
      </c>
      <c r="E143" s="73" t="s">
        <v>131</v>
      </c>
      <c r="F143" s="72" t="s">
        <v>132</v>
      </c>
      <c r="G143" s="72" t="s">
        <v>133</v>
      </c>
      <c r="H143" s="72" t="s">
        <v>134</v>
      </c>
      <c r="I143" s="72" t="s">
        <v>135</v>
      </c>
      <c r="J143" s="72" t="s">
        <v>136</v>
      </c>
      <c r="K143" s="72"/>
    </row>
    <row r="144">
      <c r="A144" s="74" t="s">
        <v>141</v>
      </c>
      <c r="B144" s="75" t="s">
        <v>138</v>
      </c>
      <c r="C144" s="76">
        <v>4</v>
      </c>
      <c r="D144" s="77">
        <v>3744.42</v>
      </c>
      <c r="E144" s="77">
        <v>6128.6</v>
      </c>
      <c r="F144" s="77">
        <v>5</v>
      </c>
      <c r="G144" s="78">
        <f t="shared" ref="G144:G147" si="78">E144/F144</f>
      </c>
      <c r="H144" s="78">
        <f t="shared" ref="H144:H147" si="47">D144/F144</f>
      </c>
      <c r="I144" s="78">
        <f t="shared" ref="I144:I147" si="16">E144/D144</f>
      </c>
      <c r="J144" s="78">
        <f t="shared" ref="J144:J147" si="109">D144/C144</f>
      </c>
      <c r="K144" s="78"/>
    </row>
    <row r="145">
      <c r="A145" s="74" t="s">
        <v>139</v>
      </c>
      <c r="B145" s="75" t="s">
        <v>140</v>
      </c>
      <c r="C145" s="77">
        <v>4</v>
      </c>
      <c r="D145" s="77">
        <v>4268.4800000000005</v>
      </c>
      <c r="E145" s="77">
        <v>1584</v>
      </c>
      <c r="F145" s="77">
        <v>1</v>
      </c>
      <c r="G145" s="78">
        <f t="shared" si="78"/>
      </c>
      <c r="H145" s="78">
        <f t="shared" si="47"/>
      </c>
      <c r="I145" s="78">
        <f t="shared" si="16"/>
      </c>
      <c r="J145" s="78">
        <f t="shared" si="109"/>
      </c>
      <c r="K145" s="78"/>
    </row>
    <row r="146">
      <c r="A146" s="79" t="s">
        <v>137</v>
      </c>
      <c r="B146" s="75" t="s">
        <v>142</v>
      </c>
      <c r="C146" s="77">
        <v>4</v>
      </c>
      <c r="D146" s="77">
        <v>5046.79</v>
      </c>
      <c r="E146" s="77">
        <v>3376.7999999999993</v>
      </c>
      <c r="F146" s="77">
        <v>2</v>
      </c>
      <c r="G146" s="78">
        <f t="shared" si="78"/>
      </c>
      <c r="H146" s="78">
        <f t="shared" si="47"/>
      </c>
      <c r="I146" s="78">
        <f t="shared" si="16"/>
      </c>
      <c r="J146" s="78">
        <f t="shared" si="109"/>
      </c>
      <c r="K146" s="78"/>
    </row>
    <row r="147">
      <c r="A147" s="72" t="s">
        <v>143</v>
      </c>
      <c r="B147" s="72"/>
      <c r="C147" s="72">
        <f>SUM(C144:C146)</f>
      </c>
      <c r="D147" s="72">
        <f>SUM(D144:D146)</f>
      </c>
      <c r="E147" s="72">
        <f>SUM(E144:E146)</f>
      </c>
      <c r="F147" s="72">
        <f>SUM(F144:F146)</f>
      </c>
      <c r="G147" s="80">
        <f t="shared" si="78"/>
      </c>
      <c r="H147" s="80">
        <f t="shared" si="47"/>
      </c>
      <c r="I147" s="80">
        <f t="shared" si="16"/>
      </c>
      <c r="J147" s="80">
        <f t="shared" si="109"/>
      </c>
      <c r="K147" s="80"/>
    </row>
    <row r="148">
      <c r="A148" s="81" t="s">
        <v>144</v>
      </c>
      <c r="B148" s="81"/>
      <c r="C148" s="81"/>
      <c r="D148" s="81"/>
      <c r="E148" s="81"/>
      <c r="F148" s="81"/>
      <c r="G148" s="81"/>
      <c r="H148" s="81"/>
      <c r="I148" s="81"/>
      <c r="J148" s="81"/>
      <c r="K148" s="81"/>
    </row>
    <row r="149">
      <c r="A149" s="82" t="s">
        <v>130</v>
      </c>
      <c r="B149" s="82" t="s">
        <v>145</v>
      </c>
      <c r="C149" s="82" t="s">
        <v>146</v>
      </c>
      <c r="D149" s="82" t="s">
        <v>147</v>
      </c>
      <c r="E149" s="82" t="s">
        <v>148</v>
      </c>
      <c r="F149" s="82" t="s">
        <v>149</v>
      </c>
      <c r="G149" s="82" t="s">
        <v>150</v>
      </c>
      <c r="H149" s="83" t="s">
        <v>151</v>
      </c>
      <c r="I149" s="83" t="s">
        <v>152</v>
      </c>
      <c r="J149" s="83" t="s">
        <v>153</v>
      </c>
      <c r="K149" s="83" t="s">
        <v>129</v>
      </c>
    </row>
    <row r="150">
      <c r="A150" s="84">
        <f>SUM(D144:D146)</f>
      </c>
      <c r="B150" s="85">
        <f>SUM(E144:E146)</f>
      </c>
      <c r="C150" s="85">
        <f>B150/((K150*300)+A150)</f>
      </c>
      <c r="D150" s="86">
        <f>A150/J150</f>
      </c>
      <c r="E150" s="85">
        <f>B150/J150</f>
      </c>
      <c r="F150" s="87">
        <f>J150/I150</f>
      </c>
      <c r="G150" s="87">
        <f>H150/J150</f>
      </c>
      <c r="H150" s="88">
        <v>1</v>
      </c>
      <c r="I150" s="88">
        <v>12</v>
      </c>
      <c r="J150" s="88">
        <f>F147</f>
      </c>
      <c r="K150" s="88">
        <f>C147</f>
      </c>
    </row>
    <row r="151">
      <c r="A151" s="71" t="s">
        <v>174</v>
      </c>
      <c r="B151" s="71"/>
      <c r="C151" s="71"/>
      <c r="D151" s="71"/>
      <c r="E151" s="71"/>
      <c r="F151" s="71"/>
      <c r="G151" s="71"/>
      <c r="H151" s="71"/>
      <c r="I151" s="71"/>
      <c r="J151" s="71"/>
      <c r="K151" s="71"/>
    </row>
    <row r="152">
      <c r="A152" s="72" t="s">
        <v>127</v>
      </c>
      <c r="B152" s="72" t="s">
        <v>128</v>
      </c>
      <c r="C152" s="72" t="s">
        <v>129</v>
      </c>
      <c r="D152" s="72" t="s">
        <v>130</v>
      </c>
      <c r="E152" s="73" t="s">
        <v>131</v>
      </c>
      <c r="F152" s="72" t="s">
        <v>132</v>
      </c>
      <c r="G152" s="72" t="s">
        <v>133</v>
      </c>
      <c r="H152" s="72" t="s">
        <v>134</v>
      </c>
      <c r="I152" s="72" t="s">
        <v>135</v>
      </c>
      <c r="J152" s="72" t="s">
        <v>136</v>
      </c>
      <c r="K152" s="72"/>
    </row>
    <row r="153">
      <c r="A153" s="74" t="s">
        <v>141</v>
      </c>
      <c r="B153" s="75" t="s">
        <v>138</v>
      </c>
      <c r="C153" s="76">
        <v>4</v>
      </c>
      <c r="D153" s="77">
        <v>4763.36</v>
      </c>
      <c r="E153" s="77">
        <v>3337.8</v>
      </c>
      <c r="F153" s="77">
        <v>4</v>
      </c>
      <c r="G153" s="78">
        <f t="shared" ref="G153:G156" si="79">E153/F153</f>
      </c>
      <c r="H153" s="78">
        <f t="shared" ref="H153:H156" si="48">D153/F153</f>
      </c>
      <c r="I153" s="78">
        <f t="shared" ref="I153:I156" si="17">E153/D153</f>
      </c>
      <c r="J153" s="78">
        <f t="shared" ref="J153:J156" si="110">D153/C153</f>
      </c>
      <c r="K153" s="78"/>
    </row>
    <row r="154">
      <c r="A154" s="79" t="s">
        <v>137</v>
      </c>
      <c r="B154" s="75" t="s">
        <v>140</v>
      </c>
      <c r="C154" s="77">
        <v>4</v>
      </c>
      <c r="D154" s="77">
        <v>4908.32</v>
      </c>
      <c r="E154" s="77">
        <v>8349.6</v>
      </c>
      <c r="F154" s="77">
        <v>5</v>
      </c>
      <c r="G154" s="78">
        <f t="shared" si="79"/>
      </c>
      <c r="H154" s="78">
        <f t="shared" si="48"/>
      </c>
      <c r="I154" s="78">
        <f t="shared" si="17"/>
      </c>
      <c r="J154" s="78">
        <f t="shared" si="110"/>
      </c>
      <c r="K154" s="78"/>
    </row>
    <row r="155">
      <c r="A155" s="74" t="s">
        <v>139</v>
      </c>
      <c r="B155" s="75" t="s">
        <v>142</v>
      </c>
      <c r="C155" s="77">
        <v>4</v>
      </c>
      <c r="D155" s="77">
        <v>5958.65</v>
      </c>
      <c r="E155" s="77">
        <v>15775.2</v>
      </c>
      <c r="F155" s="77">
        <v>5</v>
      </c>
      <c r="G155" s="78">
        <f t="shared" si="79"/>
      </c>
      <c r="H155" s="78">
        <f t="shared" si="48"/>
      </c>
      <c r="I155" s="78">
        <f t="shared" si="17"/>
      </c>
      <c r="J155" s="78">
        <f t="shared" si="110"/>
      </c>
      <c r="K155" s="78"/>
    </row>
    <row r="156">
      <c r="A156" s="72" t="s">
        <v>143</v>
      </c>
      <c r="B156" s="72"/>
      <c r="C156" s="72">
        <f>SUM(C153:C155)</f>
      </c>
      <c r="D156" s="72">
        <f>SUM(D153:D155)</f>
      </c>
      <c r="E156" s="72">
        <f>SUM(E153:E155)</f>
      </c>
      <c r="F156" s="72">
        <f>SUM(F153:F155)</f>
      </c>
      <c r="G156" s="80">
        <f t="shared" si="79"/>
      </c>
      <c r="H156" s="80">
        <f t="shared" si="48"/>
      </c>
      <c r="I156" s="80">
        <f t="shared" si="17"/>
      </c>
      <c r="J156" s="80">
        <f t="shared" si="110"/>
      </c>
      <c r="K156" s="80"/>
    </row>
    <row r="157">
      <c r="A157" s="81" t="s">
        <v>144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81"/>
    </row>
    <row r="158">
      <c r="A158" s="82" t="s">
        <v>130</v>
      </c>
      <c r="B158" s="82" t="s">
        <v>145</v>
      </c>
      <c r="C158" s="82" t="s">
        <v>146</v>
      </c>
      <c r="D158" s="82" t="s">
        <v>147</v>
      </c>
      <c r="E158" s="82" t="s">
        <v>148</v>
      </c>
      <c r="F158" s="82" t="s">
        <v>149</v>
      </c>
      <c r="G158" s="82" t="s">
        <v>150</v>
      </c>
      <c r="H158" s="83" t="s">
        <v>151</v>
      </c>
      <c r="I158" s="83" t="s">
        <v>152</v>
      </c>
      <c r="J158" s="83" t="s">
        <v>153</v>
      </c>
      <c r="K158" s="83" t="s">
        <v>129</v>
      </c>
    </row>
    <row r="159">
      <c r="A159" s="84">
        <f>SUM(D153:D155)</f>
      </c>
      <c r="B159" s="85">
        <f>SUM(E153:E155)</f>
      </c>
      <c r="C159" s="85">
        <f>B159/((K159*300)+A159)</f>
      </c>
      <c r="D159" s="86">
        <f>A159/J159</f>
      </c>
      <c r="E159" s="85">
        <f>B159/J159</f>
      </c>
      <c r="F159" s="87">
        <f>J159/I159</f>
      </c>
      <c r="G159" s="87">
        <f>H159/J159</f>
      </c>
      <c r="H159" s="88">
        <v>1</v>
      </c>
      <c r="I159" s="88">
        <v>21</v>
      </c>
      <c r="J159" s="88">
        <f>F156</f>
      </c>
      <c r="K159" s="88">
        <f>C156</f>
      </c>
    </row>
    <row r="160">
      <c r="A160" s="71" t="s">
        <v>175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</row>
    <row r="161">
      <c r="A161" s="72" t="s">
        <v>127</v>
      </c>
      <c r="B161" s="72" t="s">
        <v>128</v>
      </c>
      <c r="C161" s="72" t="s">
        <v>129</v>
      </c>
      <c r="D161" s="72" t="s">
        <v>130</v>
      </c>
      <c r="E161" s="73" t="s">
        <v>131</v>
      </c>
      <c r="F161" s="72" t="s">
        <v>132</v>
      </c>
      <c r="G161" s="72" t="s">
        <v>133</v>
      </c>
      <c r="H161" s="72" t="s">
        <v>134</v>
      </c>
      <c r="I161" s="72" t="s">
        <v>135</v>
      </c>
      <c r="J161" s="72" t="s">
        <v>136</v>
      </c>
      <c r="K161" s="72"/>
    </row>
    <row r="162">
      <c r="A162" s="79" t="s">
        <v>137</v>
      </c>
      <c r="B162" s="75" t="s">
        <v>138</v>
      </c>
      <c r="C162" s="76">
        <v>4</v>
      </c>
      <c r="D162" s="77">
        <v>6214.17</v>
      </c>
      <c r="E162" s="77">
        <v>8174.4</v>
      </c>
      <c r="F162" s="77">
        <v>5</v>
      </c>
      <c r="G162" s="78">
        <f t="shared" ref="G162:G165" si="80">E162/F162</f>
      </c>
      <c r="H162" s="78">
        <f t="shared" ref="H162:H165" si="49">D162/F162</f>
      </c>
      <c r="I162" s="78">
        <f t="shared" ref="I162:I165" si="18">E162/D162</f>
      </c>
      <c r="J162" s="78">
        <f t="shared" ref="J162:J165" si="111">D162/C162</f>
      </c>
      <c r="K162" s="78"/>
    </row>
    <row r="163">
      <c r="A163" s="74" t="s">
        <v>141</v>
      </c>
      <c r="B163" s="75" t="s">
        <v>140</v>
      </c>
      <c r="C163" s="77">
        <v>4</v>
      </c>
      <c r="D163" s="77">
        <v>6657.65</v>
      </c>
      <c r="E163" s="77">
        <v>9841.2</v>
      </c>
      <c r="F163" s="77">
        <v>8</v>
      </c>
      <c r="G163" s="78">
        <f t="shared" si="80"/>
      </c>
      <c r="H163" s="78">
        <f t="shared" si="49"/>
      </c>
      <c r="I163" s="78">
        <f t="shared" si="18"/>
      </c>
      <c r="J163" s="78">
        <f t="shared" si="111"/>
      </c>
      <c r="K163" s="78"/>
    </row>
    <row r="164">
      <c r="A164" s="74" t="s">
        <v>139</v>
      </c>
      <c r="B164" s="75" t="s">
        <v>142</v>
      </c>
      <c r="C164" s="77">
        <v>4</v>
      </c>
      <c r="D164" s="77">
        <v>10856.91</v>
      </c>
      <c r="E164" s="77">
        <v>9265.4</v>
      </c>
      <c r="F164" s="77">
        <v>7</v>
      </c>
      <c r="G164" s="78">
        <f t="shared" si="80"/>
      </c>
      <c r="H164" s="78">
        <f t="shared" si="49"/>
      </c>
      <c r="I164" s="78">
        <f t="shared" si="18"/>
      </c>
      <c r="J164" s="78">
        <f t="shared" si="111"/>
      </c>
      <c r="K164" s="78"/>
    </row>
    <row r="165">
      <c r="A165" s="72" t="s">
        <v>143</v>
      </c>
      <c r="B165" s="72"/>
      <c r="C165" s="72">
        <f>SUM(C162:C164)</f>
      </c>
      <c r="D165" s="72">
        <f>SUM(D162:D164)</f>
      </c>
      <c r="E165" s="72">
        <f>SUM(E162:E164)</f>
      </c>
      <c r="F165" s="72">
        <f>SUM(F162:F164)</f>
      </c>
      <c r="G165" s="80">
        <f t="shared" si="80"/>
      </c>
      <c r="H165" s="80">
        <f t="shared" si="49"/>
      </c>
      <c r="I165" s="80">
        <f t="shared" si="18"/>
      </c>
      <c r="J165" s="80">
        <f t="shared" si="111"/>
      </c>
      <c r="K165" s="80"/>
    </row>
    <row r="166">
      <c r="A166" s="81" t="s">
        <v>144</v>
      </c>
      <c r="B166" s="81"/>
      <c r="C166" s="81"/>
      <c r="D166" s="81"/>
      <c r="E166" s="81"/>
      <c r="F166" s="81"/>
      <c r="G166" s="81"/>
      <c r="H166" s="81"/>
      <c r="I166" s="81"/>
      <c r="J166" s="81"/>
      <c r="K166" s="81"/>
    </row>
    <row r="167">
      <c r="A167" s="82" t="s">
        <v>130</v>
      </c>
      <c r="B167" s="82" t="s">
        <v>145</v>
      </c>
      <c r="C167" s="82" t="s">
        <v>146</v>
      </c>
      <c r="D167" s="82" t="s">
        <v>147</v>
      </c>
      <c r="E167" s="82" t="s">
        <v>148</v>
      </c>
      <c r="F167" s="82" t="s">
        <v>149</v>
      </c>
      <c r="G167" s="82" t="s">
        <v>150</v>
      </c>
      <c r="H167" s="83" t="s">
        <v>151</v>
      </c>
      <c r="I167" s="83" t="s">
        <v>152</v>
      </c>
      <c r="J167" s="83" t="s">
        <v>153</v>
      </c>
      <c r="K167" s="83" t="s">
        <v>129</v>
      </c>
    </row>
    <row r="168">
      <c r="A168" s="84">
        <f>SUM(D162:D164)</f>
      </c>
      <c r="B168" s="85">
        <f>SUM(E162:E164)</f>
      </c>
      <c r="C168" s="85">
        <f>B168/((K168*300)+A168)</f>
      </c>
      <c r="D168" s="86">
        <f>A168/J168</f>
      </c>
      <c r="E168" s="85">
        <f>B168/J168</f>
      </c>
      <c r="F168" s="87">
        <f>J168/I168</f>
      </c>
      <c r="G168" s="87">
        <f>H168/J168</f>
      </c>
      <c r="H168" s="88">
        <v>1</v>
      </c>
      <c r="I168" s="88">
        <v>30</v>
      </c>
      <c r="J168" s="88">
        <f>F165</f>
      </c>
      <c r="K168" s="88">
        <f>C165</f>
      </c>
    </row>
    <row r="169">
      <c r="A169" s="71" t="s">
        <v>176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</row>
    <row r="170">
      <c r="A170" s="72" t="s">
        <v>127</v>
      </c>
      <c r="B170" s="72" t="s">
        <v>128</v>
      </c>
      <c r="C170" s="72" t="s">
        <v>129</v>
      </c>
      <c r="D170" s="72" t="s">
        <v>130</v>
      </c>
      <c r="E170" s="73" t="s">
        <v>131</v>
      </c>
      <c r="F170" s="72" t="s">
        <v>132</v>
      </c>
      <c r="G170" s="72" t="s">
        <v>133</v>
      </c>
      <c r="H170" s="72" t="s">
        <v>134</v>
      </c>
      <c r="I170" s="72" t="s">
        <v>135</v>
      </c>
      <c r="J170" s="72" t="s">
        <v>136</v>
      </c>
      <c r="K170" s="72"/>
    </row>
    <row r="171">
      <c r="A171" s="74" t="s">
        <v>141</v>
      </c>
      <c r="B171" s="75" t="s">
        <v>138</v>
      </c>
      <c r="C171" s="76">
        <v>4</v>
      </c>
      <c r="D171" s="77">
        <v>5928.36</v>
      </c>
      <c r="E171" s="77">
        <v>16953.8</v>
      </c>
      <c r="F171" s="77">
        <v>10</v>
      </c>
      <c r="G171" s="78">
        <f t="shared" ref="G171:G174" si="81">E171/F171</f>
      </c>
      <c r="H171" s="78">
        <f t="shared" ref="H171:H174" si="50">D171/F171</f>
      </c>
      <c r="I171" s="78">
        <f t="shared" ref="I171:I174" si="19">E171/D171</f>
      </c>
      <c r="J171" s="78">
        <f t="shared" ref="J171:J174" si="112">D171/C171</f>
      </c>
      <c r="K171" s="78"/>
    </row>
    <row r="172">
      <c r="A172" s="74" t="s">
        <v>139</v>
      </c>
      <c r="B172" s="75" t="s">
        <v>140</v>
      </c>
      <c r="C172" s="77">
        <v>4</v>
      </c>
      <c r="D172" s="77">
        <v>6302.1</v>
      </c>
      <c r="E172" s="77">
        <v>2841.6</v>
      </c>
      <c r="F172" s="77">
        <v>3</v>
      </c>
      <c r="G172" s="78">
        <f t="shared" si="81"/>
      </c>
      <c r="H172" s="78">
        <f t="shared" si="50"/>
      </c>
      <c r="I172" s="78">
        <f t="shared" si="19"/>
      </c>
      <c r="J172" s="78">
        <f t="shared" si="112"/>
      </c>
      <c r="K172" s="78"/>
    </row>
    <row r="173">
      <c r="A173" s="79" t="s">
        <v>137</v>
      </c>
      <c r="B173" s="75" t="s">
        <v>142</v>
      </c>
      <c r="C173" s="77">
        <v>4</v>
      </c>
      <c r="D173" s="77">
        <v>6009.44</v>
      </c>
      <c r="E173" s="77">
        <v>6710.4</v>
      </c>
      <c r="F173" s="77">
        <v>5</v>
      </c>
      <c r="G173" s="78">
        <f t="shared" si="81"/>
      </c>
      <c r="H173" s="78">
        <f t="shared" si="50"/>
      </c>
      <c r="I173" s="78">
        <f t="shared" si="19"/>
      </c>
      <c r="J173" s="78">
        <f t="shared" si="112"/>
      </c>
      <c r="K173" s="78"/>
    </row>
    <row r="174">
      <c r="A174" s="72" t="s">
        <v>143</v>
      </c>
      <c r="B174" s="72"/>
      <c r="C174" s="72">
        <f>SUM(C171:C173)</f>
      </c>
      <c r="D174" s="72">
        <f>SUM(D171:D173)</f>
      </c>
      <c r="E174" s="72">
        <f>SUM(E171:E173)</f>
      </c>
      <c r="F174" s="72">
        <f>SUM(F171:F173)</f>
      </c>
      <c r="G174" s="80">
        <f t="shared" si="81"/>
      </c>
      <c r="H174" s="80">
        <f t="shared" si="50"/>
      </c>
      <c r="I174" s="80">
        <f t="shared" si="19"/>
      </c>
      <c r="J174" s="80">
        <f t="shared" si="112"/>
      </c>
      <c r="K174" s="80"/>
    </row>
    <row r="175">
      <c r="A175" s="81" t="s">
        <v>144</v>
      </c>
      <c r="B175" s="81"/>
      <c r="C175" s="81"/>
      <c r="D175" s="81"/>
      <c r="E175" s="81"/>
      <c r="F175" s="81"/>
      <c r="G175" s="81"/>
      <c r="H175" s="81"/>
      <c r="I175" s="81"/>
      <c r="J175" s="81"/>
      <c r="K175" s="81"/>
    </row>
    <row r="176">
      <c r="A176" s="82" t="s">
        <v>130</v>
      </c>
      <c r="B176" s="82" t="s">
        <v>145</v>
      </c>
      <c r="C176" s="82" t="s">
        <v>146</v>
      </c>
      <c r="D176" s="82" t="s">
        <v>147</v>
      </c>
      <c r="E176" s="82" t="s">
        <v>148</v>
      </c>
      <c r="F176" s="82" t="s">
        <v>149</v>
      </c>
      <c r="G176" s="82" t="s">
        <v>150</v>
      </c>
      <c r="H176" s="83" t="s">
        <v>151</v>
      </c>
      <c r="I176" s="83" t="s">
        <v>152</v>
      </c>
      <c r="J176" s="83" t="s">
        <v>153</v>
      </c>
      <c r="K176" s="83" t="s">
        <v>129</v>
      </c>
    </row>
    <row r="177">
      <c r="A177" s="84">
        <f>SUM(D171:D173)</f>
      </c>
      <c r="B177" s="85">
        <f>SUM(E171:E173)</f>
      </c>
      <c r="C177" s="85">
        <f>B177/((K177*300)+A177)</f>
      </c>
      <c r="D177" s="86">
        <f>A177/J177</f>
      </c>
      <c r="E177" s="85">
        <f>B177/J177</f>
      </c>
      <c r="F177" s="87">
        <f>J177/I177</f>
      </c>
      <c r="G177" s="87">
        <f>H177/J177</f>
      </c>
      <c r="H177" s="88">
        <v>3</v>
      </c>
      <c r="I177" s="88">
        <v>29</v>
      </c>
      <c r="J177" s="88">
        <f>F174</f>
      </c>
      <c r="K177" s="88">
        <f>C174</f>
      </c>
    </row>
    <row r="178">
      <c r="A178" s="71" t="s">
        <v>177</v>
      </c>
      <c r="B178" s="71"/>
      <c r="C178" s="71"/>
      <c r="D178" s="71"/>
      <c r="E178" s="71"/>
      <c r="F178" s="71"/>
      <c r="G178" s="71"/>
      <c r="H178" s="71"/>
      <c r="I178" s="71"/>
      <c r="J178" s="71"/>
      <c r="K178" s="71"/>
    </row>
    <row r="179">
      <c r="A179" s="72" t="s">
        <v>127</v>
      </c>
      <c r="B179" s="72" t="s">
        <v>128</v>
      </c>
      <c r="C179" s="72" t="s">
        <v>129</v>
      </c>
      <c r="D179" s="72" t="s">
        <v>130</v>
      </c>
      <c r="E179" s="73" t="s">
        <v>131</v>
      </c>
      <c r="F179" s="72" t="s">
        <v>132</v>
      </c>
      <c r="G179" s="72" t="s">
        <v>133</v>
      </c>
      <c r="H179" s="72" t="s">
        <v>134</v>
      </c>
      <c r="I179" s="72" t="s">
        <v>135</v>
      </c>
      <c r="J179" s="72" t="s">
        <v>136</v>
      </c>
      <c r="K179" s="72"/>
    </row>
    <row r="180">
      <c r="A180" s="79" t="s">
        <v>137</v>
      </c>
      <c r="B180" s="75" t="s">
        <v>138</v>
      </c>
      <c r="C180" s="76">
        <v>4</v>
      </c>
      <c r="D180" s="77">
        <v>5323.89</v>
      </c>
      <c r="E180" s="77">
        <v>806</v>
      </c>
      <c r="F180" s="77">
        <v>1</v>
      </c>
      <c r="G180" s="78">
        <f t="shared" ref="G180:G183" si="82">E180/F180</f>
      </c>
      <c r="H180" s="78">
        <f t="shared" ref="H180:H183" si="51">D180/F180</f>
      </c>
      <c r="I180" s="78">
        <f t="shared" ref="I180:I183" si="20">E180/D180</f>
      </c>
      <c r="J180" s="78">
        <f t="shared" ref="J180:J183" si="113">D180/C180</f>
      </c>
      <c r="K180" s="78"/>
    </row>
    <row r="181">
      <c r="A181" s="74" t="s">
        <v>141</v>
      </c>
      <c r="B181" s="75" t="s">
        <v>140</v>
      </c>
      <c r="C181" s="77">
        <v>4</v>
      </c>
      <c r="D181" s="77">
        <v>5508.95</v>
      </c>
      <c r="E181" s="77">
        <v>6711</v>
      </c>
      <c r="F181" s="77">
        <v>3</v>
      </c>
      <c r="G181" s="78">
        <f t="shared" si="82"/>
      </c>
      <c r="H181" s="78">
        <f t="shared" si="51"/>
      </c>
      <c r="I181" s="78">
        <f t="shared" si="20"/>
      </c>
      <c r="J181" s="78">
        <f t="shared" si="113"/>
      </c>
      <c r="K181" s="78"/>
    </row>
    <row r="182">
      <c r="A182" s="74" t="s">
        <v>139</v>
      </c>
      <c r="B182" s="75" t="s">
        <v>142</v>
      </c>
      <c r="C182" s="77">
        <v>4</v>
      </c>
      <c r="D182" s="77">
        <v>7412.69</v>
      </c>
      <c r="E182" s="77">
        <v>18420.2</v>
      </c>
      <c r="F182" s="77">
        <v>8</v>
      </c>
      <c r="G182" s="78">
        <f t="shared" si="82"/>
      </c>
      <c r="H182" s="78">
        <f t="shared" si="51"/>
      </c>
      <c r="I182" s="78">
        <f t="shared" si="20"/>
      </c>
      <c r="J182" s="78">
        <f t="shared" si="113"/>
      </c>
      <c r="K182" s="78"/>
    </row>
    <row r="183">
      <c r="A183" s="72" t="s">
        <v>143</v>
      </c>
      <c r="B183" s="72"/>
      <c r="C183" s="72">
        <f>SUM(C180:C182)</f>
      </c>
      <c r="D183" s="72">
        <f>SUM(D180:D182)</f>
      </c>
      <c r="E183" s="72">
        <f>SUM(E180:E182)</f>
      </c>
      <c r="F183" s="72">
        <f>SUM(F180:F182)</f>
      </c>
      <c r="G183" s="80">
        <f t="shared" si="82"/>
      </c>
      <c r="H183" s="80">
        <f t="shared" si="51"/>
      </c>
      <c r="I183" s="80">
        <f t="shared" si="20"/>
      </c>
      <c r="J183" s="80">
        <f t="shared" si="113"/>
      </c>
      <c r="K183" s="80"/>
    </row>
    <row r="184">
      <c r="A184" s="81" t="s">
        <v>144</v>
      </c>
      <c r="B184" s="81"/>
      <c r="C184" s="81"/>
      <c r="D184" s="81"/>
      <c r="E184" s="81"/>
      <c r="F184" s="81"/>
      <c r="G184" s="81"/>
      <c r="H184" s="81"/>
      <c r="I184" s="81"/>
      <c r="J184" s="81"/>
      <c r="K184" s="81"/>
    </row>
    <row r="185">
      <c r="A185" s="82" t="s">
        <v>130</v>
      </c>
      <c r="B185" s="82" t="s">
        <v>145</v>
      </c>
      <c r="C185" s="82" t="s">
        <v>146</v>
      </c>
      <c r="D185" s="82" t="s">
        <v>147</v>
      </c>
      <c r="E185" s="82" t="s">
        <v>148</v>
      </c>
      <c r="F185" s="82" t="s">
        <v>149</v>
      </c>
      <c r="G185" s="82" t="s">
        <v>150</v>
      </c>
      <c r="H185" s="83" t="s">
        <v>151</v>
      </c>
      <c r="I185" s="83" t="s">
        <v>152</v>
      </c>
      <c r="J185" s="83" t="s">
        <v>153</v>
      </c>
      <c r="K185" s="83" t="s">
        <v>129</v>
      </c>
    </row>
    <row r="186">
      <c r="A186" s="84">
        <f>SUM(D180:D182)</f>
      </c>
      <c r="B186" s="85">
        <f>SUM(E180:E182)</f>
      </c>
      <c r="C186" s="85">
        <f>B186/((K186*300)+A186)</f>
      </c>
      <c r="D186" s="86">
        <f>A186/J186</f>
      </c>
      <c r="E186" s="85">
        <f>B186/J186</f>
      </c>
      <c r="F186" s="87">
        <f>J186/I186</f>
      </c>
      <c r="G186" s="87">
        <f>H186/J186</f>
      </c>
      <c r="H186" s="88">
        <v>1</v>
      </c>
      <c r="I186" s="88">
        <v>22</v>
      </c>
      <c r="J186" s="88">
        <f>F183</f>
      </c>
      <c r="K186" s="88">
        <f>C183</f>
      </c>
    </row>
    <row r="187">
      <c r="A187" s="71" t="s">
        <v>178</v>
      </c>
      <c r="B187" s="71"/>
      <c r="C187" s="71"/>
      <c r="D187" s="71"/>
      <c r="E187" s="71"/>
      <c r="F187" s="71"/>
      <c r="G187" s="71"/>
      <c r="H187" s="71"/>
      <c r="I187" s="71"/>
      <c r="J187" s="71"/>
      <c r="K187" s="71"/>
    </row>
    <row r="188">
      <c r="A188" s="72" t="s">
        <v>127</v>
      </c>
      <c r="B188" s="72" t="s">
        <v>128</v>
      </c>
      <c r="C188" s="72" t="s">
        <v>129</v>
      </c>
      <c r="D188" s="72" t="s">
        <v>130</v>
      </c>
      <c r="E188" s="73" t="s">
        <v>131</v>
      </c>
      <c r="F188" s="72" t="s">
        <v>132</v>
      </c>
      <c r="G188" s="72" t="s">
        <v>133</v>
      </c>
      <c r="H188" s="72" t="s">
        <v>134</v>
      </c>
      <c r="I188" s="72" t="s">
        <v>135</v>
      </c>
      <c r="J188" s="72" t="s">
        <v>136</v>
      </c>
      <c r="K188" s="72"/>
    </row>
    <row r="189">
      <c r="A189" s="79" t="s">
        <v>137</v>
      </c>
      <c r="B189" s="75" t="s">
        <v>138</v>
      </c>
      <c r="C189" s="76">
        <v>4</v>
      </c>
      <c r="D189" s="77">
        <v>7929.15</v>
      </c>
      <c r="E189" s="77">
        <v>15383.4</v>
      </c>
      <c r="F189" s="77">
        <v>7</v>
      </c>
      <c r="G189" s="78">
        <f t="shared" ref="G189:G192" si="83">E189/F189</f>
      </c>
      <c r="H189" s="78">
        <f t="shared" ref="H189:H192" si="52">D189/F189</f>
      </c>
      <c r="I189" s="78">
        <f t="shared" ref="I189:I192" si="21">E189/D189</f>
      </c>
      <c r="J189" s="78">
        <f t="shared" ref="J189:J192" si="114">D189/C189</f>
      </c>
      <c r="K189" s="78"/>
    </row>
    <row r="190">
      <c r="A190" s="74" t="s">
        <v>139</v>
      </c>
      <c r="B190" s="75" t="s">
        <v>140</v>
      </c>
      <c r="C190" s="77">
        <v>4</v>
      </c>
      <c r="D190" s="91">
        <v>5259.34</v>
      </c>
      <c r="E190" s="77">
        <v>1690.8000000000002</v>
      </c>
      <c r="F190" s="77">
        <v>2</v>
      </c>
      <c r="G190" s="78">
        <f t="shared" si="83"/>
      </c>
      <c r="H190" s="78">
        <f t="shared" si="52"/>
      </c>
      <c r="I190" s="78">
        <f t="shared" si="21"/>
      </c>
      <c r="J190" s="78">
        <f t="shared" si="114"/>
      </c>
      <c r="K190" s="78"/>
    </row>
    <row r="191">
      <c r="A191" s="74" t="s">
        <v>141</v>
      </c>
      <c r="B191" s="75" t="s">
        <v>142</v>
      </c>
      <c r="C191" s="77">
        <v>4</v>
      </c>
      <c r="D191" s="91">
        <v>7541.94</v>
      </c>
      <c r="E191" s="77">
        <v>18151</v>
      </c>
      <c r="F191" s="77">
        <v>10</v>
      </c>
      <c r="G191" s="78">
        <f t="shared" si="83"/>
      </c>
      <c r="H191" s="78">
        <f t="shared" si="52"/>
      </c>
      <c r="I191" s="78">
        <f t="shared" si="21"/>
      </c>
      <c r="J191" s="78">
        <f t="shared" si="114"/>
      </c>
      <c r="K191" s="78"/>
    </row>
    <row r="192">
      <c r="A192" s="72" t="s">
        <v>143</v>
      </c>
      <c r="B192" s="72"/>
      <c r="C192" s="72">
        <f>SUM(C189:C191)</f>
      </c>
      <c r="D192" s="72">
        <f>SUM(D189:D191)</f>
      </c>
      <c r="E192" s="72">
        <f>SUM(E189:E191)</f>
      </c>
      <c r="F192" s="72">
        <f>SUM(F189:F191)</f>
      </c>
      <c r="G192" s="80">
        <f t="shared" si="83"/>
      </c>
      <c r="H192" s="80">
        <f t="shared" si="52"/>
      </c>
      <c r="I192" s="80">
        <f t="shared" si="21"/>
      </c>
      <c r="J192" s="80">
        <f t="shared" si="114"/>
      </c>
      <c r="K192" s="80"/>
    </row>
    <row r="193">
      <c r="A193" s="81" t="s">
        <v>144</v>
      </c>
      <c r="B193" s="81"/>
      <c r="C193" s="81"/>
      <c r="D193" s="81"/>
      <c r="E193" s="81"/>
      <c r="F193" s="81"/>
      <c r="G193" s="81"/>
      <c r="H193" s="81"/>
      <c r="I193" s="81"/>
      <c r="J193" s="81"/>
      <c r="K193" s="81"/>
    </row>
    <row r="194">
      <c r="A194" s="82" t="s">
        <v>130</v>
      </c>
      <c r="B194" s="82" t="s">
        <v>145</v>
      </c>
      <c r="C194" s="82" t="s">
        <v>146</v>
      </c>
      <c r="D194" s="82" t="s">
        <v>147</v>
      </c>
      <c r="E194" s="82" t="s">
        <v>148</v>
      </c>
      <c r="F194" s="82" t="s">
        <v>149</v>
      </c>
      <c r="G194" s="82" t="s">
        <v>150</v>
      </c>
      <c r="H194" s="83" t="s">
        <v>151</v>
      </c>
      <c r="I194" s="83" t="s">
        <v>152</v>
      </c>
      <c r="J194" s="83" t="s">
        <v>153</v>
      </c>
      <c r="K194" s="83" t="s">
        <v>129</v>
      </c>
    </row>
    <row r="195">
      <c r="A195" s="84">
        <f>SUM(D189:D191)</f>
      </c>
      <c r="B195" s="85">
        <f>SUM(E189:E191)</f>
      </c>
      <c r="C195" s="85">
        <f>B195/((K195*300)+A195)</f>
      </c>
      <c r="D195" s="86">
        <f>A195/J195</f>
      </c>
      <c r="E195" s="85">
        <f>B195/J195</f>
      </c>
      <c r="F195" s="87">
        <f>J195/I195</f>
      </c>
      <c r="G195" s="87">
        <f>H195/J195</f>
      </c>
      <c r="H195" s="88">
        <v>3</v>
      </c>
      <c r="I195" s="88">
        <v>31</v>
      </c>
      <c r="J195" s="88">
        <f>F192</f>
      </c>
      <c r="K195" s="88">
        <f>C192</f>
      </c>
    </row>
    <row r="196">
      <c r="A196" s="71" t="s">
        <v>179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</row>
    <row r="197">
      <c r="A197" s="72" t="s">
        <v>127</v>
      </c>
      <c r="B197" s="72" t="s">
        <v>128</v>
      </c>
      <c r="C197" s="72" t="s">
        <v>129</v>
      </c>
      <c r="D197" s="72" t="s">
        <v>130</v>
      </c>
      <c r="E197" s="73" t="s">
        <v>131</v>
      </c>
      <c r="F197" s="72" t="s">
        <v>132</v>
      </c>
      <c r="G197" s="72" t="s">
        <v>133</v>
      </c>
      <c r="H197" s="72" t="s">
        <v>134</v>
      </c>
      <c r="I197" s="72" t="s">
        <v>135</v>
      </c>
      <c r="J197" s="72" t="s">
        <v>136</v>
      </c>
      <c r="K197" s="72"/>
    </row>
    <row r="198">
      <c r="A198" s="79" t="s">
        <v>141</v>
      </c>
      <c r="B198" s="75" t="s">
        <v>138</v>
      </c>
      <c r="C198" s="77">
        <v>4</v>
      </c>
      <c r="D198" s="77">
        <v>6360.67</v>
      </c>
      <c r="E198" s="77">
        <v>8484.4</v>
      </c>
      <c r="F198" s="77">
        <v>5</v>
      </c>
      <c r="G198" s="78">
        <f t="shared" ref="G198:G201" si="84">E198/F198</f>
      </c>
      <c r="H198" s="78">
        <f t="shared" ref="H198:H201" si="53">D198/F198</f>
      </c>
      <c r="I198" s="78">
        <f t="shared" ref="I198:I201" si="22">E198/D198</f>
      </c>
      <c r="J198" s="78">
        <f t="shared" ref="J198:J201" si="115">D198/C198</f>
      </c>
      <c r="K198" s="78"/>
    </row>
    <row r="199">
      <c r="A199" s="74" t="s">
        <v>137</v>
      </c>
      <c r="B199" s="75" t="s">
        <v>140</v>
      </c>
      <c r="C199" s="77">
        <v>4</v>
      </c>
      <c r="D199" s="91">
        <v>5483.78</v>
      </c>
      <c r="E199" s="77">
        <v>6511.2</v>
      </c>
      <c r="F199" s="77">
        <v>4</v>
      </c>
      <c r="G199" s="78">
        <f t="shared" si="84"/>
      </c>
      <c r="H199" s="78">
        <f t="shared" si="53"/>
      </c>
      <c r="I199" s="78">
        <f t="shared" si="22"/>
      </c>
      <c r="J199" s="78">
        <f t="shared" si="115"/>
      </c>
      <c r="K199" s="78"/>
    </row>
    <row r="200">
      <c r="A200" s="74" t="s">
        <v>139</v>
      </c>
      <c r="B200" s="75" t="s">
        <v>142</v>
      </c>
      <c r="C200" s="77">
        <v>4</v>
      </c>
      <c r="D200" s="91">
        <v>5830.119999999999</v>
      </c>
      <c r="E200" s="77">
        <v>8995.199999999999</v>
      </c>
      <c r="F200" s="77">
        <v>4</v>
      </c>
      <c r="G200" s="78">
        <f t="shared" si="84"/>
      </c>
      <c r="H200" s="78">
        <f t="shared" si="53"/>
      </c>
      <c r="I200" s="78">
        <f t="shared" si="22"/>
      </c>
      <c r="J200" s="78">
        <f t="shared" si="115"/>
      </c>
      <c r="K200" s="78"/>
    </row>
    <row r="201">
      <c r="A201" s="72" t="s">
        <v>143</v>
      </c>
      <c r="B201" s="72"/>
      <c r="C201" s="72">
        <f>SUM(C198:C200)</f>
      </c>
      <c r="D201" s="72">
        <f>SUM(D198:D200)</f>
      </c>
      <c r="E201" s="72">
        <f>SUM(E198:E200)</f>
      </c>
      <c r="F201" s="72">
        <f>SUM(F198:F200)</f>
      </c>
      <c r="G201" s="80">
        <f t="shared" si="84"/>
      </c>
      <c r="H201" s="80">
        <f t="shared" si="53"/>
      </c>
      <c r="I201" s="80">
        <f t="shared" si="22"/>
      </c>
      <c r="J201" s="80">
        <f t="shared" si="115"/>
      </c>
      <c r="K201" s="80"/>
    </row>
    <row r="202">
      <c r="A202" s="81" t="s">
        <v>144</v>
      </c>
      <c r="B202" s="81"/>
      <c r="C202" s="81"/>
      <c r="D202" s="81"/>
      <c r="E202" s="81"/>
      <c r="F202" s="81"/>
      <c r="G202" s="81"/>
      <c r="H202" s="81"/>
      <c r="I202" s="81"/>
      <c r="J202" s="81"/>
      <c r="K202" s="81"/>
    </row>
    <row r="203">
      <c r="A203" s="82" t="s">
        <v>130</v>
      </c>
      <c r="B203" s="82" t="s">
        <v>145</v>
      </c>
      <c r="C203" s="82" t="s">
        <v>146</v>
      </c>
      <c r="D203" s="82" t="s">
        <v>147</v>
      </c>
      <c r="E203" s="82" t="s">
        <v>148</v>
      </c>
      <c r="F203" s="82" t="s">
        <v>149</v>
      </c>
      <c r="G203" s="82" t="s">
        <v>150</v>
      </c>
      <c r="H203" s="83" t="s">
        <v>151</v>
      </c>
      <c r="I203" s="83" t="s">
        <v>152</v>
      </c>
      <c r="J203" s="83" t="s">
        <v>153</v>
      </c>
      <c r="K203" s="83" t="s">
        <v>129</v>
      </c>
    </row>
    <row r="204">
      <c r="A204" s="84">
        <f>SUM(D198:D200)</f>
      </c>
      <c r="B204" s="85">
        <f>SUM(E198:E200)</f>
      </c>
      <c r="C204" s="85">
        <f>B204/((K204*300)+A204)</f>
      </c>
      <c r="D204" s="86">
        <f>A204/J204</f>
      </c>
      <c r="E204" s="85">
        <f>B204/J204</f>
      </c>
      <c r="F204" s="87">
        <f>J204/I204</f>
      </c>
      <c r="G204" s="87">
        <f>H204/J204</f>
      </c>
      <c r="H204" s="88">
        <v>2</v>
      </c>
      <c r="I204" s="88">
        <v>27</v>
      </c>
      <c r="J204" s="88">
        <f>F201</f>
      </c>
      <c r="K204" s="88">
        <f>C201</f>
      </c>
    </row>
    <row r="205">
      <c r="A205" s="71" t="s">
        <v>180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1"/>
    </row>
    <row r="206">
      <c r="A206" s="72" t="s">
        <v>127</v>
      </c>
      <c r="B206" s="72" t="s">
        <v>128</v>
      </c>
      <c r="C206" s="72" t="s">
        <v>129</v>
      </c>
      <c r="D206" s="72" t="s">
        <v>130</v>
      </c>
      <c r="E206" s="73" t="s">
        <v>131</v>
      </c>
      <c r="F206" s="72" t="s">
        <v>132</v>
      </c>
      <c r="G206" s="72" t="s">
        <v>133</v>
      </c>
      <c r="H206" s="72" t="s">
        <v>134</v>
      </c>
      <c r="I206" s="72" t="s">
        <v>135</v>
      </c>
      <c r="J206" s="72" t="s">
        <v>136</v>
      </c>
      <c r="K206" s="72"/>
    </row>
    <row r="207">
      <c r="A207" s="79" t="s">
        <v>141</v>
      </c>
      <c r="B207" s="75" t="s">
        <v>138</v>
      </c>
      <c r="C207" s="77">
        <v>4</v>
      </c>
      <c r="D207" s="77">
        <v>5457.08</v>
      </c>
      <c r="E207" s="77">
        <v>5763.6</v>
      </c>
      <c r="F207" s="77">
        <v>3</v>
      </c>
      <c r="G207" s="78">
        <f t="shared" ref="G207:G210" si="85">E207/F207</f>
      </c>
      <c r="H207" s="78">
        <f t="shared" ref="H207:H210" si="54">D207/F207</f>
      </c>
      <c r="I207" s="78">
        <f t="shared" ref="I207:I210" si="23">E207/D207</f>
      </c>
      <c r="J207" s="78">
        <f t="shared" ref="J207:J210" si="116">D207/C207</f>
      </c>
      <c r="K207" s="78"/>
    </row>
    <row r="208">
      <c r="A208" s="74" t="s">
        <v>139</v>
      </c>
      <c r="B208" s="75" t="s">
        <v>140</v>
      </c>
      <c r="C208" s="77">
        <v>4</v>
      </c>
      <c r="D208" s="91">
        <v>4153.99</v>
      </c>
      <c r="E208" s="77">
        <v>6585.599999999999</v>
      </c>
      <c r="F208" s="77">
        <v>4</v>
      </c>
      <c r="G208" s="78">
        <f t="shared" si="85"/>
      </c>
      <c r="H208" s="78">
        <f t="shared" si="54"/>
      </c>
      <c r="I208" s="78">
        <f t="shared" si="23"/>
      </c>
      <c r="J208" s="78">
        <f t="shared" si="116"/>
      </c>
      <c r="K208" s="78"/>
    </row>
    <row r="209">
      <c r="A209" s="74" t="s">
        <v>137</v>
      </c>
      <c r="B209" s="75" t="s">
        <v>142</v>
      </c>
      <c r="C209" s="77">
        <v>4</v>
      </c>
      <c r="D209" s="91">
        <v>7448.53</v>
      </c>
      <c r="E209" s="77">
        <v>12468.6</v>
      </c>
      <c r="F209" s="77">
        <v>9</v>
      </c>
      <c r="G209" s="78">
        <f t="shared" si="85"/>
      </c>
      <c r="H209" s="78">
        <f t="shared" si="54"/>
      </c>
      <c r="I209" s="78">
        <f t="shared" si="23"/>
      </c>
      <c r="J209" s="78">
        <f t="shared" si="116"/>
      </c>
      <c r="K209" s="78"/>
    </row>
    <row r="210">
      <c r="A210" s="72" t="s">
        <v>143</v>
      </c>
      <c r="B210" s="72"/>
      <c r="C210" s="72">
        <f>SUM(C207:C209)</f>
      </c>
      <c r="D210" s="72">
        <f>SUM(D207:D209)</f>
      </c>
      <c r="E210" s="72">
        <f>SUM(E207:E209)</f>
      </c>
      <c r="F210" s="72">
        <f>SUM(F207:F209)</f>
      </c>
      <c r="G210" s="80">
        <f t="shared" si="85"/>
      </c>
      <c r="H210" s="80">
        <f t="shared" si="54"/>
      </c>
      <c r="I210" s="80">
        <f t="shared" si="23"/>
      </c>
      <c r="J210" s="80">
        <f t="shared" si="116"/>
      </c>
      <c r="K210" s="80"/>
    </row>
    <row r="211">
      <c r="A211" s="81" t="s">
        <v>144</v>
      </c>
      <c r="B211" s="81"/>
      <c r="C211" s="81"/>
      <c r="D211" s="81"/>
      <c r="E211" s="81"/>
      <c r="F211" s="81"/>
      <c r="G211" s="81"/>
      <c r="H211" s="81"/>
      <c r="I211" s="81"/>
      <c r="J211" s="81"/>
      <c r="K211" s="81"/>
    </row>
    <row r="212">
      <c r="A212" s="82" t="s">
        <v>130</v>
      </c>
      <c r="B212" s="82" t="s">
        <v>145</v>
      </c>
      <c r="C212" s="82" t="s">
        <v>146</v>
      </c>
      <c r="D212" s="82" t="s">
        <v>147</v>
      </c>
      <c r="E212" s="82" t="s">
        <v>148</v>
      </c>
      <c r="F212" s="82" t="s">
        <v>149</v>
      </c>
      <c r="G212" s="82" t="s">
        <v>150</v>
      </c>
      <c r="H212" s="83" t="s">
        <v>151</v>
      </c>
      <c r="I212" s="83" t="s">
        <v>152</v>
      </c>
      <c r="J212" s="83" t="s">
        <v>153</v>
      </c>
      <c r="K212" s="83" t="s">
        <v>129</v>
      </c>
    </row>
    <row r="213">
      <c r="A213" s="84">
        <f>SUM(D207:D209)</f>
      </c>
      <c r="B213" s="85">
        <f>SUM(E207:E209)</f>
      </c>
      <c r="C213" s="85">
        <f>B213/((K213*300)+A213)</f>
      </c>
      <c r="D213" s="86">
        <f>A213/J213</f>
      </c>
      <c r="E213" s="85">
        <f>B213/J213</f>
      </c>
      <c r="F213" s="87">
        <f>J213/I213</f>
      </c>
      <c r="G213" s="87">
        <f>H213/J213</f>
      </c>
      <c r="H213" s="88">
        <v>6</v>
      </c>
      <c r="I213" s="88">
        <v>25</v>
      </c>
      <c r="J213" s="88">
        <f>F210</f>
      </c>
      <c r="K213" s="88">
        <f>C210</f>
      </c>
    </row>
    <row r="214">
      <c r="A214" s="71" t="s">
        <v>181</v>
      </c>
      <c r="B214" s="71"/>
      <c r="C214" s="71"/>
      <c r="D214" s="71"/>
      <c r="E214" s="71"/>
      <c r="F214" s="71"/>
      <c r="G214" s="71"/>
      <c r="H214" s="71"/>
      <c r="I214" s="71"/>
      <c r="J214" s="71"/>
      <c r="K214" s="71"/>
    </row>
    <row r="215">
      <c r="A215" s="72" t="s">
        <v>127</v>
      </c>
      <c r="B215" s="72" t="s">
        <v>128</v>
      </c>
      <c r="C215" s="72" t="s">
        <v>129</v>
      </c>
      <c r="D215" s="72" t="s">
        <v>130</v>
      </c>
      <c r="E215" s="73" t="s">
        <v>131</v>
      </c>
      <c r="F215" s="72" t="s">
        <v>132</v>
      </c>
      <c r="G215" s="72" t="s">
        <v>133</v>
      </c>
      <c r="H215" s="72" t="s">
        <v>134</v>
      </c>
      <c r="I215" s="72" t="s">
        <v>135</v>
      </c>
      <c r="J215" s="72" t="s">
        <v>136</v>
      </c>
      <c r="K215" s="72"/>
    </row>
    <row r="216">
      <c r="A216" s="79" t="s">
        <v>137</v>
      </c>
      <c r="B216" s="75" t="s">
        <v>138</v>
      </c>
      <c r="C216" s="77">
        <v>4</v>
      </c>
      <c r="D216" s="77">
        <v>6088.85</v>
      </c>
      <c r="E216" s="77">
        <v>5996.4</v>
      </c>
      <c r="F216" s="77">
        <v>6</v>
      </c>
      <c r="G216" s="78">
        <f t="shared" ref="G216:G219" si="86">E216/F216</f>
      </c>
      <c r="H216" s="78">
        <f t="shared" ref="H216:H219" si="55">D216/F216</f>
      </c>
      <c r="I216" s="78">
        <f t="shared" ref="I216:I219" si="24">E216/D216</f>
      </c>
      <c r="J216" s="78">
        <f t="shared" ref="J216:J219" si="117">D216/C216</f>
      </c>
      <c r="K216" s="78"/>
    </row>
    <row r="217">
      <c r="A217" s="79" t="s">
        <v>141</v>
      </c>
      <c r="B217" s="75" t="s">
        <v>140</v>
      </c>
      <c r="C217" s="77">
        <v>4</v>
      </c>
      <c r="D217" s="91">
        <v>4795.5</v>
      </c>
      <c r="E217" s="77">
        <v>12982.199999999999</v>
      </c>
      <c r="F217" s="77">
        <v>8</v>
      </c>
      <c r="G217" s="78">
        <f t="shared" si="86"/>
      </c>
      <c r="H217" s="78">
        <f t="shared" si="55"/>
      </c>
      <c r="I217" s="78">
        <f t="shared" si="24"/>
      </c>
      <c r="J217" s="78">
        <f t="shared" si="117"/>
      </c>
      <c r="K217" s="78"/>
    </row>
    <row r="218">
      <c r="A218" s="74" t="s">
        <v>139</v>
      </c>
      <c r="B218" s="75" t="s">
        <v>142</v>
      </c>
      <c r="C218" s="77">
        <v>4</v>
      </c>
      <c r="D218" s="91">
        <v>5644.819999999998</v>
      </c>
      <c r="E218" s="77">
        <v>5485.799999999999</v>
      </c>
      <c r="F218" s="77">
        <v>4</v>
      </c>
      <c r="G218" s="78">
        <f t="shared" si="86"/>
      </c>
      <c r="H218" s="78">
        <f t="shared" si="55"/>
      </c>
      <c r="I218" s="78">
        <f t="shared" si="24"/>
      </c>
      <c r="J218" s="78">
        <f t="shared" si="117"/>
      </c>
      <c r="K218" s="78"/>
    </row>
    <row r="219">
      <c r="A219" s="72" t="s">
        <v>143</v>
      </c>
      <c r="B219" s="72"/>
      <c r="C219" s="72">
        <f>SUM(C216:C218)</f>
      </c>
      <c r="D219" s="72">
        <f>SUM(D216:D218)</f>
      </c>
      <c r="E219" s="72">
        <f>SUM(E216:E218)</f>
      </c>
      <c r="F219" s="72">
        <f>SUM(F216:F218)</f>
      </c>
      <c r="G219" s="80">
        <f t="shared" si="86"/>
      </c>
      <c r="H219" s="80">
        <f t="shared" si="55"/>
      </c>
      <c r="I219" s="80">
        <f t="shared" si="24"/>
      </c>
      <c r="J219" s="80">
        <f t="shared" si="117"/>
      </c>
      <c r="K219" s="80"/>
    </row>
    <row r="220">
      <c r="A220" s="81" t="s">
        <v>144</v>
      </c>
      <c r="B220" s="81"/>
      <c r="C220" s="81"/>
      <c r="D220" s="81"/>
      <c r="E220" s="81"/>
      <c r="F220" s="81"/>
      <c r="G220" s="81"/>
      <c r="H220" s="81"/>
      <c r="I220" s="81"/>
      <c r="J220" s="81"/>
      <c r="K220" s="81"/>
    </row>
    <row r="221">
      <c r="A221" s="82" t="s">
        <v>130</v>
      </c>
      <c r="B221" s="82" t="s">
        <v>145</v>
      </c>
      <c r="C221" s="82" t="s">
        <v>146</v>
      </c>
      <c r="D221" s="82" t="s">
        <v>147</v>
      </c>
      <c r="E221" s="82" t="s">
        <v>148</v>
      </c>
      <c r="F221" s="82" t="s">
        <v>149</v>
      </c>
      <c r="G221" s="82" t="s">
        <v>150</v>
      </c>
      <c r="H221" s="83" t="s">
        <v>151</v>
      </c>
      <c r="I221" s="83" t="s">
        <v>152</v>
      </c>
      <c r="J221" s="83" t="s">
        <v>153</v>
      </c>
      <c r="K221" s="83" t="s">
        <v>129</v>
      </c>
    </row>
    <row r="222">
      <c r="A222" s="84">
        <f>SUM(D216:D218)</f>
      </c>
      <c r="B222" s="85">
        <f>SUM(E216:E218)</f>
      </c>
      <c r="C222" s="85">
        <f>B222/((K222*300)+A222)</f>
      </c>
      <c r="D222" s="86">
        <f>A222/J222</f>
      </c>
      <c r="E222" s="85">
        <f>B222/J222</f>
      </c>
      <c r="F222" s="87">
        <f>J222/I222</f>
      </c>
      <c r="G222" s="87">
        <f>H222/J222</f>
      </c>
      <c r="H222" s="88">
        <v>3</v>
      </c>
      <c r="I222" s="88">
        <v>29</v>
      </c>
      <c r="J222" s="88">
        <f>F219</f>
      </c>
      <c r="K222" s="88">
        <f>C219</f>
      </c>
    </row>
    <row r="223">
      <c r="A223" s="71" t="s">
        <v>182</v>
      </c>
      <c r="B223" s="71"/>
      <c r="C223" s="71"/>
      <c r="D223" s="71"/>
      <c r="E223" s="71"/>
      <c r="F223" s="71"/>
      <c r="G223" s="71"/>
      <c r="H223" s="71"/>
      <c r="I223" s="71"/>
      <c r="J223" s="71"/>
      <c r="K223" s="71"/>
    </row>
    <row r="224">
      <c r="A224" s="72" t="s">
        <v>127</v>
      </c>
      <c r="B224" s="72" t="s">
        <v>128</v>
      </c>
      <c r="C224" s="72" t="s">
        <v>129</v>
      </c>
      <c r="D224" s="72" t="s">
        <v>130</v>
      </c>
      <c r="E224" s="73" t="s">
        <v>131</v>
      </c>
      <c r="F224" s="72" t="s">
        <v>132</v>
      </c>
      <c r="G224" s="72" t="s">
        <v>133</v>
      </c>
      <c r="H224" s="72" t="s">
        <v>134</v>
      </c>
      <c r="I224" s="72" t="s">
        <v>135</v>
      </c>
      <c r="J224" s="72" t="s">
        <v>136</v>
      </c>
      <c r="K224" s="72"/>
    </row>
    <row r="225">
      <c r="A225" s="79" t="s">
        <v>137</v>
      </c>
      <c r="B225" s="75" t="s">
        <v>138</v>
      </c>
      <c r="C225" s="77">
        <v>4</v>
      </c>
      <c r="D225" s="77">
        <v>3626.48</v>
      </c>
      <c r="E225" s="77">
        <v>14448</v>
      </c>
      <c r="F225" s="77">
        <v>6</v>
      </c>
      <c r="G225" s="78">
        <f t="shared" ref="G225:G228" si="87">E225/F225</f>
      </c>
      <c r="H225" s="78">
        <f t="shared" ref="H225:H228" si="56">D225/F225</f>
      </c>
      <c r="I225" s="78">
        <f t="shared" ref="I225:I228" si="25">E225/D225</f>
      </c>
      <c r="J225" s="78">
        <f t="shared" ref="J225:J228" si="118">D225/C225</f>
      </c>
      <c r="K225" s="78"/>
    </row>
    <row r="226">
      <c r="A226" s="79" t="s">
        <v>141</v>
      </c>
      <c r="B226" s="75" t="s">
        <v>140</v>
      </c>
      <c r="C226" s="77">
        <v>4</v>
      </c>
      <c r="D226" s="91">
        <v>5688.48</v>
      </c>
      <c r="E226" s="77">
        <v>0</v>
      </c>
      <c r="F226" s="77">
        <v>0</v>
      </c>
      <c r="G226" s="78">
        <f t="shared" si="87"/>
      </c>
      <c r="H226" s="78">
        <f t="shared" si="56"/>
      </c>
      <c r="I226" s="78">
        <f t="shared" si="25"/>
      </c>
      <c r="J226" s="78">
        <f t="shared" si="118"/>
      </c>
      <c r="K226" s="78"/>
    </row>
    <row r="227">
      <c r="A227" s="74" t="s">
        <v>139</v>
      </c>
      <c r="B227" s="75" t="s">
        <v>142</v>
      </c>
      <c r="C227" s="77">
        <v>4</v>
      </c>
      <c r="D227" s="91">
        <v>5686.120000000001</v>
      </c>
      <c r="E227" s="77">
        <v>10192.4</v>
      </c>
      <c r="F227" s="77">
        <v>4</v>
      </c>
      <c r="G227" s="78">
        <f t="shared" si="87"/>
      </c>
      <c r="H227" s="78">
        <f t="shared" si="56"/>
      </c>
      <c r="I227" s="78">
        <f t="shared" si="25"/>
      </c>
      <c r="J227" s="78">
        <f t="shared" si="118"/>
      </c>
      <c r="K227" s="78"/>
    </row>
    <row r="228">
      <c r="A228" s="72" t="s">
        <v>143</v>
      </c>
      <c r="B228" s="72"/>
      <c r="C228" s="72">
        <f>SUM(C225:C227)</f>
      </c>
      <c r="D228" s="72">
        <f>SUM(D225:D227)</f>
      </c>
      <c r="E228" s="72">
        <f>SUM(E225:E227)</f>
      </c>
      <c r="F228" s="72">
        <f>SUM(F225:F227)</f>
      </c>
      <c r="G228" s="80">
        <f t="shared" si="87"/>
      </c>
      <c r="H228" s="80">
        <f t="shared" si="56"/>
      </c>
      <c r="I228" s="80">
        <f t="shared" si="25"/>
      </c>
      <c r="J228" s="80">
        <f t="shared" si="118"/>
      </c>
      <c r="K228" s="80"/>
    </row>
    <row r="229">
      <c r="A229" s="81" t="s">
        <v>144</v>
      </c>
      <c r="B229" s="81"/>
      <c r="C229" s="81"/>
      <c r="D229" s="81"/>
      <c r="E229" s="81"/>
      <c r="F229" s="81"/>
      <c r="G229" s="81"/>
      <c r="H229" s="81"/>
      <c r="I229" s="81"/>
      <c r="J229" s="81"/>
      <c r="K229" s="81"/>
    </row>
    <row r="230">
      <c r="A230" s="82" t="s">
        <v>130</v>
      </c>
      <c r="B230" s="82" t="s">
        <v>145</v>
      </c>
      <c r="C230" s="82" t="s">
        <v>146</v>
      </c>
      <c r="D230" s="82" t="s">
        <v>147</v>
      </c>
      <c r="E230" s="82" t="s">
        <v>148</v>
      </c>
      <c r="F230" s="82" t="s">
        <v>149</v>
      </c>
      <c r="G230" s="82" t="s">
        <v>150</v>
      </c>
      <c r="H230" s="83" t="s">
        <v>151</v>
      </c>
      <c r="I230" s="83" t="s">
        <v>152</v>
      </c>
      <c r="J230" s="83" t="s">
        <v>153</v>
      </c>
      <c r="K230" s="83" t="s">
        <v>129</v>
      </c>
    </row>
    <row r="231">
      <c r="A231" s="84">
        <f>SUM(D225:D227)</f>
      </c>
      <c r="B231" s="85">
        <f>SUM(E225:E227)</f>
      </c>
      <c r="C231" s="85">
        <f>B231/((K231*300)+A231)</f>
      </c>
      <c r="D231" s="86">
        <f>A231/J231</f>
      </c>
      <c r="E231" s="85">
        <f>B231/J231</f>
      </c>
      <c r="F231" s="87">
        <f>J231/I231</f>
      </c>
      <c r="G231" s="87">
        <f>H231/J231</f>
      </c>
      <c r="H231" s="88">
        <v>1</v>
      </c>
      <c r="I231" s="88">
        <v>23</v>
      </c>
      <c r="J231" s="88">
        <f>F228</f>
      </c>
      <c r="K231" s="88">
        <f>C228</f>
      </c>
    </row>
    <row r="232">
      <c r="A232" s="71" t="s">
        <v>183</v>
      </c>
      <c r="B232" s="71"/>
      <c r="C232" s="71"/>
      <c r="D232" s="71"/>
      <c r="E232" s="71"/>
      <c r="F232" s="71"/>
      <c r="G232" s="71"/>
      <c r="H232" s="71"/>
      <c r="I232" s="71"/>
      <c r="J232" s="71"/>
      <c r="K232" s="71"/>
    </row>
    <row r="233">
      <c r="A233" s="72" t="s">
        <v>127</v>
      </c>
      <c r="B233" s="72" t="s">
        <v>128</v>
      </c>
      <c r="C233" s="72" t="s">
        <v>129</v>
      </c>
      <c r="D233" s="72" t="s">
        <v>130</v>
      </c>
      <c r="E233" s="73" t="s">
        <v>131</v>
      </c>
      <c r="F233" s="72" t="s">
        <v>132</v>
      </c>
      <c r="G233" s="72" t="s">
        <v>133</v>
      </c>
      <c r="H233" s="72" t="s">
        <v>134</v>
      </c>
      <c r="I233" s="72" t="s">
        <v>135</v>
      </c>
      <c r="J233" s="72" t="s">
        <v>136</v>
      </c>
      <c r="K233" s="72"/>
    </row>
    <row r="234">
      <c r="A234" s="79" t="s">
        <v>141</v>
      </c>
      <c r="B234" s="75" t="s">
        <v>138</v>
      </c>
      <c r="C234" s="77">
        <v>4</v>
      </c>
      <c r="D234" s="77">
        <v>5987.57</v>
      </c>
      <c r="E234" s="77">
        <v>14942.399999999998</v>
      </c>
      <c r="F234" s="77">
        <v>5</v>
      </c>
      <c r="G234" s="78">
        <f t="shared" ref="G234:G237" si="88">E234/F234</f>
      </c>
      <c r="H234" s="78">
        <f t="shared" ref="H234:H237" si="57">D234/F234</f>
      </c>
      <c r="I234" s="78">
        <f t="shared" ref="I234:I237" si="26">E234/D234</f>
      </c>
      <c r="J234" s="78">
        <f t="shared" ref="J234:J237" si="119">D234/C234</f>
      </c>
      <c r="K234" s="78"/>
    </row>
    <row r="235">
      <c r="A235" s="79" t="s">
        <v>139</v>
      </c>
      <c r="B235" s="75" t="s">
        <v>140</v>
      </c>
      <c r="C235" s="77">
        <v>4</v>
      </c>
      <c r="D235" s="91">
        <v>6274.09</v>
      </c>
      <c r="E235" s="77">
        <v>14246.400000000001</v>
      </c>
      <c r="F235" s="77">
        <v>5</v>
      </c>
      <c r="G235" s="78">
        <f t="shared" si="88"/>
      </c>
      <c r="H235" s="78">
        <f t="shared" si="57"/>
      </c>
      <c r="I235" s="78">
        <f t="shared" si="26"/>
      </c>
      <c r="J235" s="78">
        <f t="shared" si="119"/>
      </c>
      <c r="K235" s="78"/>
    </row>
    <row r="236">
      <c r="A236" s="79" t="s">
        <v>137</v>
      </c>
      <c r="B236" s="75" t="s">
        <v>142</v>
      </c>
      <c r="C236" s="77">
        <v>4</v>
      </c>
      <c r="D236" s="91">
        <v>5536.029999999999</v>
      </c>
      <c r="E236" s="77">
        <v>5806.799999999999</v>
      </c>
      <c r="F236" s="77">
        <v>2</v>
      </c>
      <c r="G236" s="78">
        <f t="shared" si="88"/>
      </c>
      <c r="H236" s="78">
        <f t="shared" si="57"/>
      </c>
      <c r="I236" s="78">
        <f t="shared" si="26"/>
      </c>
      <c r="J236" s="78">
        <f t="shared" si="119"/>
      </c>
      <c r="K236" s="78"/>
    </row>
    <row r="237">
      <c r="A237" s="72" t="s">
        <v>143</v>
      </c>
      <c r="B237" s="72"/>
      <c r="C237" s="72">
        <f>SUM(C234:C236)</f>
      </c>
      <c r="D237" s="72">
        <f>SUM(D234:D236)</f>
      </c>
      <c r="E237" s="72">
        <f>SUM(E234:E236)</f>
      </c>
      <c r="F237" s="72">
        <f>SUM(F234:F236)</f>
      </c>
      <c r="G237" s="80">
        <f t="shared" si="88"/>
      </c>
      <c r="H237" s="80">
        <f t="shared" si="57"/>
      </c>
      <c r="I237" s="80">
        <f t="shared" si="26"/>
      </c>
      <c r="J237" s="80">
        <f t="shared" si="119"/>
      </c>
      <c r="K237" s="80"/>
    </row>
    <row r="238">
      <c r="A238" s="81" t="s">
        <v>144</v>
      </c>
      <c r="B238" s="81"/>
      <c r="C238" s="81"/>
      <c r="D238" s="81"/>
      <c r="E238" s="81"/>
      <c r="F238" s="81"/>
      <c r="G238" s="81"/>
      <c r="H238" s="81"/>
      <c r="I238" s="81"/>
      <c r="J238" s="81"/>
      <c r="K238" s="81"/>
    </row>
    <row r="239">
      <c r="A239" s="82" t="s">
        <v>130</v>
      </c>
      <c r="B239" s="82" t="s">
        <v>145</v>
      </c>
      <c r="C239" s="82" t="s">
        <v>146</v>
      </c>
      <c r="D239" s="82" t="s">
        <v>147</v>
      </c>
      <c r="E239" s="82" t="s">
        <v>148</v>
      </c>
      <c r="F239" s="82" t="s">
        <v>149</v>
      </c>
      <c r="G239" s="82" t="s">
        <v>150</v>
      </c>
      <c r="H239" s="83" t="s">
        <v>151</v>
      </c>
      <c r="I239" s="83" t="s">
        <v>152</v>
      </c>
      <c r="J239" s="83" t="s">
        <v>153</v>
      </c>
      <c r="K239" s="83" t="s">
        <v>129</v>
      </c>
    </row>
    <row r="240">
      <c r="A240" s="84">
        <f>SUM(D234:D236)</f>
      </c>
      <c r="B240" s="85">
        <f>SUM(E234:E236)</f>
      </c>
      <c r="C240" s="85">
        <f>B240/((K240*300)+A240)</f>
      </c>
      <c r="D240" s="86">
        <f>A240/J240</f>
      </c>
      <c r="E240" s="85">
        <f>B240/J240</f>
      </c>
      <c r="F240" s="87">
        <f>J240/I240</f>
      </c>
      <c r="G240" s="87">
        <f>H240/J240</f>
      </c>
      <c r="H240" s="88">
        <v>2</v>
      </c>
      <c r="I240" s="88">
        <v>32</v>
      </c>
      <c r="J240" s="88">
        <f>F237</f>
      </c>
      <c r="K240" s="88">
        <f>C237</f>
      </c>
    </row>
    <row customHeight="true" ht="16.071428571428573" r="241">
      <c r="A241" s="71" t="s">
        <v>184</v>
      </c>
      <c r="B241" s="71"/>
      <c r="C241" s="71"/>
      <c r="D241" s="71"/>
      <c r="E241" s="71"/>
      <c r="F241" s="71"/>
      <c r="G241" s="71"/>
      <c r="H241" s="71"/>
      <c r="I241" s="71"/>
      <c r="J241" s="71"/>
      <c r="K241" s="71"/>
    </row>
    <row customHeight="true" ht="16.071428571428573" r="242">
      <c r="A242" s="72" t="s">
        <v>127</v>
      </c>
      <c r="B242" s="72" t="s">
        <v>128</v>
      </c>
      <c r="C242" s="72" t="s">
        <v>129</v>
      </c>
      <c r="D242" s="72" t="s">
        <v>130</v>
      </c>
      <c r="E242" s="73" t="s">
        <v>131</v>
      </c>
      <c r="F242" s="72" t="s">
        <v>132</v>
      </c>
      <c r="G242" s="72" t="s">
        <v>133</v>
      </c>
      <c r="H242" s="72" t="s">
        <v>134</v>
      </c>
      <c r="I242" s="72" t="s">
        <v>135</v>
      </c>
      <c r="J242" s="72" t="s">
        <v>136</v>
      </c>
      <c r="K242" s="72"/>
    </row>
    <row customHeight="true" ht="16.071428571428573" r="243">
      <c r="A243" s="74" t="s">
        <v>137</v>
      </c>
      <c r="B243" s="75" t="s">
        <v>138</v>
      </c>
      <c r="C243" s="77">
        <v>4</v>
      </c>
      <c r="D243" s="77">
        <v>3466.81</v>
      </c>
      <c r="E243" s="77">
        <v>1186.8</v>
      </c>
      <c r="F243" s="77">
        <v>1</v>
      </c>
      <c r="G243" s="78">
        <f t="shared" ref="G243:G246" si="89">E243/F243</f>
      </c>
      <c r="H243" s="78">
        <f t="shared" ref="H243:H246" si="58">D243/F243</f>
      </c>
      <c r="I243" s="78">
        <f t="shared" ref="I243:I246" si="27">E243/D243</f>
      </c>
      <c r="J243" s="78">
        <f t="shared" ref="J243:J246" si="120">D243/C243</f>
      </c>
      <c r="K243" s="78"/>
    </row>
    <row customHeight="true" ht="16.071428571428573" r="244">
      <c r="A244" s="79" t="s">
        <v>141</v>
      </c>
      <c r="B244" s="75" t="s">
        <v>140</v>
      </c>
      <c r="C244" s="77">
        <v>4</v>
      </c>
      <c r="D244" s="91">
        <v>4939.719999999999</v>
      </c>
      <c r="E244" s="77">
        <v>9290</v>
      </c>
      <c r="F244" s="77">
        <v>8</v>
      </c>
      <c r="G244" s="78">
        <f t="shared" si="89"/>
      </c>
      <c r="H244" s="78">
        <f t="shared" si="58"/>
      </c>
      <c r="I244" s="78">
        <f t="shared" si="27"/>
      </c>
      <c r="J244" s="78">
        <f t="shared" si="120"/>
      </c>
      <c r="K244" s="78"/>
    </row>
    <row customHeight="true" ht="16.071428571428573" r="245">
      <c r="A245" s="79" t="s">
        <v>139</v>
      </c>
      <c r="B245" s="75" t="s">
        <v>142</v>
      </c>
      <c r="C245" s="77">
        <v>4</v>
      </c>
      <c r="D245" s="91">
        <v>8030.9000000000015</v>
      </c>
      <c r="E245" s="77">
        <v>22351.199999999997</v>
      </c>
      <c r="F245" s="77">
        <v>10</v>
      </c>
      <c r="G245" s="78">
        <f t="shared" si="89"/>
      </c>
      <c r="H245" s="78">
        <f t="shared" si="58"/>
      </c>
      <c r="I245" s="78">
        <f t="shared" si="27"/>
      </c>
      <c r="J245" s="78">
        <f t="shared" si="120"/>
      </c>
      <c r="K245" s="78"/>
    </row>
    <row customHeight="true" ht="16.071428571428573" r="246">
      <c r="A246" s="72" t="s">
        <v>143</v>
      </c>
      <c r="B246" s="72"/>
      <c r="C246" s="72">
        <f>SUM(C243:C245)</f>
      </c>
      <c r="D246" s="72">
        <f>SUM(D243:D245)</f>
      </c>
      <c r="E246" s="72">
        <f>SUM(E243:E245)</f>
      </c>
      <c r="F246" s="72">
        <f>SUM(F243:F245)</f>
      </c>
      <c r="G246" s="80">
        <f t="shared" si="89"/>
      </c>
      <c r="H246" s="80">
        <f t="shared" si="58"/>
      </c>
      <c r="I246" s="80">
        <f t="shared" si="27"/>
      </c>
      <c r="J246" s="80">
        <f t="shared" si="120"/>
      </c>
      <c r="K246" s="80"/>
    </row>
    <row customHeight="true" ht="16.071428571428573" r="247">
      <c r="A247" s="81" t="s">
        <v>144</v>
      </c>
      <c r="B247" s="81"/>
      <c r="C247" s="81"/>
      <c r="D247" s="81"/>
      <c r="E247" s="81"/>
      <c r="F247" s="81"/>
      <c r="G247" s="81"/>
      <c r="H247" s="81"/>
      <c r="I247" s="81"/>
      <c r="J247" s="81"/>
      <c r="K247" s="81"/>
    </row>
    <row customHeight="true" ht="16.071428571428573" r="248">
      <c r="A248" s="82" t="s">
        <v>130</v>
      </c>
      <c r="B248" s="82" t="s">
        <v>145</v>
      </c>
      <c r="C248" s="82" t="s">
        <v>146</v>
      </c>
      <c r="D248" s="82" t="s">
        <v>147</v>
      </c>
      <c r="E248" s="82" t="s">
        <v>148</v>
      </c>
      <c r="F248" s="82" t="s">
        <v>149</v>
      </c>
      <c r="G248" s="82" t="s">
        <v>150</v>
      </c>
      <c r="H248" s="83" t="s">
        <v>151</v>
      </c>
      <c r="I248" s="83" t="s">
        <v>152</v>
      </c>
      <c r="J248" s="83" t="s">
        <v>153</v>
      </c>
      <c r="K248" s="83" t="s">
        <v>129</v>
      </c>
    </row>
    <row customHeight="true" ht="16.071428571428573" r="249">
      <c r="A249" s="84">
        <f>SUM(D243:D245)</f>
      </c>
      <c r="B249" s="85">
        <f>SUM(E243:E245)</f>
      </c>
      <c r="C249" s="85">
        <f>B249/((K249*300)+A249)</f>
      </c>
      <c r="D249" s="86">
        <f>A249/J249</f>
      </c>
      <c r="E249" s="85">
        <f>B249/J249</f>
      </c>
      <c r="F249" s="87">
        <f>J249/I249</f>
      </c>
      <c r="G249" s="87">
        <f>H249/J249</f>
      </c>
      <c r="H249" s="88">
        <v>3</v>
      </c>
      <c r="I249" s="88">
        <v>26</v>
      </c>
      <c r="J249" s="88">
        <f>F246</f>
      </c>
      <c r="K249" s="88">
        <f>C246</f>
      </c>
    </row>
    <row customHeight="true" ht="16.071428571428573" r="250">
      <c r="A250" s="71" t="s">
        <v>185</v>
      </c>
      <c r="B250" s="71"/>
      <c r="C250" s="71"/>
      <c r="D250" s="71"/>
      <c r="E250" s="71"/>
      <c r="F250" s="71"/>
      <c r="G250" s="71"/>
      <c r="H250" s="71"/>
      <c r="I250" s="71"/>
      <c r="J250" s="71"/>
      <c r="K250" s="71"/>
    </row>
    <row customHeight="true" ht="16.071428571428573" r="251">
      <c r="A251" s="72" t="s">
        <v>127</v>
      </c>
      <c r="B251" s="72" t="s">
        <v>128</v>
      </c>
      <c r="C251" s="72" t="s">
        <v>129</v>
      </c>
      <c r="D251" s="72" t="s">
        <v>130</v>
      </c>
      <c r="E251" s="73" t="s">
        <v>131</v>
      </c>
      <c r="F251" s="72" t="s">
        <v>132</v>
      </c>
      <c r="G251" s="72" t="s">
        <v>133</v>
      </c>
      <c r="H251" s="72" t="s">
        <v>134</v>
      </c>
      <c r="I251" s="72" t="s">
        <v>135</v>
      </c>
      <c r="J251" s="72" t="s">
        <v>136</v>
      </c>
      <c r="K251" s="72"/>
    </row>
    <row customHeight="true" ht="16.071428571428573" r="252">
      <c r="A252" s="79" t="s">
        <v>141</v>
      </c>
      <c r="B252" s="90" t="s">
        <v>160</v>
      </c>
      <c r="C252" s="77">
        <v>6</v>
      </c>
      <c r="D252" s="91">
        <v>8985.59</v>
      </c>
      <c r="E252" s="77">
        <v>9528.800000000001</v>
      </c>
      <c r="F252" s="77">
        <v>9</v>
      </c>
      <c r="G252" s="78">
        <f t="shared" ref="G252:G254" si="90">E252/F252</f>
      </c>
      <c r="H252" s="78">
        <f t="shared" ref="H252:H254" si="59">D252/F252</f>
      </c>
      <c r="I252" s="78">
        <f t="shared" ref="I252:I254" si="28">E252/D252</f>
      </c>
      <c r="J252" s="78">
        <f t="shared" ref="J252:J254" si="121">D252/C252</f>
      </c>
      <c r="K252" s="78"/>
    </row>
    <row customHeight="true" ht="16.071428571428573" r="253">
      <c r="A253" s="74" t="s">
        <v>137</v>
      </c>
      <c r="B253" s="90" t="s">
        <v>161</v>
      </c>
      <c r="C253" s="77">
        <v>6</v>
      </c>
      <c r="D253" s="91">
        <v>8968.21</v>
      </c>
      <c r="E253" s="77">
        <v>24556.4</v>
      </c>
      <c r="F253" s="77">
        <v>11</v>
      </c>
      <c r="G253" s="78">
        <f t="shared" si="90"/>
      </c>
      <c r="H253" s="78">
        <f t="shared" si="59"/>
      </c>
      <c r="I253" s="78">
        <f t="shared" si="28"/>
      </c>
      <c r="J253" s="78">
        <f t="shared" si="121"/>
      </c>
      <c r="K253" s="78"/>
    </row>
    <row customHeight="true" ht="16.071428571428573" r="254">
      <c r="A254" s="72" t="s">
        <v>143</v>
      </c>
      <c r="B254" s="72"/>
      <c r="C254" s="72">
        <f>SUM(C252:C253)</f>
      </c>
      <c r="D254" s="72">
        <f>SUM(D252:D253)</f>
      </c>
      <c r="E254" s="72">
        <f>SUM(E252:E253)</f>
      </c>
      <c r="F254" s="72">
        <f>SUM(F252:F253)</f>
      </c>
      <c r="G254" s="80">
        <f t="shared" si="90"/>
      </c>
      <c r="H254" s="80">
        <f t="shared" si="59"/>
      </c>
      <c r="I254" s="80">
        <f t="shared" si="28"/>
      </c>
      <c r="J254" s="80">
        <f t="shared" si="121"/>
      </c>
      <c r="K254" s="80"/>
    </row>
    <row customHeight="true" ht="16.071428571428573" r="255">
      <c r="A255" s="81" t="s">
        <v>144</v>
      </c>
      <c r="B255" s="81"/>
      <c r="C255" s="81"/>
      <c r="D255" s="81"/>
      <c r="E255" s="81"/>
      <c r="F255" s="81"/>
      <c r="G255" s="81"/>
      <c r="H255" s="81"/>
      <c r="I255" s="81"/>
      <c r="J255" s="81"/>
      <c r="K255" s="81"/>
    </row>
    <row customHeight="true" ht="16.071428571428573" r="256">
      <c r="A256" s="82" t="s">
        <v>130</v>
      </c>
      <c r="B256" s="82" t="s">
        <v>145</v>
      </c>
      <c r="C256" s="82" t="s">
        <v>146</v>
      </c>
      <c r="D256" s="82" t="s">
        <v>147</v>
      </c>
      <c r="E256" s="82" t="s">
        <v>148</v>
      </c>
      <c r="F256" s="82" t="s">
        <v>149</v>
      </c>
      <c r="G256" s="82" t="s">
        <v>150</v>
      </c>
      <c r="H256" s="83" t="s">
        <v>151</v>
      </c>
      <c r="I256" s="83" t="s">
        <v>152</v>
      </c>
      <c r="J256" s="83" t="s">
        <v>153</v>
      </c>
      <c r="K256" s="83" t="s">
        <v>129</v>
      </c>
    </row>
    <row customHeight="true" ht="16.071428571428573" r="257">
      <c r="A257" s="84">
        <f>SUM(D252:D253)</f>
      </c>
      <c r="B257" s="85">
        <f>SUM(E252:E253)</f>
      </c>
      <c r="C257" s="85">
        <f>B257/((K257*300)+A257)</f>
      </c>
      <c r="D257" s="86">
        <f>A257/J257</f>
      </c>
      <c r="E257" s="85">
        <f>B257/J257</f>
      </c>
      <c r="F257" s="87">
        <f>J257/I257</f>
      </c>
      <c r="G257" s="87">
        <f>H257/J257</f>
      </c>
      <c r="H257" s="88">
        <v>2</v>
      </c>
      <c r="I257" s="88">
        <v>30</v>
      </c>
      <c r="J257" s="88">
        <f>F254</f>
      </c>
      <c r="K257" s="88">
        <f>C254</f>
      </c>
    </row>
    <row customHeight="true" ht="16.071428571428573" r="258">
      <c r="A258" s="71" t="s">
        <v>186</v>
      </c>
      <c r="B258" s="71"/>
      <c r="C258" s="71"/>
      <c r="D258" s="71"/>
      <c r="E258" s="71"/>
      <c r="F258" s="71"/>
      <c r="G258" s="71"/>
      <c r="H258" s="71"/>
      <c r="I258" s="71"/>
      <c r="J258" s="71"/>
      <c r="K258" s="71"/>
    </row>
    <row customHeight="true" ht="16.071428571428573" r="259">
      <c r="A259" s="72" t="s">
        <v>127</v>
      </c>
      <c r="B259" s="72" t="s">
        <v>128</v>
      </c>
      <c r="C259" s="72" t="s">
        <v>129</v>
      </c>
      <c r="D259" s="72" t="s">
        <v>130</v>
      </c>
      <c r="E259" s="73" t="s">
        <v>131</v>
      </c>
      <c r="F259" s="72" t="s">
        <v>132</v>
      </c>
      <c r="G259" s="72" t="s">
        <v>133</v>
      </c>
      <c r="H259" s="72" t="s">
        <v>134</v>
      </c>
      <c r="I259" s="72" t="s">
        <v>135</v>
      </c>
      <c r="J259" s="72" t="s">
        <v>136</v>
      </c>
      <c r="K259" s="72"/>
    </row>
    <row customHeight="true" ht="16.071428571428573" r="260">
      <c r="A260" s="74" t="s">
        <v>141</v>
      </c>
      <c r="B260" s="75" t="s">
        <v>160</v>
      </c>
      <c r="C260" s="77">
        <v>6</v>
      </c>
      <c r="D260" s="91">
        <v>8397.82</v>
      </c>
      <c r="E260" s="77">
        <v>6135.200000000001</v>
      </c>
      <c r="F260" s="77">
        <v>6</v>
      </c>
      <c r="G260" s="78">
        <f t="shared" ref="G260:G262" si="91">E260/F260</f>
      </c>
      <c r="H260" s="78">
        <f t="shared" ref="H260:H262" si="60">D260/F260</f>
      </c>
      <c r="I260" s="78">
        <f t="shared" ref="I260:I262" si="29">E260/D260</f>
      </c>
      <c r="J260" s="78">
        <f t="shared" ref="J260:J262" si="122">D260/C260</f>
      </c>
      <c r="K260" s="78"/>
    </row>
    <row customHeight="true" ht="16.071428571428573" r="261">
      <c r="A261" s="74" t="s">
        <v>139</v>
      </c>
      <c r="B261" s="75" t="s">
        <v>161</v>
      </c>
      <c r="C261" s="77">
        <v>6</v>
      </c>
      <c r="D261" s="91">
        <v>9738.400000000001</v>
      </c>
      <c r="E261" s="77">
        <v>16167.400000000001</v>
      </c>
      <c r="F261" s="77">
        <v>9</v>
      </c>
      <c r="G261" s="78">
        <f t="shared" si="91"/>
      </c>
      <c r="H261" s="78">
        <f t="shared" si="60"/>
      </c>
      <c r="I261" s="78">
        <f t="shared" si="29"/>
      </c>
      <c r="J261" s="78">
        <f t="shared" si="122"/>
      </c>
      <c r="K261" s="78"/>
    </row>
    <row customHeight="true" ht="16.071428571428573" r="262">
      <c r="A262" s="72" t="s">
        <v>143</v>
      </c>
      <c r="B262" s="72"/>
      <c r="C262" s="72">
        <f>SUM(C260:C261)</f>
      </c>
      <c r="D262" s="72">
        <f>SUM(D260:D261)</f>
      </c>
      <c r="E262" s="72">
        <f>SUM(E260:E261)</f>
      </c>
      <c r="F262" s="72">
        <f>SUM(F260:F261)</f>
      </c>
      <c r="G262" s="80">
        <f t="shared" si="91"/>
      </c>
      <c r="H262" s="80">
        <f t="shared" si="60"/>
      </c>
      <c r="I262" s="80">
        <f t="shared" si="29"/>
      </c>
      <c r="J262" s="80">
        <f t="shared" si="122"/>
      </c>
      <c r="K262" s="80"/>
    </row>
    <row customHeight="true" ht="16.071428571428573" r="263">
      <c r="A263" s="81" t="s">
        <v>144</v>
      </c>
      <c r="B263" s="81"/>
      <c r="C263" s="81"/>
      <c r="D263" s="81"/>
      <c r="E263" s="81"/>
      <c r="F263" s="81"/>
      <c r="G263" s="81"/>
      <c r="H263" s="81"/>
      <c r="I263" s="81"/>
      <c r="J263" s="81"/>
      <c r="K263" s="81"/>
    </row>
    <row customHeight="true" ht="16.071428571428573" r="264">
      <c r="A264" s="82" t="s">
        <v>130</v>
      </c>
      <c r="B264" s="82" t="s">
        <v>145</v>
      </c>
      <c r="C264" s="82" t="s">
        <v>146</v>
      </c>
      <c r="D264" s="82" t="s">
        <v>147</v>
      </c>
      <c r="E264" s="82" t="s">
        <v>148</v>
      </c>
      <c r="F264" s="82" t="s">
        <v>149</v>
      </c>
      <c r="G264" s="82" t="s">
        <v>150</v>
      </c>
      <c r="H264" s="83" t="s">
        <v>151</v>
      </c>
      <c r="I264" s="83" t="s">
        <v>152</v>
      </c>
      <c r="J264" s="83" t="s">
        <v>153</v>
      </c>
      <c r="K264" s="83" t="s">
        <v>129</v>
      </c>
    </row>
    <row customHeight="true" ht="16.071428571428573" r="265">
      <c r="A265" s="84">
        <f>SUM(D260:D261)</f>
      </c>
      <c r="B265" s="85">
        <f>SUM(E260:E261)</f>
      </c>
      <c r="C265" s="85">
        <f>B265/((K265*300)+A265)</f>
      </c>
      <c r="D265" s="86">
        <f>A265/J265</f>
      </c>
      <c r="E265" s="85">
        <f>B265/J265</f>
      </c>
      <c r="F265" s="87">
        <f>J265/I265</f>
      </c>
      <c r="G265" s="87">
        <f>H265/J265</f>
      </c>
      <c r="H265" s="88">
        <v>2</v>
      </c>
      <c r="I265" s="88">
        <v>25</v>
      </c>
      <c r="J265" s="88">
        <f>F262</f>
      </c>
      <c r="K265" s="88">
        <f>C262</f>
      </c>
    </row>
    <row customHeight="true" ht="16.071428571428573" r="266">
      <c r="A266" s="71" t="s">
        <v>187</v>
      </c>
      <c r="B266" s="71"/>
      <c r="C266" s="71"/>
      <c r="D266" s="71"/>
      <c r="E266" s="71"/>
      <c r="F266" s="71"/>
      <c r="G266" s="71"/>
      <c r="H266" s="71"/>
      <c r="I266" s="71"/>
      <c r="J266" s="71"/>
      <c r="K266" s="71"/>
    </row>
    <row customHeight="true" ht="16.071428571428573" r="267">
      <c r="A267" s="72" t="s">
        <v>127</v>
      </c>
      <c r="B267" s="72" t="s">
        <v>128</v>
      </c>
      <c r="C267" s="72" t="s">
        <v>129</v>
      </c>
      <c r="D267" s="72" t="s">
        <v>130</v>
      </c>
      <c r="E267" s="73" t="s">
        <v>131</v>
      </c>
      <c r="F267" s="72" t="s">
        <v>132</v>
      </c>
      <c r="G267" s="72" t="s">
        <v>133</v>
      </c>
      <c r="H267" s="72" t="s">
        <v>134</v>
      </c>
      <c r="I267" s="72" t="s">
        <v>135</v>
      </c>
      <c r="J267" s="72" t="s">
        <v>136</v>
      </c>
      <c r="K267" s="72"/>
    </row>
    <row customHeight="true" ht="16.071428571428573" r="268">
      <c r="A268" s="74" t="s">
        <v>139</v>
      </c>
      <c r="B268" s="75" t="s">
        <v>138</v>
      </c>
      <c r="C268" s="77">
        <v>4</v>
      </c>
      <c r="D268" s="77">
        <v>4404.17</v>
      </c>
      <c r="E268" s="77">
        <v>9000</v>
      </c>
      <c r="F268" s="77">
        <v>3</v>
      </c>
      <c r="G268" s="78">
        <f t="shared" ref="G268:G271" si="92">E268/F268</f>
      </c>
      <c r="H268" s="78">
        <f t="shared" ref="H268:H271" si="61">D268/F268</f>
      </c>
      <c r="I268" s="78">
        <f t="shared" ref="I268:I271" si="30">E268/D268</f>
      </c>
      <c r="J268" s="78">
        <f t="shared" ref="J268:J271" si="123">D268/C268</f>
      </c>
      <c r="K268" s="78"/>
    </row>
    <row customHeight="true" ht="16.071428571428573" r="269">
      <c r="A269" s="79" t="s">
        <v>141</v>
      </c>
      <c r="B269" s="75" t="s">
        <v>140</v>
      </c>
      <c r="C269" s="77">
        <v>4</v>
      </c>
      <c r="D269" s="91">
        <v>6834.469999999999</v>
      </c>
      <c r="E269" s="77">
        <v>13181.399999999998</v>
      </c>
      <c r="F269" s="77">
        <v>9</v>
      </c>
      <c r="G269" s="78">
        <f t="shared" si="92"/>
      </c>
      <c r="H269" s="78">
        <f t="shared" si="61"/>
      </c>
      <c r="I269" s="78">
        <f t="shared" si="30"/>
      </c>
      <c r="J269" s="78">
        <f t="shared" si="123"/>
      </c>
      <c r="K269" s="78"/>
    </row>
    <row customHeight="true" ht="16.071428571428573" r="270">
      <c r="A270" s="74" t="s">
        <v>137</v>
      </c>
      <c r="B270" s="75" t="s">
        <v>142</v>
      </c>
      <c r="C270" s="77">
        <v>4</v>
      </c>
      <c r="D270" s="91">
        <v>11813.089999999997</v>
      </c>
      <c r="E270" s="77">
        <v>16586.199999999997</v>
      </c>
      <c r="F270" s="92">
        <v>12</v>
      </c>
      <c r="G270" s="78">
        <f t="shared" si="92"/>
      </c>
      <c r="H270" s="78">
        <f t="shared" si="61"/>
      </c>
      <c r="I270" s="78">
        <f t="shared" si="30"/>
      </c>
      <c r="J270" s="78">
        <f t="shared" si="123"/>
      </c>
      <c r="K270" s="78"/>
    </row>
    <row customHeight="true" ht="16.071428571428573" r="271">
      <c r="A271" s="72" t="s">
        <v>143</v>
      </c>
      <c r="B271" s="72"/>
      <c r="C271" s="72">
        <f>SUM(C268:C270)</f>
      </c>
      <c r="D271" s="72">
        <f>SUM(D268:D270)</f>
      </c>
      <c r="E271" s="72">
        <f>SUM(E268:E270)</f>
      </c>
      <c r="F271" s="72">
        <f>SUM(F268:F270)</f>
      </c>
      <c r="G271" s="80">
        <f t="shared" si="92"/>
      </c>
      <c r="H271" s="80">
        <f t="shared" si="61"/>
      </c>
      <c r="I271" s="80">
        <f t="shared" si="30"/>
      </c>
      <c r="J271" s="80">
        <f t="shared" si="123"/>
      </c>
      <c r="K271" s="80"/>
    </row>
    <row customHeight="true" ht="16.071428571428573" r="272">
      <c r="A272" s="81" t="s">
        <v>144</v>
      </c>
      <c r="B272" s="81"/>
      <c r="C272" s="81"/>
      <c r="D272" s="81"/>
      <c r="E272" s="81"/>
      <c r="F272" s="81"/>
      <c r="G272" s="81"/>
      <c r="H272" s="81"/>
      <c r="I272" s="81"/>
      <c r="J272" s="81"/>
      <c r="K272" s="81"/>
    </row>
    <row customHeight="true" ht="16.071428571428573" r="273">
      <c r="A273" s="82" t="s">
        <v>130</v>
      </c>
      <c r="B273" s="82" t="s">
        <v>145</v>
      </c>
      <c r="C273" s="82" t="s">
        <v>146</v>
      </c>
      <c r="D273" s="82" t="s">
        <v>147</v>
      </c>
      <c r="E273" s="82" t="s">
        <v>148</v>
      </c>
      <c r="F273" s="82" t="s">
        <v>149</v>
      </c>
      <c r="G273" s="82" t="s">
        <v>150</v>
      </c>
      <c r="H273" s="83" t="s">
        <v>151</v>
      </c>
      <c r="I273" s="83" t="s">
        <v>152</v>
      </c>
      <c r="J273" s="83" t="s">
        <v>153</v>
      </c>
      <c r="K273" s="83" t="s">
        <v>129</v>
      </c>
    </row>
    <row customHeight="true" ht="16.071428571428573" r="274">
      <c r="A274" s="84">
        <f>SUM(D268:D270)</f>
      </c>
      <c r="B274" s="85">
        <f>SUM(E268:E270)</f>
      </c>
      <c r="C274" s="85">
        <f>B274/((K274*300)+A274)</f>
      </c>
      <c r="D274" s="86">
        <f>A274/J274</f>
      </c>
      <c r="E274" s="85">
        <f>B274/J274</f>
      </c>
      <c r="F274" s="87">
        <f>J274/I274</f>
      </c>
      <c r="G274" s="87">
        <f>H274/J274</f>
      </c>
      <c r="H274" s="88">
        <v>0</v>
      </c>
      <c r="I274" s="93">
        <v>38</v>
      </c>
      <c r="J274" s="88">
        <f>F271</f>
      </c>
      <c r="K274" s="88">
        <f>C271</f>
      </c>
    </row>
    <row r="275">
      <c r="A275" s="94">
        <f>A276-A249</f>
      </c>
      <c r="B275" s="94">
        <f>B276-B249</f>
      </c>
      <c r="C275" s="95" t="s">
        <v>188</v>
      </c>
    </row>
    <row r="276">
      <c r="A276" s="94"/>
      <c r="B276" s="94"/>
    </row>
    <row r="277">
      <c r="E277" s="95"/>
    </row>
  </sheetData>
  <mergeCells>
    <mergeCell ref="A263:K263"/>
    <mergeCell ref="J262:K262"/>
    <mergeCell ref="J261:K261"/>
    <mergeCell ref="J260:K260"/>
    <mergeCell ref="J259:K259"/>
    <mergeCell ref="A258:K258"/>
    <mergeCell ref="A121:K121"/>
    <mergeCell ref="J120:K120"/>
    <mergeCell ref="J119:K119"/>
    <mergeCell ref="J118:K118"/>
    <mergeCell ref="J117:K117"/>
    <mergeCell ref="A116:K116"/>
    <mergeCell ref="A113:K113"/>
    <mergeCell ref="J112:K112"/>
    <mergeCell ref="J111:K111"/>
    <mergeCell ref="J110:K110"/>
    <mergeCell ref="J109:K109"/>
    <mergeCell ref="J108:K108"/>
    <mergeCell ref="A107:K107"/>
    <mergeCell ref="A104:K104"/>
    <mergeCell ref="J103:K103"/>
    <mergeCell ref="J102:K102"/>
    <mergeCell ref="J101:K101"/>
    <mergeCell ref="J100:K100"/>
    <mergeCell ref="J99:K99"/>
    <mergeCell ref="A98:K98"/>
    <mergeCell ref="A95:K95"/>
    <mergeCell ref="J94:K94"/>
    <mergeCell ref="J93:K93"/>
    <mergeCell ref="J92:K92"/>
    <mergeCell ref="J91:K91"/>
    <mergeCell ref="J90:K90"/>
    <mergeCell ref="A89:K89"/>
    <mergeCell ref="A86:K86"/>
    <mergeCell ref="J85:K85"/>
    <mergeCell ref="J84:K84"/>
    <mergeCell ref="J83:K83"/>
    <mergeCell ref="J82:K82"/>
    <mergeCell ref="J81:K81"/>
    <mergeCell ref="A80:K80"/>
    <mergeCell ref="A77:K77"/>
    <mergeCell ref="J76:K76"/>
    <mergeCell ref="J75:K75"/>
    <mergeCell ref="J74:K74"/>
    <mergeCell ref="J73:K73"/>
    <mergeCell ref="J72:K72"/>
    <mergeCell ref="A71:K71"/>
    <mergeCell ref="A68:K68"/>
    <mergeCell ref="J67:K67"/>
    <mergeCell ref="J66:K66"/>
    <mergeCell ref="J65:K65"/>
    <mergeCell ref="J64:K64"/>
    <mergeCell ref="J63:K63"/>
    <mergeCell ref="A62:K62"/>
    <mergeCell ref="A59:K59"/>
    <mergeCell ref="J58:K58"/>
    <mergeCell ref="J57:K57"/>
    <mergeCell ref="J56:K56"/>
    <mergeCell ref="J55:K55"/>
    <mergeCell ref="J54:K54"/>
    <mergeCell ref="A53:K53"/>
    <mergeCell ref="A50:K50"/>
    <mergeCell ref="J49:K49"/>
    <mergeCell ref="J48:K48"/>
    <mergeCell ref="J47:K47"/>
    <mergeCell ref="J46:K46"/>
    <mergeCell ref="J45:K45"/>
    <mergeCell ref="A44:K44"/>
    <mergeCell ref="A41:K41"/>
    <mergeCell ref="J40:K40"/>
    <mergeCell ref="J39:K39"/>
    <mergeCell ref="J38:K38"/>
    <mergeCell ref="J37:K37"/>
    <mergeCell ref="A36:K36"/>
    <mergeCell ref="A1:K1"/>
    <mergeCell ref="J2:K2"/>
    <mergeCell ref="J3:K3"/>
    <mergeCell ref="J4:K4"/>
    <mergeCell ref="J5:K5"/>
    <mergeCell ref="J6:K6"/>
    <mergeCell ref="A7:K7"/>
    <mergeCell ref="A10:K10"/>
    <mergeCell ref="J11:K11"/>
    <mergeCell ref="J12:K12"/>
    <mergeCell ref="J13:K13"/>
    <mergeCell ref="J14:K14"/>
    <mergeCell ref="J15:K15"/>
    <mergeCell ref="A16:K16"/>
    <mergeCell ref="A19:K19"/>
    <mergeCell ref="J20:K20"/>
    <mergeCell ref="J21:K21"/>
    <mergeCell ref="J22:K22"/>
    <mergeCell ref="J23:K23"/>
    <mergeCell ref="J24:K24"/>
    <mergeCell ref="A25:K25"/>
    <mergeCell ref="A28:K28"/>
    <mergeCell ref="J29:K29"/>
    <mergeCell ref="J30:K30"/>
    <mergeCell ref="J31:K31"/>
    <mergeCell ref="J32:K32"/>
    <mergeCell ref="A33:K33"/>
    <mergeCell ref="A124:K124"/>
    <mergeCell ref="J125:K125"/>
    <mergeCell ref="J126:K126"/>
    <mergeCell ref="J127:K127"/>
    <mergeCell ref="J128:K128"/>
    <mergeCell ref="J129:K129"/>
    <mergeCell ref="A130:K130"/>
    <mergeCell ref="A133:K133"/>
    <mergeCell ref="J134:K134"/>
    <mergeCell ref="J135:K135"/>
    <mergeCell ref="J136:K136"/>
    <mergeCell ref="J137:K137"/>
    <mergeCell ref="J138:K138"/>
    <mergeCell ref="A139:K139"/>
    <mergeCell ref="A142:K142"/>
    <mergeCell ref="J143:K143"/>
    <mergeCell ref="J144:K144"/>
    <mergeCell ref="J145:K145"/>
    <mergeCell ref="J146:K146"/>
    <mergeCell ref="J147:K147"/>
    <mergeCell ref="A148:K148"/>
    <mergeCell ref="A151:K151"/>
    <mergeCell ref="J152:K152"/>
    <mergeCell ref="J153:K153"/>
    <mergeCell ref="J154:K154"/>
    <mergeCell ref="J155:K155"/>
    <mergeCell ref="J156:K156"/>
    <mergeCell ref="A157:K157"/>
    <mergeCell ref="A160:K160"/>
    <mergeCell ref="J161:K161"/>
    <mergeCell ref="J162:K162"/>
    <mergeCell ref="J163:K163"/>
    <mergeCell ref="J164:K164"/>
    <mergeCell ref="J165:K165"/>
    <mergeCell ref="A166:K166"/>
    <mergeCell ref="A169:K169"/>
    <mergeCell ref="J170:K170"/>
    <mergeCell ref="J171:K171"/>
    <mergeCell ref="J172:K172"/>
    <mergeCell ref="J173:K173"/>
    <mergeCell ref="J174:K174"/>
    <mergeCell ref="A175:K175"/>
    <mergeCell ref="A178:K178"/>
    <mergeCell ref="J179:K179"/>
    <mergeCell ref="J180:K180"/>
    <mergeCell ref="J181:K181"/>
    <mergeCell ref="J182:K182"/>
    <mergeCell ref="J183:K183"/>
    <mergeCell ref="A184:K184"/>
    <mergeCell ref="A187:K187"/>
    <mergeCell ref="J188:K188"/>
    <mergeCell ref="J189:K189"/>
    <mergeCell ref="J190:K190"/>
    <mergeCell ref="J191:K191"/>
    <mergeCell ref="J192:K192"/>
    <mergeCell ref="A193:K193"/>
    <mergeCell ref="A196:K196"/>
    <mergeCell ref="J197:K197"/>
    <mergeCell ref="J198:K198"/>
    <mergeCell ref="J199:K199"/>
    <mergeCell ref="J200:K200"/>
    <mergeCell ref="J201:K201"/>
    <mergeCell ref="A202:K202"/>
    <mergeCell ref="A205:K205"/>
    <mergeCell ref="J206:K206"/>
    <mergeCell ref="J207:K207"/>
    <mergeCell ref="J208:K208"/>
    <mergeCell ref="J209:K209"/>
    <mergeCell ref="J210:K210"/>
    <mergeCell ref="A211:K211"/>
    <mergeCell ref="A214:K214"/>
    <mergeCell ref="J215:K215"/>
    <mergeCell ref="J216:K216"/>
    <mergeCell ref="J217:K217"/>
    <mergeCell ref="J218:K218"/>
    <mergeCell ref="J219:K219"/>
    <mergeCell ref="A220:K220"/>
    <mergeCell ref="A223:K223"/>
    <mergeCell ref="J224:K224"/>
    <mergeCell ref="J225:K225"/>
    <mergeCell ref="J226:K226"/>
    <mergeCell ref="J227:K227"/>
    <mergeCell ref="J228:K228"/>
    <mergeCell ref="A229:K229"/>
    <mergeCell ref="A232:K232"/>
    <mergeCell ref="J233:K233"/>
    <mergeCell ref="J234:K234"/>
    <mergeCell ref="J235:K235"/>
    <mergeCell ref="J236:K236"/>
    <mergeCell ref="J237:K237"/>
    <mergeCell ref="A238:K238"/>
    <mergeCell ref="A241:K241"/>
    <mergeCell ref="J242:K242"/>
    <mergeCell ref="J243:K243"/>
    <mergeCell ref="J244:K244"/>
    <mergeCell ref="J245:K245"/>
    <mergeCell ref="J246:K246"/>
    <mergeCell ref="A247:K247"/>
    <mergeCell ref="A250:K250"/>
    <mergeCell ref="J251:K251"/>
    <mergeCell ref="J252:K252"/>
    <mergeCell ref="J253:K253"/>
    <mergeCell ref="J254:K254"/>
    <mergeCell ref="A255:K255"/>
    <mergeCell ref="A266:K266"/>
    <mergeCell ref="J267:K267"/>
    <mergeCell ref="J268:K268"/>
    <mergeCell ref="J269:K269"/>
    <mergeCell ref="J270:K270"/>
    <mergeCell ref="J271:K271"/>
    <mergeCell ref="A272:K27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16" min="16" style="0" width="11.211267605633802"/>
    <col collapsed="false" customWidth="true" hidden="false" max="18" min="18" style="0" width="11.211267605633802"/>
  </cols>
  <sheetData>
    <row r="1">
      <c r="A1" s="96" t="s">
        <v>189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>
      <c r="A2" s="97" t="s">
        <v>190</v>
      </c>
      <c r="B2" s="97" t="s">
        <v>191</v>
      </c>
      <c r="C2" s="97" t="s">
        <v>192</v>
      </c>
      <c r="D2" s="97" t="s">
        <v>193</v>
      </c>
      <c r="E2" s="98" t="s">
        <v>194</v>
      </c>
      <c r="F2" s="97" t="s">
        <v>195</v>
      </c>
      <c r="G2" s="97" t="s">
        <v>196</v>
      </c>
      <c r="H2" s="97" t="s">
        <v>197</v>
      </c>
      <c r="I2" s="97" t="s">
        <v>198</v>
      </c>
      <c r="J2" s="97" t="s">
        <v>199</v>
      </c>
      <c r="K2" s="97"/>
    </row>
    <row r="3">
      <c r="A3" s="99" t="s">
        <v>200</v>
      </c>
      <c r="B3" s="100" t="s">
        <v>201</v>
      </c>
      <c r="C3" s="101">
        <v>4</v>
      </c>
      <c r="D3" s="102">
        <v>5943.54</v>
      </c>
      <c r="E3" s="102">
        <v>4986.799999999999</v>
      </c>
      <c r="F3" s="102">
        <v>3</v>
      </c>
      <c r="G3" s="103">
        <f t="shared" ref="G3:G6" si="31">E3/F3</f>
      </c>
      <c r="H3" s="103">
        <f t="shared" ref="H3:H6" si="62">D3/F3</f>
      </c>
      <c r="I3" s="103">
        <f t="shared" ref="I3:I6" si="93">E3/D3</f>
      </c>
      <c r="J3" s="103">
        <f t="shared" ref="J3:J6" si="0">D3/C3</f>
      </c>
      <c r="K3" s="103"/>
    </row>
    <row r="4">
      <c r="A4" s="99" t="s">
        <v>202</v>
      </c>
      <c r="B4" s="100" t="s">
        <v>203</v>
      </c>
      <c r="C4" s="102">
        <v>4</v>
      </c>
      <c r="D4" s="102">
        <v>4414.500000000001</v>
      </c>
      <c r="E4" s="102">
        <v>9638</v>
      </c>
      <c r="F4" s="102">
        <v>4</v>
      </c>
      <c r="G4" s="103">
        <f t="shared" si="31"/>
      </c>
      <c r="H4" s="103">
        <f t="shared" si="62"/>
      </c>
      <c r="I4" s="103">
        <f t="shared" si="93"/>
      </c>
      <c r="J4" s="103">
        <f t="shared" si="0"/>
      </c>
      <c r="K4" s="103"/>
    </row>
    <row r="5">
      <c r="A5" s="99" t="s">
        <v>204</v>
      </c>
      <c r="B5" s="100" t="s">
        <v>205</v>
      </c>
      <c r="C5" s="102">
        <v>4</v>
      </c>
      <c r="D5" s="102">
        <v>4074.4500000000007</v>
      </c>
      <c r="E5" s="102">
        <v>2223.600000000002</v>
      </c>
      <c r="F5" s="102">
        <v>2</v>
      </c>
      <c r="G5" s="103">
        <f t="shared" si="31"/>
      </c>
      <c r="H5" s="103">
        <f t="shared" si="62"/>
      </c>
      <c r="I5" s="103">
        <f t="shared" si="93"/>
      </c>
      <c r="J5" s="103">
        <f t="shared" si="0"/>
      </c>
      <c r="K5" s="103"/>
    </row>
    <row r="6">
      <c r="A6" s="97" t="s">
        <v>206</v>
      </c>
      <c r="B6" s="97"/>
      <c r="C6" s="97">
        <f>SUM(C3:C5)</f>
      </c>
      <c r="D6" s="97">
        <f>SUM(D3:D5)</f>
      </c>
      <c r="E6" s="97">
        <f>SUM(E3:E5)</f>
      </c>
      <c r="F6" s="97">
        <f>SUM(F3:F5)</f>
      </c>
      <c r="G6" s="104">
        <f t="shared" si="31"/>
      </c>
      <c r="H6" s="104">
        <f t="shared" si="62"/>
      </c>
      <c r="I6" s="104">
        <f t="shared" si="93"/>
      </c>
      <c r="J6" s="104">
        <f t="shared" si="0"/>
      </c>
      <c r="K6" s="104"/>
    </row>
    <row r="7">
      <c r="A7" s="105" t="s">
        <v>207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</row>
    <row r="8">
      <c r="A8" s="106" t="s">
        <v>193</v>
      </c>
      <c r="B8" s="106" t="s">
        <v>208</v>
      </c>
      <c r="C8" s="106" t="s">
        <v>209</v>
      </c>
      <c r="D8" s="106" t="s">
        <v>210</v>
      </c>
      <c r="E8" s="106" t="s">
        <v>211</v>
      </c>
      <c r="F8" s="106" t="s">
        <v>212</v>
      </c>
      <c r="G8" s="106" t="s">
        <v>213</v>
      </c>
      <c r="H8" s="107" t="s">
        <v>214</v>
      </c>
      <c r="I8" s="107" t="s">
        <v>215</v>
      </c>
      <c r="J8" s="107" t="s">
        <v>216</v>
      </c>
      <c r="K8" s="107" t="s">
        <v>192</v>
      </c>
    </row>
    <row r="9">
      <c r="A9" s="108">
        <f>SUM(D3:D5)</f>
      </c>
      <c r="B9" s="109">
        <f>SUM(E3:E5)</f>
      </c>
      <c r="C9" s="109">
        <f>B9/((K9*300)+A9)</f>
      </c>
      <c r="D9" s="110">
        <f>A9/J9</f>
      </c>
      <c r="E9" s="109">
        <f>B9/J9</f>
      </c>
      <c r="F9" s="111">
        <f>J9/I9</f>
      </c>
      <c r="G9" s="111">
        <f>H9/J9</f>
      </c>
      <c r="H9" s="112">
        <v>1</v>
      </c>
      <c r="I9" s="112">
        <v>25</v>
      </c>
      <c r="J9" s="113">
        <f>F6</f>
      </c>
      <c r="K9" s="113">
        <f>C6</f>
      </c>
    </row>
    <row r="10">
      <c r="A10" s="96" t="s">
        <v>217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>
      <c r="A11" s="97" t="s">
        <v>190</v>
      </c>
      <c r="B11" s="97" t="s">
        <v>191</v>
      </c>
      <c r="C11" s="97" t="s">
        <v>192</v>
      </c>
      <c r="D11" s="97" t="s">
        <v>193</v>
      </c>
      <c r="E11" s="98" t="s">
        <v>194</v>
      </c>
      <c r="F11" s="97" t="s">
        <v>195</v>
      </c>
      <c r="G11" s="97" t="s">
        <v>196</v>
      </c>
      <c r="H11" s="97" t="s">
        <v>197</v>
      </c>
      <c r="I11" s="97" t="s">
        <v>198</v>
      </c>
      <c r="J11" s="97" t="s">
        <v>199</v>
      </c>
      <c r="K11" s="97"/>
    </row>
    <row r="12">
      <c r="A12" s="99" t="s">
        <v>200</v>
      </c>
      <c r="B12" s="100" t="s">
        <v>201</v>
      </c>
      <c r="C12" s="101">
        <v>4</v>
      </c>
      <c r="D12" s="102">
        <v>5415.81</v>
      </c>
      <c r="E12" s="102">
        <v>3286.8</v>
      </c>
      <c r="F12" s="102">
        <v>2</v>
      </c>
      <c r="G12" s="103">
        <f t="shared" ref="G12:G15" si="32">E12/F12</f>
      </c>
      <c r="H12" s="103">
        <f t="shared" ref="H12:H15" si="63">D12/F12</f>
      </c>
      <c r="I12" s="103">
        <f t="shared" ref="I12:I15" si="94">E12/D12</f>
      </c>
      <c r="J12" s="103">
        <f t="shared" ref="J12:J15" si="1">D12/C12</f>
      </c>
      <c r="K12" s="103"/>
    </row>
    <row r="13">
      <c r="A13" s="99" t="s">
        <v>202</v>
      </c>
      <c r="B13" s="100" t="s">
        <v>203</v>
      </c>
      <c r="C13" s="102">
        <v>4</v>
      </c>
      <c r="D13" s="102">
        <v>5844.240000000001</v>
      </c>
      <c r="E13" s="102">
        <v>2448.8</v>
      </c>
      <c r="F13" s="102">
        <v>3</v>
      </c>
      <c r="G13" s="103">
        <f t="shared" si="32"/>
      </c>
      <c r="H13" s="103">
        <f t="shared" si="63"/>
      </c>
      <c r="I13" s="103">
        <f t="shared" si="94"/>
      </c>
      <c r="J13" s="103">
        <f t="shared" si="1"/>
      </c>
      <c r="K13" s="103"/>
    </row>
    <row r="14">
      <c r="A14" s="99" t="s">
        <v>204</v>
      </c>
      <c r="B14" s="100" t="s">
        <v>205</v>
      </c>
      <c r="C14" s="102">
        <v>4</v>
      </c>
      <c r="D14" s="102">
        <v>2709.08</v>
      </c>
      <c r="E14" s="102">
        <v>2731.199999999999</v>
      </c>
      <c r="F14" s="102">
        <v>3</v>
      </c>
      <c r="G14" s="103">
        <f t="shared" si="32"/>
      </c>
      <c r="H14" s="103">
        <f t="shared" si="63"/>
      </c>
      <c r="I14" s="103">
        <f t="shared" si="94"/>
      </c>
      <c r="J14" s="103">
        <f t="shared" si="1"/>
      </c>
      <c r="K14" s="103"/>
    </row>
    <row r="15">
      <c r="A15" s="97" t="s">
        <v>206</v>
      </c>
      <c r="B15" s="97"/>
      <c r="C15" s="97">
        <f>SUM(C12:C14)</f>
      </c>
      <c r="D15" s="97">
        <f>SUM(D12:D14)</f>
      </c>
      <c r="E15" s="97">
        <f>SUM(E12:E14)</f>
      </c>
      <c r="F15" s="97">
        <f>SUM(F12:F14)</f>
      </c>
      <c r="G15" s="104">
        <f t="shared" si="32"/>
      </c>
      <c r="H15" s="104">
        <f t="shared" si="63"/>
      </c>
      <c r="I15" s="104">
        <f t="shared" si="94"/>
      </c>
      <c r="J15" s="104">
        <f t="shared" si="1"/>
      </c>
      <c r="K15" s="104"/>
    </row>
    <row r="16">
      <c r="A16" s="105" t="s">
        <v>207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</row>
    <row r="17">
      <c r="A17" s="106" t="s">
        <v>193</v>
      </c>
      <c r="B17" s="106" t="s">
        <v>208</v>
      </c>
      <c r="C17" s="106" t="s">
        <v>209</v>
      </c>
      <c r="D17" s="106" t="s">
        <v>210</v>
      </c>
      <c r="E17" s="106" t="s">
        <v>211</v>
      </c>
      <c r="F17" s="106" t="s">
        <v>212</v>
      </c>
      <c r="G17" s="106" t="s">
        <v>213</v>
      </c>
      <c r="H17" s="107" t="s">
        <v>214</v>
      </c>
      <c r="I17" s="107" t="s">
        <v>215</v>
      </c>
      <c r="J17" s="107" t="s">
        <v>216</v>
      </c>
      <c r="K17" s="107" t="s">
        <v>192</v>
      </c>
    </row>
    <row r="18">
      <c r="A18" s="108">
        <f>SUM(D12:D14)</f>
      </c>
      <c r="B18" s="109">
        <f>SUM(E12:E14)</f>
      </c>
      <c r="C18" s="109">
        <f>B18/((K18*300)+A18)</f>
      </c>
      <c r="D18" s="110">
        <f>A18/J18</f>
      </c>
      <c r="E18" s="109">
        <f>B18/J18</f>
      </c>
      <c r="F18" s="111">
        <f>J18/I18</f>
      </c>
      <c r="G18" s="111">
        <f>H18/J18</f>
      </c>
      <c r="H18" s="112">
        <v>0</v>
      </c>
      <c r="I18" s="112">
        <v>18</v>
      </c>
      <c r="J18" s="113">
        <f>F15</f>
      </c>
      <c r="K18" s="113">
        <f>C15</f>
      </c>
    </row>
    <row r="19">
      <c r="A19" s="96" t="s">
        <v>218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>
      <c r="A20" s="97" t="s">
        <v>190</v>
      </c>
      <c r="B20" s="97" t="s">
        <v>191</v>
      </c>
      <c r="C20" s="97" t="s">
        <v>192</v>
      </c>
      <c r="D20" s="97" t="s">
        <v>193</v>
      </c>
      <c r="E20" s="98" t="s">
        <v>194</v>
      </c>
      <c r="F20" s="97" t="s">
        <v>195</v>
      </c>
      <c r="G20" s="97" t="s">
        <v>196</v>
      </c>
      <c r="H20" s="97" t="s">
        <v>197</v>
      </c>
      <c r="I20" s="97" t="s">
        <v>198</v>
      </c>
      <c r="J20" s="97" t="s">
        <v>199</v>
      </c>
      <c r="K20" s="97"/>
    </row>
    <row r="21">
      <c r="A21" s="99" t="s">
        <v>200</v>
      </c>
      <c r="B21" s="100" t="s">
        <v>201</v>
      </c>
      <c r="C21" s="101">
        <v>4</v>
      </c>
      <c r="D21" s="102">
        <v>3300.73</v>
      </c>
      <c r="E21" s="102">
        <v>3108</v>
      </c>
      <c r="F21" s="102">
        <v>1</v>
      </c>
      <c r="G21" s="103">
        <f t="shared" ref="G21:G24" si="33">E21/F21</f>
      </c>
      <c r="H21" s="103">
        <f t="shared" ref="H21:H24" si="64">D21/F21</f>
      </c>
      <c r="I21" s="103">
        <f t="shared" ref="I21:I24" si="95">E21/D21</f>
      </c>
      <c r="J21" s="103">
        <f t="shared" ref="J21:J24" si="2">D21/C21</f>
      </c>
      <c r="K21" s="103"/>
    </row>
    <row r="22">
      <c r="A22" s="99" t="s">
        <v>202</v>
      </c>
      <c r="B22" s="100" t="s">
        <v>203</v>
      </c>
      <c r="C22" s="102">
        <v>4</v>
      </c>
      <c r="D22" s="102">
        <v>2080.86</v>
      </c>
      <c r="E22" s="102">
        <v>2907.6000000000004</v>
      </c>
      <c r="F22" s="102">
        <v>2</v>
      </c>
      <c r="G22" s="103">
        <f t="shared" si="33"/>
      </c>
      <c r="H22" s="103">
        <f t="shared" si="64"/>
      </c>
      <c r="I22" s="103">
        <f t="shared" si="95"/>
      </c>
      <c r="J22" s="103">
        <f t="shared" si="2"/>
      </c>
      <c r="K22" s="103"/>
    </row>
    <row r="23">
      <c r="A23" s="99" t="s">
        <v>204</v>
      </c>
      <c r="B23" s="100" t="s">
        <v>205</v>
      </c>
      <c r="C23" s="102">
        <v>4</v>
      </c>
      <c r="D23" s="102">
        <v>2247.55</v>
      </c>
      <c r="E23" s="102">
        <v>0</v>
      </c>
      <c r="F23" s="102">
        <v>0</v>
      </c>
      <c r="G23" s="103">
        <f t="shared" si="33"/>
      </c>
      <c r="H23" s="103">
        <f t="shared" si="64"/>
      </c>
      <c r="I23" s="103">
        <f t="shared" si="95"/>
      </c>
      <c r="J23" s="103">
        <f t="shared" si="2"/>
      </c>
      <c r="K23" s="103"/>
    </row>
    <row r="24">
      <c r="A24" s="97" t="s">
        <v>206</v>
      </c>
      <c r="B24" s="97"/>
      <c r="C24" s="97">
        <f>SUM(C21:C23)</f>
      </c>
      <c r="D24" s="97">
        <f>SUM(D21:D23)</f>
      </c>
      <c r="E24" s="97">
        <f>SUM(E21:E23)</f>
      </c>
      <c r="F24" s="97">
        <f>SUM(F21:F23)</f>
      </c>
      <c r="G24" s="104">
        <f t="shared" si="33"/>
      </c>
      <c r="H24" s="104">
        <f t="shared" si="64"/>
      </c>
      <c r="I24" s="104">
        <f t="shared" si="95"/>
      </c>
      <c r="J24" s="104">
        <f t="shared" si="2"/>
      </c>
      <c r="K24" s="104"/>
    </row>
    <row r="25">
      <c r="A25" s="105" t="s">
        <v>207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</row>
    <row r="26">
      <c r="A26" s="106" t="s">
        <v>193</v>
      </c>
      <c r="B26" s="106" t="s">
        <v>208</v>
      </c>
      <c r="C26" s="106" t="s">
        <v>209</v>
      </c>
      <c r="D26" s="106" t="s">
        <v>210</v>
      </c>
      <c r="E26" s="106" t="s">
        <v>211</v>
      </c>
      <c r="F26" s="106" t="s">
        <v>212</v>
      </c>
      <c r="G26" s="106" t="s">
        <v>213</v>
      </c>
      <c r="H26" s="107" t="s">
        <v>214</v>
      </c>
      <c r="I26" s="107" t="s">
        <v>215</v>
      </c>
      <c r="J26" s="107" t="s">
        <v>216</v>
      </c>
      <c r="K26" s="107" t="s">
        <v>192</v>
      </c>
    </row>
    <row r="27">
      <c r="A27" s="108">
        <f>SUM(D21:D23)</f>
      </c>
      <c r="B27" s="109">
        <f>SUM(E21:E23)</f>
      </c>
      <c r="C27" s="109">
        <f>B27/((K27*300)+A27)</f>
      </c>
      <c r="D27" s="110">
        <f>A27/J27</f>
      </c>
      <c r="E27" s="109">
        <f>B27/J27</f>
      </c>
      <c r="F27" s="111">
        <f>J27/I27</f>
      </c>
      <c r="G27" s="111">
        <f>H27/J27</f>
      </c>
      <c r="H27" s="112">
        <v>0</v>
      </c>
      <c r="I27" s="112">
        <v>14</v>
      </c>
      <c r="J27" s="113">
        <f>F24</f>
      </c>
      <c r="K27" s="113">
        <f>C24</f>
      </c>
    </row>
    <row r="28">
      <c r="A28" s="96" t="s">
        <v>219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>
      <c r="A29" s="97" t="s">
        <v>190</v>
      </c>
      <c r="B29" s="97" t="s">
        <v>191</v>
      </c>
      <c r="C29" s="97" t="s">
        <v>192</v>
      </c>
      <c r="D29" s="97" t="s">
        <v>193</v>
      </c>
      <c r="E29" s="98" t="s">
        <v>194</v>
      </c>
      <c r="F29" s="97" t="s">
        <v>195</v>
      </c>
      <c r="G29" s="97" t="s">
        <v>196</v>
      </c>
      <c r="H29" s="97" t="s">
        <v>197</v>
      </c>
      <c r="I29" s="97" t="s">
        <v>198</v>
      </c>
      <c r="J29" s="97" t="s">
        <v>199</v>
      </c>
      <c r="K29" s="97"/>
    </row>
    <row r="30">
      <c r="A30" s="99" t="s">
        <v>200</v>
      </c>
      <c r="B30" s="100" t="s">
        <v>201</v>
      </c>
      <c r="C30" s="101">
        <v>4</v>
      </c>
      <c r="D30" s="102">
        <v>4813.77</v>
      </c>
      <c r="E30" s="102">
        <v>15854.4</v>
      </c>
      <c r="F30" s="102">
        <v>5</v>
      </c>
      <c r="G30" s="103">
        <f t="shared" ref="G30:G33" si="34">E30/F30</f>
      </c>
      <c r="H30" s="103">
        <f t="shared" ref="H30:H33" si="65">D30/F30</f>
      </c>
      <c r="I30" s="103">
        <f t="shared" ref="I30:I33" si="96">E30/D30</f>
      </c>
      <c r="J30" s="103">
        <f t="shared" ref="J30:J33" si="3">D30/C30</f>
      </c>
      <c r="K30" s="103"/>
    </row>
    <row r="31">
      <c r="A31" s="99" t="s">
        <v>204</v>
      </c>
      <c r="B31" s="100" t="s">
        <v>203</v>
      </c>
      <c r="C31" s="102">
        <v>4</v>
      </c>
      <c r="D31" s="102">
        <v>3200.9300000000003</v>
      </c>
      <c r="E31" s="102">
        <v>3002.000000000002</v>
      </c>
      <c r="F31" s="102">
        <v>3</v>
      </c>
      <c r="G31" s="103">
        <f t="shared" si="34"/>
      </c>
      <c r="H31" s="103">
        <f t="shared" si="65"/>
      </c>
      <c r="I31" s="103">
        <f t="shared" si="96"/>
      </c>
      <c r="J31" s="103">
        <f t="shared" si="3"/>
      </c>
      <c r="K31" s="103"/>
    </row>
    <row r="32">
      <c r="A32" s="99" t="s">
        <v>202</v>
      </c>
      <c r="B32" s="100" t="s">
        <v>205</v>
      </c>
      <c r="C32" s="102">
        <v>4</v>
      </c>
      <c r="D32" s="102">
        <v>3404.1800000000003</v>
      </c>
      <c r="E32" s="102">
        <v>879.5999999999985</v>
      </c>
      <c r="F32" s="102">
        <v>1</v>
      </c>
      <c r="G32" s="103">
        <f t="shared" si="34"/>
      </c>
      <c r="H32" s="103">
        <f t="shared" si="65"/>
      </c>
      <c r="I32" s="103">
        <f t="shared" si="96"/>
      </c>
      <c r="J32" s="103">
        <f t="shared" si="3"/>
      </c>
      <c r="K32" s="103"/>
    </row>
    <row r="33">
      <c r="A33" s="97" t="s">
        <v>206</v>
      </c>
      <c r="B33" s="97"/>
      <c r="C33" s="97">
        <f>SUM(C30:C32)</f>
      </c>
      <c r="D33" s="97">
        <f>SUM(D30:D32)</f>
      </c>
      <c r="E33" s="97">
        <f>SUM(E30:E32)</f>
      </c>
      <c r="F33" s="97">
        <f>SUM(F30:F32)</f>
      </c>
      <c r="G33" s="104">
        <f t="shared" si="34"/>
      </c>
      <c r="H33" s="104">
        <f t="shared" si="65"/>
      </c>
      <c r="I33" s="104">
        <f t="shared" si="96"/>
      </c>
      <c r="J33" s="104">
        <f t="shared" si="3"/>
      </c>
      <c r="K33" s="104"/>
    </row>
    <row r="34">
      <c r="A34" s="105" t="s">
        <v>207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</row>
    <row r="35">
      <c r="A35" s="106" t="s">
        <v>193</v>
      </c>
      <c r="B35" s="106" t="s">
        <v>208</v>
      </c>
      <c r="C35" s="106" t="s">
        <v>209</v>
      </c>
      <c r="D35" s="106" t="s">
        <v>210</v>
      </c>
      <c r="E35" s="106" t="s">
        <v>211</v>
      </c>
      <c r="F35" s="106" t="s">
        <v>212</v>
      </c>
      <c r="G35" s="106" t="s">
        <v>213</v>
      </c>
      <c r="H35" s="107" t="s">
        <v>214</v>
      </c>
      <c r="I35" s="107" t="s">
        <v>215</v>
      </c>
      <c r="J35" s="107" t="s">
        <v>216</v>
      </c>
      <c r="K35" s="107" t="s">
        <v>192</v>
      </c>
    </row>
    <row r="36">
      <c r="A36" s="108">
        <f>SUM(D30:D32)</f>
      </c>
      <c r="B36" s="109">
        <f>SUM(E30:E32)</f>
      </c>
      <c r="C36" s="109">
        <f>B36/((K36*300)+A36)</f>
      </c>
      <c r="D36" s="110">
        <f>A36/J36</f>
      </c>
      <c r="E36" s="109">
        <f>B36/J36</f>
      </c>
      <c r="F36" s="111">
        <f>J36/I36</f>
      </c>
      <c r="G36" s="111">
        <f>H36/J36</f>
      </c>
      <c r="H36" s="112">
        <v>1</v>
      </c>
      <c r="I36" s="112">
        <v>21</v>
      </c>
      <c r="J36" s="113">
        <f>F33</f>
      </c>
      <c r="K36" s="113">
        <f>C33</f>
      </c>
    </row>
    <row r="37">
      <c r="A37" s="96" t="s">
        <v>220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</row>
    <row r="38">
      <c r="A38" s="97" t="s">
        <v>190</v>
      </c>
      <c r="B38" s="97" t="s">
        <v>191</v>
      </c>
      <c r="C38" s="97" t="s">
        <v>192</v>
      </c>
      <c r="D38" s="97" t="s">
        <v>193</v>
      </c>
      <c r="E38" s="98" t="s">
        <v>194</v>
      </c>
      <c r="F38" s="97" t="s">
        <v>195</v>
      </c>
      <c r="G38" s="97" t="s">
        <v>196</v>
      </c>
      <c r="H38" s="97" t="s">
        <v>197</v>
      </c>
      <c r="I38" s="97" t="s">
        <v>198</v>
      </c>
      <c r="J38" s="97" t="s">
        <v>199</v>
      </c>
      <c r="K38" s="97"/>
    </row>
    <row r="39">
      <c r="A39" s="99" t="s">
        <v>200</v>
      </c>
      <c r="B39" s="100" t="s">
        <v>201</v>
      </c>
      <c r="C39" s="101">
        <v>4</v>
      </c>
      <c r="D39" s="102">
        <v>3791.92</v>
      </c>
      <c r="E39" s="102">
        <v>3650.3999999999996</v>
      </c>
      <c r="F39" s="102">
        <v>3</v>
      </c>
      <c r="G39" s="103">
        <f t="shared" ref="G39:G42" si="35">E39/F39</f>
      </c>
      <c r="H39" s="103">
        <f t="shared" ref="H39:H42" si="66">D39/F39</f>
      </c>
      <c r="I39" s="103">
        <f t="shared" ref="I39:I42" si="97">E39/D39</f>
      </c>
      <c r="J39" s="103">
        <f t="shared" ref="J39:J42" si="4">D39/C39</f>
      </c>
      <c r="K39" s="103"/>
    </row>
    <row r="40">
      <c r="A40" s="99" t="s">
        <v>202</v>
      </c>
      <c r="B40" s="100" t="s">
        <v>203</v>
      </c>
      <c r="C40" s="102">
        <v>4</v>
      </c>
      <c r="D40" s="102">
        <v>3800.4399999999996</v>
      </c>
      <c r="E40" s="102">
        <v>2716.8</v>
      </c>
      <c r="F40" s="102">
        <v>2</v>
      </c>
      <c r="G40" s="103">
        <f t="shared" si="35"/>
      </c>
      <c r="H40" s="103">
        <f t="shared" si="66"/>
      </c>
      <c r="I40" s="103">
        <f t="shared" si="97"/>
      </c>
      <c r="J40" s="103">
        <f t="shared" si="4"/>
      </c>
      <c r="K40" s="103"/>
    </row>
    <row r="41">
      <c r="A41" s="99" t="s">
        <v>221</v>
      </c>
      <c r="B41" s="100" t="s">
        <v>205</v>
      </c>
      <c r="C41" s="102">
        <v>4</v>
      </c>
      <c r="D41" s="102">
        <v>3774.5700000000006</v>
      </c>
      <c r="E41" s="102">
        <v>12522</v>
      </c>
      <c r="F41" s="102">
        <v>4</v>
      </c>
      <c r="G41" s="103">
        <f t="shared" si="35"/>
      </c>
      <c r="H41" s="103">
        <f t="shared" si="66"/>
      </c>
      <c r="I41" s="103">
        <f t="shared" si="97"/>
      </c>
      <c r="J41" s="103">
        <f t="shared" si="4"/>
      </c>
      <c r="K41" s="103"/>
    </row>
    <row r="42">
      <c r="A42" s="97" t="s">
        <v>206</v>
      </c>
      <c r="B42" s="97"/>
      <c r="C42" s="97">
        <f>SUM(C39:C41)</f>
      </c>
      <c r="D42" s="97">
        <f>SUM(D39:D41)</f>
      </c>
      <c r="E42" s="97">
        <f>SUM(E39:E41)</f>
      </c>
      <c r="F42" s="97">
        <f>SUM(F39:F41)</f>
      </c>
      <c r="G42" s="104">
        <f t="shared" si="35"/>
      </c>
      <c r="H42" s="104">
        <f t="shared" si="66"/>
      </c>
      <c r="I42" s="104">
        <f t="shared" si="97"/>
      </c>
      <c r="J42" s="104">
        <f t="shared" si="4"/>
      </c>
      <c r="K42" s="104"/>
    </row>
    <row r="43">
      <c r="A43" s="105" t="s">
        <v>207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4">
      <c r="A44" s="106" t="s">
        <v>193</v>
      </c>
      <c r="B44" s="106" t="s">
        <v>208</v>
      </c>
      <c r="C44" s="106" t="s">
        <v>209</v>
      </c>
      <c r="D44" s="106" t="s">
        <v>210</v>
      </c>
      <c r="E44" s="106" t="s">
        <v>211</v>
      </c>
      <c r="F44" s="106" t="s">
        <v>212</v>
      </c>
      <c r="G44" s="106" t="s">
        <v>213</v>
      </c>
      <c r="H44" s="107" t="s">
        <v>214</v>
      </c>
      <c r="I44" s="107" t="s">
        <v>215</v>
      </c>
      <c r="J44" s="107" t="s">
        <v>216</v>
      </c>
      <c r="K44" s="107" t="s">
        <v>192</v>
      </c>
    </row>
    <row r="45">
      <c r="A45" s="108">
        <f>SUM(D39:D41)</f>
      </c>
      <c r="B45" s="109">
        <f>SUM(E39:E41)</f>
      </c>
      <c r="C45" s="109">
        <f>B45/((K45*300)+A45)</f>
      </c>
      <c r="D45" s="110">
        <f>A45/J45</f>
      </c>
      <c r="E45" s="109">
        <f>B45/J45</f>
      </c>
      <c r="F45" s="111">
        <f>J45/I45</f>
      </c>
      <c r="G45" s="111">
        <f>H45/J45</f>
      </c>
      <c r="H45" s="112">
        <v>1</v>
      </c>
      <c r="I45" s="112">
        <v>17</v>
      </c>
      <c r="J45" s="113">
        <f>F42</f>
      </c>
      <c r="K45" s="113">
        <f>C42</f>
      </c>
    </row>
    <row r="46">
      <c r="A46" s="96" t="s">
        <v>222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</row>
    <row r="47">
      <c r="A47" s="97" t="s">
        <v>190</v>
      </c>
      <c r="B47" s="97" t="s">
        <v>191</v>
      </c>
      <c r="C47" s="97" t="s">
        <v>192</v>
      </c>
      <c r="D47" s="97" t="s">
        <v>193</v>
      </c>
      <c r="E47" s="98" t="s">
        <v>194</v>
      </c>
      <c r="F47" s="97" t="s">
        <v>195</v>
      </c>
      <c r="G47" s="97" t="s">
        <v>196</v>
      </c>
      <c r="H47" s="97" t="s">
        <v>197</v>
      </c>
      <c r="I47" s="97" t="s">
        <v>198</v>
      </c>
      <c r="J47" s="97" t="s">
        <v>199</v>
      </c>
      <c r="K47" s="97"/>
    </row>
    <row r="48">
      <c r="A48" s="99" t="s">
        <v>200</v>
      </c>
      <c r="B48" s="100" t="s">
        <v>201</v>
      </c>
      <c r="C48" s="101">
        <v>4</v>
      </c>
      <c r="D48" s="102">
        <v>5055.73</v>
      </c>
      <c r="E48" s="102">
        <v>3752</v>
      </c>
      <c r="F48" s="102">
        <v>4</v>
      </c>
      <c r="G48" s="103">
        <f t="shared" ref="G48:G51" si="36">E48/F48</f>
      </c>
      <c r="H48" s="103">
        <f t="shared" ref="H48:H51" si="67">D48/F48</f>
      </c>
      <c r="I48" s="103">
        <f t="shared" ref="I48:I51" si="98">E48/D48</f>
      </c>
      <c r="J48" s="103">
        <f t="shared" ref="J48:J51" si="5">D48/C48</f>
      </c>
      <c r="K48" s="103"/>
    </row>
    <row r="49">
      <c r="A49" s="99" t="s">
        <v>204</v>
      </c>
      <c r="B49" s="100" t="s">
        <v>203</v>
      </c>
      <c r="C49" s="102">
        <v>4</v>
      </c>
      <c r="D49" s="102">
        <v>5795.200000000001</v>
      </c>
      <c r="E49" s="102">
        <v>7245.6</v>
      </c>
      <c r="F49" s="102">
        <v>5</v>
      </c>
      <c r="G49" s="103">
        <f t="shared" si="36"/>
      </c>
      <c r="H49" s="103">
        <f t="shared" si="67"/>
      </c>
      <c r="I49" s="103">
        <f t="shared" si="98"/>
      </c>
      <c r="J49" s="103">
        <f t="shared" si="5"/>
      </c>
      <c r="K49" s="103"/>
    </row>
    <row r="50">
      <c r="A50" s="99" t="s">
        <v>221</v>
      </c>
      <c r="B50" s="100" t="s">
        <v>205</v>
      </c>
      <c r="C50" s="102">
        <v>4</v>
      </c>
      <c r="D50" s="102">
        <v>4366.67</v>
      </c>
      <c r="E50" s="102">
        <v>3390</v>
      </c>
      <c r="F50" s="102">
        <v>1</v>
      </c>
      <c r="G50" s="103">
        <f t="shared" si="36"/>
      </c>
      <c r="H50" s="103">
        <f t="shared" si="67"/>
      </c>
      <c r="I50" s="103">
        <f t="shared" si="98"/>
      </c>
      <c r="J50" s="103">
        <f t="shared" si="5"/>
      </c>
      <c r="K50" s="103"/>
    </row>
    <row r="51">
      <c r="A51" s="97" t="s">
        <v>206</v>
      </c>
      <c r="B51" s="97"/>
      <c r="C51" s="97">
        <f>SUM(C48:C50)</f>
      </c>
      <c r="D51" s="97">
        <f>SUM(D48:D50)</f>
      </c>
      <c r="E51" s="97">
        <f>SUM(E48:E50)</f>
      </c>
      <c r="F51" s="97">
        <f>SUM(F48:F50)</f>
      </c>
      <c r="G51" s="104">
        <f t="shared" si="36"/>
      </c>
      <c r="H51" s="104">
        <f t="shared" si="67"/>
      </c>
      <c r="I51" s="104">
        <f t="shared" si="98"/>
      </c>
      <c r="J51" s="104">
        <f t="shared" si="5"/>
      </c>
      <c r="K51" s="104"/>
    </row>
    <row r="52">
      <c r="A52" s="105" t="s">
        <v>207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</row>
    <row r="53">
      <c r="A53" s="106" t="s">
        <v>193</v>
      </c>
      <c r="B53" s="106" t="s">
        <v>208</v>
      </c>
      <c r="C53" s="106" t="s">
        <v>209</v>
      </c>
      <c r="D53" s="106" t="s">
        <v>210</v>
      </c>
      <c r="E53" s="106" t="s">
        <v>211</v>
      </c>
      <c r="F53" s="106" t="s">
        <v>212</v>
      </c>
      <c r="G53" s="106" t="s">
        <v>213</v>
      </c>
      <c r="H53" s="107" t="s">
        <v>214</v>
      </c>
      <c r="I53" s="107" t="s">
        <v>215</v>
      </c>
      <c r="J53" s="107" t="s">
        <v>216</v>
      </c>
      <c r="K53" s="107" t="s">
        <v>192</v>
      </c>
    </row>
    <row r="54">
      <c r="A54" s="108">
        <f>SUM(D48:D50)</f>
      </c>
      <c r="B54" s="109">
        <f>SUM(E48:E50)</f>
      </c>
      <c r="C54" s="109">
        <f>B54/((K54*300)+A54)</f>
      </c>
      <c r="D54" s="110">
        <f>A54/J54</f>
      </c>
      <c r="E54" s="109">
        <f>B54/J54</f>
      </c>
      <c r="F54" s="111">
        <f>J54/I54</f>
      </c>
      <c r="G54" s="111">
        <f>H54/J54</f>
      </c>
      <c r="H54" s="112">
        <v>1</v>
      </c>
      <c r="I54" s="112">
        <v>16</v>
      </c>
      <c r="J54" s="113">
        <f>F51</f>
      </c>
      <c r="K54" s="113">
        <f>C51</f>
      </c>
    </row>
    <row r="55">
      <c r="A55" s="96" t="s">
        <v>223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</row>
    <row r="56">
      <c r="A56" s="97" t="s">
        <v>190</v>
      </c>
      <c r="B56" s="97" t="s">
        <v>191</v>
      </c>
      <c r="C56" s="97" t="s">
        <v>192</v>
      </c>
      <c r="D56" s="97" t="s">
        <v>193</v>
      </c>
      <c r="E56" s="98" t="s">
        <v>194</v>
      </c>
      <c r="F56" s="97" t="s">
        <v>195</v>
      </c>
      <c r="G56" s="97" t="s">
        <v>196</v>
      </c>
      <c r="H56" s="97" t="s">
        <v>197</v>
      </c>
      <c r="I56" s="97" t="s">
        <v>198</v>
      </c>
      <c r="J56" s="97" t="s">
        <v>199</v>
      </c>
      <c r="K56" s="97"/>
    </row>
    <row r="57">
      <c r="A57" s="99" t="s">
        <v>204</v>
      </c>
      <c r="B57" s="100" t="s">
        <v>201</v>
      </c>
      <c r="C57" s="101">
        <v>4</v>
      </c>
      <c r="D57" s="102">
        <v>4564.01</v>
      </c>
      <c r="E57" s="102">
        <v>10884</v>
      </c>
      <c r="F57" s="102">
        <v>6</v>
      </c>
      <c r="G57" s="103">
        <f t="shared" ref="G57:G60" si="37">E57/F57</f>
      </c>
      <c r="H57" s="103">
        <f t="shared" ref="H57:H60" si="68">D57/F57</f>
      </c>
      <c r="I57" s="103">
        <f t="shared" ref="I57:I60" si="99">E57/D57</f>
      </c>
      <c r="J57" s="103">
        <f t="shared" ref="J57:J60" si="6">D57/C57</f>
      </c>
      <c r="K57" s="103"/>
    </row>
    <row r="58">
      <c r="A58" s="99" t="s">
        <v>202</v>
      </c>
      <c r="B58" s="100" t="s">
        <v>203</v>
      </c>
      <c r="C58" s="102">
        <v>4</v>
      </c>
      <c r="D58" s="102">
        <v>3964.1800000000003</v>
      </c>
      <c r="E58" s="102">
        <v>0</v>
      </c>
      <c r="F58" s="102">
        <v>0</v>
      </c>
      <c r="G58" s="103">
        <f t="shared" si="37"/>
      </c>
      <c r="H58" s="103">
        <f t="shared" si="68"/>
      </c>
      <c r="I58" s="103">
        <f t="shared" si="99"/>
      </c>
      <c r="J58" s="103">
        <f t="shared" si="6"/>
      </c>
      <c r="K58" s="103"/>
    </row>
    <row r="59">
      <c r="A59" s="99" t="s">
        <v>221</v>
      </c>
      <c r="B59" s="100" t="s">
        <v>205</v>
      </c>
      <c r="C59" s="102">
        <v>4</v>
      </c>
      <c r="D59" s="102">
        <v>4393.779999999999</v>
      </c>
      <c r="E59" s="102">
        <v>6813.5999999999985</v>
      </c>
      <c r="F59" s="102">
        <v>4</v>
      </c>
      <c r="G59" s="103">
        <f t="shared" si="37"/>
      </c>
      <c r="H59" s="103">
        <f t="shared" si="68"/>
      </c>
      <c r="I59" s="103">
        <f t="shared" si="99"/>
      </c>
      <c r="J59" s="103">
        <f t="shared" si="6"/>
      </c>
      <c r="K59" s="103"/>
    </row>
    <row r="60">
      <c r="A60" s="97" t="s">
        <v>206</v>
      </c>
      <c r="B60" s="97"/>
      <c r="C60" s="97">
        <f>SUM(C57:C59)</f>
      </c>
      <c r="D60" s="97">
        <f>SUM(D57:D59)</f>
      </c>
      <c r="E60" s="97">
        <f>SUM(E57:E59)</f>
      </c>
      <c r="F60" s="97">
        <f>SUM(F57:F59)</f>
      </c>
      <c r="G60" s="104">
        <f t="shared" si="37"/>
      </c>
      <c r="H60" s="104">
        <f t="shared" si="68"/>
      </c>
      <c r="I60" s="104">
        <f t="shared" si="99"/>
      </c>
      <c r="J60" s="104">
        <f t="shared" si="6"/>
      </c>
      <c r="K60" s="104"/>
    </row>
    <row r="61">
      <c r="A61" s="105" t="s">
        <v>207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</row>
    <row r="62">
      <c r="A62" s="106" t="s">
        <v>193</v>
      </c>
      <c r="B62" s="106" t="s">
        <v>208</v>
      </c>
      <c r="C62" s="106" t="s">
        <v>209</v>
      </c>
      <c r="D62" s="106" t="s">
        <v>210</v>
      </c>
      <c r="E62" s="106" t="s">
        <v>211</v>
      </c>
      <c r="F62" s="106" t="s">
        <v>212</v>
      </c>
      <c r="G62" s="106" t="s">
        <v>213</v>
      </c>
      <c r="H62" s="107" t="s">
        <v>214</v>
      </c>
      <c r="I62" s="107" t="s">
        <v>215</v>
      </c>
      <c r="J62" s="107" t="s">
        <v>216</v>
      </c>
      <c r="K62" s="107" t="s">
        <v>192</v>
      </c>
    </row>
    <row r="63">
      <c r="A63" s="108">
        <f>SUM(D57:D59)</f>
      </c>
      <c r="B63" s="109">
        <f>SUM(E57:E59)</f>
      </c>
      <c r="C63" s="109">
        <f>B63/((K63*300)+A63)</f>
      </c>
      <c r="D63" s="110">
        <f>A63/J63</f>
      </c>
      <c r="E63" s="109">
        <f>B63/J63</f>
      </c>
      <c r="F63" s="111">
        <f>J63/I63</f>
      </c>
      <c r="G63" s="111">
        <f>H63/J63</f>
      </c>
      <c r="H63" s="112">
        <v>2</v>
      </c>
      <c r="I63" s="112">
        <v>18</v>
      </c>
      <c r="J63" s="113">
        <f>F60</f>
      </c>
      <c r="K63" s="113">
        <f>C60</f>
      </c>
    </row>
    <row r="64">
      <c r="A64" s="96" t="s">
        <v>224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</row>
    <row r="65">
      <c r="A65" s="97" t="s">
        <v>190</v>
      </c>
      <c r="B65" s="97" t="s">
        <v>191</v>
      </c>
      <c r="C65" s="97" t="s">
        <v>192</v>
      </c>
      <c r="D65" s="97" t="s">
        <v>193</v>
      </c>
      <c r="E65" s="98" t="s">
        <v>194</v>
      </c>
      <c r="F65" s="97" t="s">
        <v>195</v>
      </c>
      <c r="G65" s="97" t="s">
        <v>196</v>
      </c>
      <c r="H65" s="97" t="s">
        <v>197</v>
      </c>
      <c r="I65" s="97" t="s">
        <v>198</v>
      </c>
      <c r="J65" s="97" t="s">
        <v>199</v>
      </c>
      <c r="K65" s="97"/>
    </row>
    <row r="66">
      <c r="A66" s="99" t="s">
        <v>200</v>
      </c>
      <c r="B66" s="114" t="s">
        <v>225</v>
      </c>
      <c r="C66" s="102">
        <v>5</v>
      </c>
      <c r="D66" s="102">
        <v>3485.82</v>
      </c>
      <c r="E66" s="102">
        <v>7408.400000000001</v>
      </c>
      <c r="F66" s="102">
        <v>3</v>
      </c>
      <c r="G66" s="103">
        <f t="shared" ref="G66:G69" si="38">E66/F66</f>
      </c>
      <c r="H66" s="103">
        <f t="shared" ref="H66:H69" si="69">D66/F66</f>
      </c>
      <c r="I66" s="103">
        <f t="shared" ref="I66:I69" si="100">E66/D66</f>
      </c>
      <c r="J66" s="103">
        <f t="shared" ref="J66:J69" si="7">D66/C66</f>
      </c>
      <c r="K66" s="103"/>
    </row>
    <row r="67">
      <c r="A67" s="99" t="s">
        <v>221</v>
      </c>
      <c r="B67" s="114" t="s">
        <v>226</v>
      </c>
      <c r="C67" s="102">
        <v>3</v>
      </c>
      <c r="D67" s="102">
        <v>2688.3400000000006</v>
      </c>
      <c r="E67" s="102">
        <v>1669.1999999999998</v>
      </c>
      <c r="F67" s="102">
        <v>1</v>
      </c>
      <c r="G67" s="103">
        <f t="shared" si="38"/>
      </c>
      <c r="H67" s="103">
        <f t="shared" si="69"/>
      </c>
      <c r="I67" s="103">
        <f t="shared" si="100"/>
      </c>
      <c r="J67" s="103">
        <f t="shared" si="7"/>
      </c>
      <c r="K67" s="103"/>
    </row>
    <row r="68">
      <c r="A68" s="99" t="s">
        <v>202</v>
      </c>
      <c r="B68" s="114" t="s">
        <v>205</v>
      </c>
      <c r="C68" s="102">
        <v>4</v>
      </c>
      <c r="D68" s="102">
        <v>2945.8700000000017</v>
      </c>
      <c r="E68" s="102">
        <v>13263.199999999999</v>
      </c>
      <c r="F68" s="102">
        <v>5</v>
      </c>
      <c r="G68" s="103">
        <f t="shared" si="38"/>
      </c>
      <c r="H68" s="103">
        <f t="shared" si="69"/>
      </c>
      <c r="I68" s="103">
        <f t="shared" si="100"/>
      </c>
      <c r="J68" s="103">
        <f t="shared" si="7"/>
      </c>
      <c r="K68" s="103"/>
    </row>
    <row r="69">
      <c r="A69" s="97" t="s">
        <v>206</v>
      </c>
      <c r="B69" s="97"/>
      <c r="C69" s="97">
        <f>SUM(C66:C68)</f>
      </c>
      <c r="D69" s="97">
        <f>SUM(D66:D68)</f>
      </c>
      <c r="E69" s="97">
        <f>SUM(E66:E68)</f>
      </c>
      <c r="F69" s="97">
        <f>SUM(F66:F68)</f>
      </c>
      <c r="G69" s="104">
        <f t="shared" si="38"/>
      </c>
      <c r="H69" s="104">
        <f t="shared" si="69"/>
      </c>
      <c r="I69" s="104">
        <f t="shared" si="100"/>
      </c>
      <c r="J69" s="104">
        <f t="shared" si="7"/>
      </c>
      <c r="K69" s="104"/>
    </row>
    <row r="70">
      <c r="A70" s="105" t="s">
        <v>207</v>
      </c>
      <c r="B70" s="105"/>
      <c r="C70" s="105"/>
      <c r="D70" s="105"/>
      <c r="E70" s="105"/>
      <c r="F70" s="105"/>
      <c r="G70" s="105"/>
      <c r="H70" s="105"/>
      <c r="I70" s="105"/>
      <c r="J70" s="105"/>
      <c r="K70" s="105"/>
    </row>
    <row r="71">
      <c r="A71" s="106" t="s">
        <v>193</v>
      </c>
      <c r="B71" s="106" t="s">
        <v>208</v>
      </c>
      <c r="C71" s="106" t="s">
        <v>209</v>
      </c>
      <c r="D71" s="106" t="s">
        <v>210</v>
      </c>
      <c r="E71" s="106" t="s">
        <v>211</v>
      </c>
      <c r="F71" s="106" t="s">
        <v>212</v>
      </c>
      <c r="G71" s="106" t="s">
        <v>213</v>
      </c>
      <c r="H71" s="107" t="s">
        <v>214</v>
      </c>
      <c r="I71" s="107" t="s">
        <v>215</v>
      </c>
      <c r="J71" s="107" t="s">
        <v>216</v>
      </c>
      <c r="K71" s="107" t="s">
        <v>192</v>
      </c>
    </row>
    <row r="72">
      <c r="A72" s="108">
        <f>SUM(D66:D68)</f>
      </c>
      <c r="B72" s="109">
        <f>SUM(E66:E68)</f>
      </c>
      <c r="C72" s="109">
        <f>B72/((K72*300)+A72)</f>
      </c>
      <c r="D72" s="110">
        <f>A72/J72</f>
      </c>
      <c r="E72" s="109">
        <f>B72/J72</f>
      </c>
      <c r="F72" s="111">
        <f>J72/I72</f>
      </c>
      <c r="G72" s="111">
        <f>H72/J72</f>
      </c>
      <c r="H72" s="112">
        <v>0</v>
      </c>
      <c r="I72" s="112">
        <v>12</v>
      </c>
      <c r="J72" s="113">
        <f>F69</f>
      </c>
      <c r="K72" s="113">
        <f>C69</f>
      </c>
    </row>
    <row r="73">
      <c r="A73" s="96" t="s">
        <v>227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</row>
    <row r="74">
      <c r="A74" s="97" t="s">
        <v>190</v>
      </c>
      <c r="B74" s="97" t="s">
        <v>191</v>
      </c>
      <c r="C74" s="97" t="s">
        <v>192</v>
      </c>
      <c r="D74" s="97" t="s">
        <v>193</v>
      </c>
      <c r="E74" s="98" t="s">
        <v>194</v>
      </c>
      <c r="F74" s="97" t="s">
        <v>195</v>
      </c>
      <c r="G74" s="97" t="s">
        <v>196</v>
      </c>
      <c r="H74" s="97" t="s">
        <v>197</v>
      </c>
      <c r="I74" s="97" t="s">
        <v>198</v>
      </c>
      <c r="J74" s="97" t="s">
        <v>199</v>
      </c>
      <c r="K74" s="97"/>
    </row>
    <row r="75">
      <c r="A75" s="99" t="s">
        <v>200</v>
      </c>
      <c r="B75" s="114" t="s">
        <v>225</v>
      </c>
      <c r="C75" s="102">
        <v>5</v>
      </c>
      <c r="D75" s="102">
        <v>5395.62</v>
      </c>
      <c r="E75" s="102">
        <v>7815.599999999999</v>
      </c>
      <c r="F75" s="102">
        <v>3</v>
      </c>
      <c r="G75" s="103">
        <f t="shared" ref="G75:G78" si="39">E75/F75</f>
      </c>
      <c r="H75" s="103">
        <f t="shared" ref="H75:H78" si="70">D75/F75</f>
      </c>
      <c r="I75" s="103">
        <f t="shared" ref="I75:I78" si="101">E75/D75</f>
      </c>
      <c r="J75" s="103">
        <f t="shared" ref="J75:J78" si="8">D75/C75</f>
      </c>
      <c r="K75" s="103"/>
    </row>
    <row r="76">
      <c r="A76" s="99" t="s">
        <v>202</v>
      </c>
      <c r="B76" s="114" t="s">
        <v>226</v>
      </c>
      <c r="C76" s="102">
        <v>3</v>
      </c>
      <c r="D76" s="102">
        <v>2731.7800000000007</v>
      </c>
      <c r="E76" s="102">
        <v>2057.999999999999</v>
      </c>
      <c r="F76" s="102">
        <v>1</v>
      </c>
      <c r="G76" s="103">
        <f t="shared" si="39"/>
      </c>
      <c r="H76" s="103">
        <f t="shared" si="70"/>
      </c>
      <c r="I76" s="103">
        <f t="shared" si="101"/>
      </c>
      <c r="J76" s="103">
        <f t="shared" si="8"/>
      </c>
      <c r="K76" s="103"/>
    </row>
    <row r="77">
      <c r="A77" s="99" t="s">
        <v>221</v>
      </c>
      <c r="B77" s="114" t="s">
        <v>205</v>
      </c>
      <c r="C77" s="102">
        <v>4</v>
      </c>
      <c r="D77" s="102">
        <v>3600.8100000000004</v>
      </c>
      <c r="E77" s="102">
        <v>3591.600000000002</v>
      </c>
      <c r="F77" s="102">
        <v>2</v>
      </c>
      <c r="G77" s="103">
        <f t="shared" si="39"/>
      </c>
      <c r="H77" s="103">
        <f t="shared" si="70"/>
      </c>
      <c r="I77" s="103">
        <f t="shared" si="101"/>
      </c>
      <c r="J77" s="103">
        <f t="shared" si="8"/>
      </c>
      <c r="K77" s="103"/>
    </row>
    <row r="78">
      <c r="A78" s="97" t="s">
        <v>206</v>
      </c>
      <c r="B78" s="97"/>
      <c r="C78" s="97">
        <f>SUM(C75:C77)</f>
      </c>
      <c r="D78" s="97">
        <f>SUM(D75:D77)</f>
      </c>
      <c r="E78" s="97">
        <f>SUM(E75:E77)</f>
      </c>
      <c r="F78" s="97">
        <f>SUM(F75:F77)</f>
      </c>
      <c r="G78" s="104">
        <f t="shared" si="39"/>
      </c>
      <c r="H78" s="104">
        <f t="shared" si="70"/>
      </c>
      <c r="I78" s="104">
        <f t="shared" si="101"/>
      </c>
      <c r="J78" s="104">
        <f t="shared" si="8"/>
      </c>
      <c r="K78" s="104"/>
    </row>
    <row r="79">
      <c r="A79" s="105" t="s">
        <v>207</v>
      </c>
      <c r="B79" s="105"/>
      <c r="C79" s="105"/>
      <c r="D79" s="105"/>
      <c r="E79" s="105"/>
      <c r="F79" s="105"/>
      <c r="G79" s="105"/>
      <c r="H79" s="105"/>
      <c r="I79" s="105"/>
      <c r="J79" s="105"/>
      <c r="K79" s="105"/>
    </row>
    <row r="80">
      <c r="A80" s="106" t="s">
        <v>193</v>
      </c>
      <c r="B80" s="106" t="s">
        <v>208</v>
      </c>
      <c r="C80" s="106" t="s">
        <v>209</v>
      </c>
      <c r="D80" s="106" t="s">
        <v>210</v>
      </c>
      <c r="E80" s="106" t="s">
        <v>211</v>
      </c>
      <c r="F80" s="106" t="s">
        <v>212</v>
      </c>
      <c r="G80" s="106" t="s">
        <v>213</v>
      </c>
      <c r="H80" s="107" t="s">
        <v>214</v>
      </c>
      <c r="I80" s="107" t="s">
        <v>215</v>
      </c>
      <c r="J80" s="107" t="s">
        <v>216</v>
      </c>
      <c r="K80" s="107" t="s">
        <v>192</v>
      </c>
    </row>
    <row r="81">
      <c r="A81" s="108">
        <f>SUM(D75:D77)</f>
      </c>
      <c r="B81" s="109">
        <f>SUM(E75:E77)</f>
      </c>
      <c r="C81" s="109">
        <f>B81/((K81*300)+A81)</f>
      </c>
      <c r="D81" s="110">
        <f>A81/J81</f>
      </c>
      <c r="E81" s="109">
        <f>B81/J81</f>
      </c>
      <c r="F81" s="111">
        <f>J81/I81</f>
      </c>
      <c r="G81" s="111">
        <f>H81/J81</f>
      </c>
      <c r="H81" s="112">
        <v>0</v>
      </c>
      <c r="I81" s="112">
        <v>10</v>
      </c>
      <c r="J81" s="113">
        <f>F78</f>
      </c>
      <c r="K81" s="113">
        <f>C78</f>
      </c>
      <c r="L81" s="115"/>
      <c r="M81" s="115"/>
      <c r="N81" s="115"/>
      <c r="O81" s="115"/>
      <c r="P81" s="115"/>
      <c r="Q81" s="115"/>
      <c r="R81" s="115"/>
    </row>
    <row r="82">
      <c r="A82" s="96" t="s">
        <v>228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115"/>
      <c r="M82" s="115"/>
      <c r="N82" s="115"/>
      <c r="O82" s="115"/>
      <c r="P82" s="115"/>
      <c r="Q82" s="115"/>
      <c r="R82" s="115"/>
      <c r="S82" s="115"/>
      <c r="T82" s="115"/>
    </row>
    <row r="83">
      <c r="A83" s="97" t="s">
        <v>190</v>
      </c>
      <c r="B83" s="97" t="s">
        <v>191</v>
      </c>
      <c r="C83" s="97" t="s">
        <v>192</v>
      </c>
      <c r="D83" s="97" t="s">
        <v>193</v>
      </c>
      <c r="E83" s="98" t="s">
        <v>194</v>
      </c>
      <c r="F83" s="97" t="s">
        <v>195</v>
      </c>
      <c r="G83" s="97" t="s">
        <v>196</v>
      </c>
      <c r="H83" s="97" t="s">
        <v>197</v>
      </c>
      <c r="I83" s="97" t="s">
        <v>198</v>
      </c>
      <c r="J83" s="97" t="s">
        <v>199</v>
      </c>
      <c r="K83" s="97"/>
      <c r="L83" s="115"/>
      <c r="M83" s="115"/>
      <c r="N83" s="115"/>
      <c r="O83" s="115"/>
      <c r="P83" s="115"/>
      <c r="Q83" s="115"/>
      <c r="R83" s="115"/>
      <c r="S83" s="115"/>
      <c r="T83" s="115"/>
    </row>
    <row r="84">
      <c r="A84" s="99" t="s">
        <v>221</v>
      </c>
      <c r="B84" s="114" t="s">
        <v>225</v>
      </c>
      <c r="C84" s="102">
        <v>5</v>
      </c>
      <c r="D84" s="102">
        <v>3341.5399999999995</v>
      </c>
      <c r="E84" s="102">
        <v>0</v>
      </c>
      <c r="F84" s="102">
        <v>0</v>
      </c>
      <c r="G84" s="103">
        <f t="shared" ref="G84:G87" si="40">E84/F84</f>
      </c>
      <c r="H84" s="103">
        <f t="shared" ref="H84:H87" si="71">D84/F84</f>
      </c>
      <c r="I84" s="103">
        <f t="shared" ref="I84:I87" si="102">E84/D84</f>
      </c>
      <c r="J84" s="103">
        <f t="shared" ref="J84:J87" si="9">D84/C84</f>
      </c>
      <c r="K84" s="103"/>
      <c r="L84" s="115"/>
      <c r="M84" s="115"/>
      <c r="N84" s="115"/>
      <c r="O84" s="115"/>
      <c r="P84" s="115"/>
      <c r="Q84" s="115"/>
      <c r="R84" s="115"/>
      <c r="S84" s="115"/>
      <c r="T84" s="115"/>
    </row>
    <row r="85">
      <c r="A85" s="99" t="s">
        <v>202</v>
      </c>
      <c r="B85" s="114" t="s">
        <v>226</v>
      </c>
      <c r="C85" s="102">
        <v>3</v>
      </c>
      <c r="D85" s="102">
        <v>1463.06</v>
      </c>
      <c r="E85" s="102">
        <v>0</v>
      </c>
      <c r="F85" s="102">
        <v>0</v>
      </c>
      <c r="G85" s="103">
        <f t="shared" si="40"/>
      </c>
      <c r="H85" s="103">
        <f t="shared" si="71"/>
      </c>
      <c r="I85" s="103">
        <f t="shared" si="102"/>
      </c>
      <c r="J85" s="103">
        <f t="shared" si="9"/>
      </c>
      <c r="K85" s="103"/>
      <c r="L85" s="115"/>
      <c r="M85" s="115"/>
      <c r="N85" s="115"/>
      <c r="O85" s="115"/>
      <c r="P85" s="115"/>
      <c r="Q85" s="115"/>
      <c r="R85" s="115"/>
      <c r="S85" s="115"/>
      <c r="T85" s="115"/>
    </row>
    <row r="86">
      <c r="A86" s="99" t="s">
        <v>200</v>
      </c>
      <c r="B86" s="114" t="s">
        <v>205</v>
      </c>
      <c r="C86" s="102">
        <v>4</v>
      </c>
      <c r="D86" s="102">
        <v>3968.09</v>
      </c>
      <c r="E86" s="102">
        <v>8676.8</v>
      </c>
      <c r="F86" s="102">
        <v>6</v>
      </c>
      <c r="G86" s="103">
        <f t="shared" si="40"/>
      </c>
      <c r="H86" s="103">
        <f t="shared" si="71"/>
      </c>
      <c r="I86" s="103">
        <f t="shared" si="102"/>
      </c>
      <c r="J86" s="103">
        <f t="shared" si="9"/>
      </c>
      <c r="K86" s="103"/>
      <c r="L86" s="115"/>
      <c r="M86" s="115"/>
      <c r="N86" s="115"/>
      <c r="O86" s="115"/>
      <c r="P86" s="115"/>
      <c r="Q86" s="115"/>
      <c r="R86" s="115"/>
      <c r="S86" s="115"/>
      <c r="T86" s="115"/>
    </row>
    <row r="87">
      <c r="A87" s="97" t="s">
        <v>206</v>
      </c>
      <c r="B87" s="97"/>
      <c r="C87" s="97">
        <f>SUM(C84:C86)</f>
      </c>
      <c r="D87" s="97">
        <f>SUM(D84:D86)</f>
      </c>
      <c r="E87" s="97">
        <f>SUM(E84:E86)</f>
      </c>
      <c r="F87" s="97">
        <f>SUM(F84:F86)</f>
      </c>
      <c r="G87" s="104">
        <f t="shared" si="40"/>
      </c>
      <c r="H87" s="104">
        <f t="shared" si="71"/>
      </c>
      <c r="I87" s="104">
        <f t="shared" si="102"/>
      </c>
      <c r="J87" s="104">
        <f t="shared" si="9"/>
      </c>
      <c r="K87" s="104"/>
      <c r="L87" s="115"/>
      <c r="M87" s="115"/>
      <c r="N87" s="115"/>
      <c r="O87" s="115"/>
      <c r="P87" s="115"/>
      <c r="Q87" s="115"/>
      <c r="R87" s="115"/>
      <c r="S87" s="115"/>
      <c r="T87" s="115"/>
    </row>
    <row r="88">
      <c r="A88" s="105" t="s">
        <v>207</v>
      </c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15"/>
      <c r="M88" s="115"/>
      <c r="N88" s="115"/>
      <c r="O88" s="115"/>
      <c r="P88" s="115"/>
      <c r="Q88" s="115"/>
      <c r="R88" s="115"/>
      <c r="S88" s="115"/>
      <c r="T88" s="115"/>
    </row>
    <row r="89">
      <c r="A89" s="106" t="s">
        <v>193</v>
      </c>
      <c r="B89" s="106" t="s">
        <v>208</v>
      </c>
      <c r="C89" s="106" t="s">
        <v>209</v>
      </c>
      <c r="D89" s="106" t="s">
        <v>210</v>
      </c>
      <c r="E89" s="106" t="s">
        <v>211</v>
      </c>
      <c r="F89" s="106" t="s">
        <v>212</v>
      </c>
      <c r="G89" s="106" t="s">
        <v>213</v>
      </c>
      <c r="H89" s="107" t="s">
        <v>214</v>
      </c>
      <c r="I89" s="107" t="s">
        <v>215</v>
      </c>
      <c r="J89" s="107" t="s">
        <v>216</v>
      </c>
      <c r="K89" s="107" t="s">
        <v>192</v>
      </c>
      <c r="L89" s="115"/>
      <c r="M89" s="115"/>
      <c r="N89" s="115"/>
      <c r="O89" s="115"/>
      <c r="P89" s="115"/>
      <c r="Q89" s="115"/>
      <c r="R89" s="115"/>
      <c r="S89" s="115"/>
      <c r="T89" s="115"/>
    </row>
    <row r="90">
      <c r="A90" s="108">
        <f>SUM(D84:D86)</f>
      </c>
      <c r="B90" s="109">
        <f>SUM(E84:E86)</f>
      </c>
      <c r="C90" s="109">
        <f>B90/((K90*300)+A90)</f>
      </c>
      <c r="D90" s="110">
        <f>A90/J90</f>
      </c>
      <c r="E90" s="109">
        <f>B90/J90</f>
      </c>
      <c r="F90" s="111">
        <f>J90/I90</f>
      </c>
      <c r="G90" s="111">
        <f>H90/J90</f>
      </c>
      <c r="H90" s="112">
        <v>2</v>
      </c>
      <c r="I90" s="112">
        <v>9</v>
      </c>
      <c r="J90" s="113">
        <f>F87</f>
      </c>
      <c r="K90" s="113">
        <f>C87</f>
      </c>
      <c r="L90" s="115"/>
      <c r="M90" s="115"/>
      <c r="N90" s="115"/>
      <c r="O90" s="115"/>
      <c r="P90" s="115"/>
      <c r="Q90" s="115"/>
      <c r="R90" s="115"/>
      <c r="S90" s="115"/>
      <c r="T90" s="115"/>
    </row>
    <row r="91">
      <c r="A91" s="96" t="s">
        <v>229</v>
      </c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115"/>
      <c r="M91" s="115"/>
      <c r="N91" s="115"/>
      <c r="O91" s="115"/>
      <c r="P91" s="115"/>
      <c r="Q91" s="115"/>
      <c r="R91" s="115"/>
      <c r="S91" s="115"/>
      <c r="T91" s="115"/>
    </row>
    <row r="92">
      <c r="A92" s="97" t="s">
        <v>190</v>
      </c>
      <c r="B92" s="97" t="s">
        <v>191</v>
      </c>
      <c r="C92" s="97" t="s">
        <v>192</v>
      </c>
      <c r="D92" s="97" t="s">
        <v>193</v>
      </c>
      <c r="E92" s="98" t="s">
        <v>194</v>
      </c>
      <c r="F92" s="97" t="s">
        <v>195</v>
      </c>
      <c r="G92" s="97" t="s">
        <v>196</v>
      </c>
      <c r="H92" s="97" t="s">
        <v>197</v>
      </c>
      <c r="I92" s="97" t="s">
        <v>198</v>
      </c>
      <c r="J92" s="97" t="s">
        <v>199</v>
      </c>
      <c r="K92" s="97"/>
      <c r="L92" s="115"/>
      <c r="M92" s="115"/>
      <c r="N92" s="115"/>
      <c r="O92" s="115"/>
      <c r="P92" s="115"/>
      <c r="Q92" s="115"/>
      <c r="R92" s="115"/>
      <c r="S92" s="115"/>
      <c r="T92" s="115"/>
    </row>
    <row r="93">
      <c r="A93" s="99" t="s">
        <v>200</v>
      </c>
      <c r="B93" s="114" t="s">
        <v>225</v>
      </c>
      <c r="C93" s="102">
        <v>5</v>
      </c>
      <c r="D93" s="102">
        <v>3992.4399999999996</v>
      </c>
      <c r="E93" s="102">
        <v>11358</v>
      </c>
      <c r="F93" s="102">
        <v>4</v>
      </c>
      <c r="G93" s="103">
        <f t="shared" ref="G93:G96" si="41">E93/F93</f>
      </c>
      <c r="H93" s="103">
        <f t="shared" ref="H93:H96" si="72">D93/F93</f>
      </c>
      <c r="I93" s="103">
        <f t="shared" ref="I93:I96" si="103">E93/D93</f>
      </c>
      <c r="J93" s="103">
        <f t="shared" ref="J93:J96" si="10">D93/C93</f>
      </c>
      <c r="K93" s="103"/>
      <c r="L93" s="115"/>
      <c r="M93" s="115"/>
      <c r="N93" s="115"/>
      <c r="O93" s="115"/>
      <c r="P93" s="115"/>
      <c r="Q93" s="115"/>
      <c r="R93" s="115"/>
      <c r="S93" s="115"/>
      <c r="T93" s="115"/>
    </row>
    <row r="94">
      <c r="A94" s="99" t="s">
        <v>202</v>
      </c>
      <c r="B94" s="114" t="s">
        <v>226</v>
      </c>
      <c r="C94" s="102">
        <v>3</v>
      </c>
      <c r="D94" s="102">
        <v>1846.18</v>
      </c>
      <c r="E94" s="102">
        <v>2894.3999999999996</v>
      </c>
      <c r="F94" s="102">
        <v>2</v>
      </c>
      <c r="G94" s="103">
        <f t="shared" si="41"/>
      </c>
      <c r="H94" s="103">
        <f t="shared" si="72"/>
      </c>
      <c r="I94" s="103">
        <f t="shared" si="103"/>
      </c>
      <c r="J94" s="103">
        <f t="shared" si="10"/>
      </c>
      <c r="K94" s="103"/>
      <c r="L94" s="115"/>
      <c r="M94" s="115"/>
      <c r="N94" s="115"/>
      <c r="O94" s="115"/>
      <c r="P94" s="115"/>
      <c r="Q94" s="115"/>
      <c r="R94" s="115"/>
      <c r="S94" s="115"/>
      <c r="T94" s="115"/>
    </row>
    <row r="95">
      <c r="A95" s="99" t="s">
        <v>221</v>
      </c>
      <c r="B95" s="114" t="s">
        <v>205</v>
      </c>
      <c r="C95" s="102">
        <v>4</v>
      </c>
      <c r="D95" s="102">
        <v>4432.34</v>
      </c>
      <c r="E95" s="102">
        <v>12922.799999999997</v>
      </c>
      <c r="F95" s="102">
        <v>7</v>
      </c>
      <c r="G95" s="103">
        <f t="shared" si="41"/>
      </c>
      <c r="H95" s="103">
        <f t="shared" si="72"/>
      </c>
      <c r="I95" s="103">
        <f t="shared" si="103"/>
      </c>
      <c r="J95" s="103">
        <f t="shared" si="10"/>
      </c>
      <c r="K95" s="103"/>
      <c r="L95" s="115"/>
      <c r="M95" s="115"/>
      <c r="N95" s="115"/>
      <c r="O95" s="115"/>
      <c r="P95" s="115"/>
      <c r="Q95" s="115"/>
      <c r="R95" s="115"/>
      <c r="S95" s="115"/>
      <c r="T95" s="115"/>
    </row>
    <row r="96">
      <c r="A96" s="97" t="s">
        <v>206</v>
      </c>
      <c r="B96" s="97"/>
      <c r="C96" s="97">
        <f>SUM(C93:C95)</f>
      </c>
      <c r="D96" s="97">
        <f>SUM(D93:D95)</f>
      </c>
      <c r="E96" s="97">
        <f>SUM(E93:E95)</f>
      </c>
      <c r="F96" s="97">
        <f>SUM(F93:F95)</f>
      </c>
      <c r="G96" s="104">
        <f t="shared" si="41"/>
      </c>
      <c r="H96" s="104">
        <f t="shared" si="72"/>
      </c>
      <c r="I96" s="104">
        <f t="shared" si="103"/>
      </c>
      <c r="J96" s="104">
        <f t="shared" si="10"/>
      </c>
      <c r="K96" s="104"/>
      <c r="N96" s="115"/>
      <c r="O96" s="115"/>
      <c r="P96" s="115"/>
      <c r="Q96" s="115"/>
      <c r="R96" s="115"/>
      <c r="S96" s="115"/>
      <c r="T96" s="115"/>
    </row>
    <row r="97">
      <c r="A97" s="105" t="s">
        <v>207</v>
      </c>
      <c r="B97" s="105"/>
      <c r="C97" s="105"/>
      <c r="D97" s="105"/>
      <c r="E97" s="105"/>
      <c r="F97" s="105"/>
      <c r="G97" s="105"/>
      <c r="H97" s="105"/>
      <c r="I97" s="105"/>
      <c r="J97" s="105"/>
      <c r="K97" s="105"/>
    </row>
    <row r="98">
      <c r="A98" s="106" t="s">
        <v>193</v>
      </c>
      <c r="B98" s="106" t="s">
        <v>208</v>
      </c>
      <c r="C98" s="106" t="s">
        <v>209</v>
      </c>
      <c r="D98" s="106" t="s">
        <v>210</v>
      </c>
      <c r="E98" s="106" t="s">
        <v>211</v>
      </c>
      <c r="F98" s="106" t="s">
        <v>212</v>
      </c>
      <c r="G98" s="106" t="s">
        <v>213</v>
      </c>
      <c r="H98" s="107" t="s">
        <v>214</v>
      </c>
      <c r="I98" s="107" t="s">
        <v>215</v>
      </c>
      <c r="J98" s="107" t="s">
        <v>216</v>
      </c>
      <c r="K98" s="107" t="s">
        <v>192</v>
      </c>
    </row>
    <row r="99">
      <c r="A99" s="108">
        <f>SUM(D93:D95)</f>
      </c>
      <c r="B99" s="109">
        <f>SUM(E93:E95)</f>
      </c>
      <c r="C99" s="109">
        <f>B99/((K99*300)+A99)</f>
      </c>
      <c r="D99" s="110">
        <f>A99/J99</f>
      </c>
      <c r="E99" s="109">
        <f>B99/J99</f>
      </c>
      <c r="F99" s="111">
        <f>J99/I99</f>
      </c>
      <c r="G99" s="111">
        <f>H99/J99</f>
      </c>
      <c r="H99" s="112">
        <v>2</v>
      </c>
      <c r="I99" s="112">
        <v>18</v>
      </c>
      <c r="J99" s="113">
        <f>F96</f>
      </c>
      <c r="K99" s="113">
        <f>C96</f>
      </c>
    </row>
    <row r="100">
      <c r="A100" s="96" t="s">
        <v>230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</row>
    <row r="101">
      <c r="A101" s="97" t="s">
        <v>190</v>
      </c>
      <c r="B101" s="97" t="s">
        <v>191</v>
      </c>
      <c r="C101" s="97" t="s">
        <v>192</v>
      </c>
      <c r="D101" s="97" t="s">
        <v>193</v>
      </c>
      <c r="E101" s="98" t="s">
        <v>194</v>
      </c>
      <c r="F101" s="97" t="s">
        <v>195</v>
      </c>
      <c r="G101" s="97" t="s">
        <v>196</v>
      </c>
      <c r="H101" s="97" t="s">
        <v>197</v>
      </c>
      <c r="I101" s="97" t="s">
        <v>198</v>
      </c>
      <c r="J101" s="97" t="s">
        <v>199</v>
      </c>
      <c r="K101" s="97"/>
    </row>
    <row r="102">
      <c r="A102" s="99" t="s">
        <v>200</v>
      </c>
      <c r="B102" s="114" t="s">
        <v>225</v>
      </c>
      <c r="C102" s="102">
        <v>5</v>
      </c>
      <c r="D102" s="102">
        <v>5594.749999999999</v>
      </c>
      <c r="E102" s="102">
        <v>6439.799999999999</v>
      </c>
      <c r="F102" s="102">
        <v>5</v>
      </c>
      <c r="G102" s="103">
        <f t="shared" ref="G102:G105" si="42">E102/F102</f>
      </c>
      <c r="H102" s="103">
        <f t="shared" ref="H102:H105" si="73">D102/F102</f>
      </c>
      <c r="I102" s="103">
        <f t="shared" ref="I102:I105" si="104">E102/D102</f>
      </c>
      <c r="J102" s="103">
        <f t="shared" ref="J102:J105" si="11">D102/C102</f>
      </c>
      <c r="K102" s="103"/>
    </row>
    <row r="103">
      <c r="A103" s="99" t="s">
        <v>202</v>
      </c>
      <c r="B103" s="114" t="s">
        <v>226</v>
      </c>
      <c r="C103" s="102">
        <v>3</v>
      </c>
      <c r="D103" s="102">
        <v>3692.97</v>
      </c>
      <c r="E103" s="102">
        <v>5794</v>
      </c>
      <c r="F103" s="102">
        <v>2</v>
      </c>
      <c r="G103" s="103">
        <f t="shared" si="42"/>
      </c>
      <c r="H103" s="103">
        <f t="shared" si="73"/>
      </c>
      <c r="I103" s="103">
        <f t="shared" si="104"/>
      </c>
      <c r="J103" s="103">
        <f t="shared" si="11"/>
      </c>
      <c r="K103" s="103"/>
    </row>
    <row r="104">
      <c r="A104" s="99" t="s">
        <v>221</v>
      </c>
      <c r="B104" s="114" t="s">
        <v>205</v>
      </c>
      <c r="C104" s="102">
        <v>4</v>
      </c>
      <c r="D104" s="102">
        <v>3402.6900000000005</v>
      </c>
      <c r="E104" s="102">
        <v>0</v>
      </c>
      <c r="F104" s="102">
        <v>0</v>
      </c>
      <c r="G104" s="103">
        <f t="shared" si="42"/>
      </c>
      <c r="H104" s="103">
        <f t="shared" si="73"/>
      </c>
      <c r="I104" s="103">
        <f t="shared" si="104"/>
      </c>
      <c r="J104" s="103">
        <f t="shared" si="11"/>
      </c>
      <c r="K104" s="103"/>
    </row>
    <row r="105">
      <c r="A105" s="97" t="s">
        <v>206</v>
      </c>
      <c r="B105" s="97"/>
      <c r="C105" s="97">
        <f>SUM(C102:C104)</f>
      </c>
      <c r="D105" s="97">
        <f>SUM(D102:D104)</f>
      </c>
      <c r="E105" s="97">
        <f>SUM(E102:E104)</f>
      </c>
      <c r="F105" s="97">
        <f>SUM(F102:F104)</f>
      </c>
      <c r="G105" s="104">
        <f t="shared" si="42"/>
      </c>
      <c r="H105" s="104">
        <f t="shared" si="73"/>
      </c>
      <c r="I105" s="104">
        <f t="shared" si="104"/>
      </c>
      <c r="J105" s="104">
        <f t="shared" si="11"/>
      </c>
      <c r="K105" s="104"/>
    </row>
    <row r="106">
      <c r="A106" s="105" t="s">
        <v>207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</row>
    <row r="107">
      <c r="A107" s="106" t="s">
        <v>193</v>
      </c>
      <c r="B107" s="106" t="s">
        <v>208</v>
      </c>
      <c r="C107" s="106" t="s">
        <v>209</v>
      </c>
      <c r="D107" s="106" t="s">
        <v>210</v>
      </c>
      <c r="E107" s="106" t="s">
        <v>211</v>
      </c>
      <c r="F107" s="106" t="s">
        <v>212</v>
      </c>
      <c r="G107" s="106" t="s">
        <v>213</v>
      </c>
      <c r="H107" s="107" t="s">
        <v>214</v>
      </c>
      <c r="I107" s="107" t="s">
        <v>215</v>
      </c>
      <c r="J107" s="107" t="s">
        <v>216</v>
      </c>
      <c r="K107" s="107" t="s">
        <v>192</v>
      </c>
    </row>
    <row r="108">
      <c r="A108" s="108">
        <f>SUM(D102:D104)</f>
      </c>
      <c r="B108" s="109">
        <f>SUM(E102:E104)</f>
      </c>
      <c r="C108" s="109">
        <f>B108/((K108*300)+A108)</f>
      </c>
      <c r="D108" s="110">
        <f>A108/J108</f>
      </c>
      <c r="E108" s="109">
        <f>B108/J108</f>
      </c>
      <c r="F108" s="111">
        <f>J108/I108</f>
      </c>
      <c r="G108" s="111">
        <f>H108/J108</f>
      </c>
      <c r="H108" s="112">
        <v>0</v>
      </c>
      <c r="I108" s="112">
        <v>14</v>
      </c>
      <c r="J108" s="113">
        <f>F105</f>
      </c>
      <c r="K108" s="113">
        <f>C105</f>
      </c>
    </row>
    <row r="109">
      <c r="A109" s="96" t="s">
        <v>231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</row>
    <row r="110">
      <c r="A110" s="97" t="s">
        <v>190</v>
      </c>
      <c r="B110" s="97" t="s">
        <v>191</v>
      </c>
      <c r="C110" s="97" t="s">
        <v>192</v>
      </c>
      <c r="D110" s="97" t="s">
        <v>193</v>
      </c>
      <c r="E110" s="98" t="s">
        <v>194</v>
      </c>
      <c r="F110" s="97" t="s">
        <v>195</v>
      </c>
      <c r="G110" s="97" t="s">
        <v>196</v>
      </c>
      <c r="H110" s="97" t="s">
        <v>197</v>
      </c>
      <c r="I110" s="97" t="s">
        <v>198</v>
      </c>
      <c r="J110" s="97" t="s">
        <v>199</v>
      </c>
      <c r="K110" s="97"/>
    </row>
    <row r="111">
      <c r="A111" s="99" t="s">
        <v>200</v>
      </c>
      <c r="B111" s="114" t="s">
        <v>225</v>
      </c>
      <c r="C111" s="102">
        <v>5</v>
      </c>
      <c r="D111" s="102">
        <v>2845.29</v>
      </c>
      <c r="E111" s="102">
        <v>14113.2</v>
      </c>
      <c r="F111" s="102">
        <v>4</v>
      </c>
      <c r="G111" s="103">
        <f t="shared" ref="G111:G114" si="43">E111/F111</f>
      </c>
      <c r="H111" s="103">
        <f t="shared" ref="H111:H114" si="74">D111/F111</f>
      </c>
      <c r="I111" s="103">
        <f t="shared" ref="I111:I114" si="105">E111/D111</f>
      </c>
      <c r="J111" s="103">
        <f t="shared" ref="J111:J114" si="12">D111/C111</f>
      </c>
      <c r="K111" s="103"/>
      <c r="M111" s="115"/>
      <c r="N111" s="115"/>
      <c r="O111" s="115"/>
      <c r="P111" s="115"/>
      <c r="Q111" s="115"/>
      <c r="R111" s="115"/>
      <c r="S111" s="115"/>
      <c r="T111" s="115"/>
    </row>
    <row r="112">
      <c r="A112" s="99" t="s">
        <v>202</v>
      </c>
      <c r="B112" s="114" t="s">
        <v>226</v>
      </c>
      <c r="C112" s="102">
        <v>3</v>
      </c>
      <c r="D112" s="102">
        <v>2056.33</v>
      </c>
      <c r="E112" s="102">
        <v>5149.2</v>
      </c>
      <c r="F112" s="102">
        <v>3</v>
      </c>
      <c r="G112" s="103">
        <f t="shared" si="43"/>
      </c>
      <c r="H112" s="103">
        <f t="shared" si="74"/>
      </c>
      <c r="I112" s="103">
        <f t="shared" si="105"/>
      </c>
      <c r="J112" s="103">
        <f t="shared" si="12"/>
      </c>
      <c r="K112" s="103"/>
      <c r="M112" s="115"/>
      <c r="N112" s="115"/>
      <c r="O112" s="115"/>
      <c r="P112" s="115"/>
      <c r="Q112" s="115"/>
      <c r="R112" s="115"/>
      <c r="S112" s="115"/>
      <c r="T112" s="115"/>
    </row>
    <row r="113">
      <c r="A113" s="99" t="s">
        <v>221</v>
      </c>
      <c r="B113" s="114" t="s">
        <v>205</v>
      </c>
      <c r="C113" s="102">
        <v>4</v>
      </c>
      <c r="D113" s="102">
        <v>3283.5200000000004</v>
      </c>
      <c r="E113" s="102">
        <v>15838.199999999999</v>
      </c>
      <c r="F113" s="102">
        <v>11</v>
      </c>
      <c r="G113" s="103">
        <f t="shared" si="43"/>
      </c>
      <c r="H113" s="103">
        <f t="shared" si="74"/>
      </c>
      <c r="I113" s="103">
        <f t="shared" si="105"/>
      </c>
      <c r="J113" s="103">
        <f t="shared" si="12"/>
      </c>
      <c r="K113" s="103"/>
      <c r="M113" s="115"/>
      <c r="N113" s="115"/>
      <c r="O113" s="115"/>
      <c r="P113" s="115"/>
      <c r="Q113" s="115"/>
      <c r="R113" s="115"/>
      <c r="S113" s="115"/>
      <c r="T113" s="115"/>
    </row>
    <row r="114">
      <c r="A114" s="97" t="s">
        <v>206</v>
      </c>
      <c r="B114" s="97"/>
      <c r="C114" s="97">
        <f>SUM(C111:C113)</f>
      </c>
      <c r="D114" s="97">
        <f>SUM(D111:D113)</f>
      </c>
      <c r="E114" s="97">
        <f>SUM(E111:E113)</f>
      </c>
      <c r="F114" s="97">
        <f>SUM(F111:F113)</f>
      </c>
      <c r="G114" s="104">
        <f t="shared" si="43"/>
      </c>
      <c r="H114" s="104">
        <f t="shared" si="74"/>
      </c>
      <c r="I114" s="104">
        <f t="shared" si="105"/>
      </c>
      <c r="J114" s="104">
        <f t="shared" si="12"/>
      </c>
      <c r="K114" s="104"/>
      <c r="M114" s="115"/>
      <c r="N114" s="115"/>
      <c r="O114" s="115"/>
      <c r="P114" s="115"/>
      <c r="Q114" s="115"/>
      <c r="R114" s="115"/>
      <c r="S114" s="115"/>
      <c r="T114" s="115"/>
    </row>
    <row r="115">
      <c r="A115" s="105" t="s">
        <v>207</v>
      </c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M115" s="115"/>
      <c r="N115" s="115"/>
      <c r="O115" s="115"/>
      <c r="P115" s="115"/>
      <c r="Q115" s="115"/>
      <c r="R115" s="115"/>
      <c r="S115" s="115"/>
      <c r="T115" s="115"/>
    </row>
    <row r="116">
      <c r="A116" s="106" t="s">
        <v>193</v>
      </c>
      <c r="B116" s="106" t="s">
        <v>208</v>
      </c>
      <c r="C116" s="106" t="s">
        <v>209</v>
      </c>
      <c r="D116" s="106" t="s">
        <v>210</v>
      </c>
      <c r="E116" s="106" t="s">
        <v>211</v>
      </c>
      <c r="F116" s="106" t="s">
        <v>212</v>
      </c>
      <c r="G116" s="106" t="s">
        <v>213</v>
      </c>
      <c r="H116" s="107" t="s">
        <v>214</v>
      </c>
      <c r="I116" s="107" t="s">
        <v>215</v>
      </c>
      <c r="J116" s="107" t="s">
        <v>216</v>
      </c>
      <c r="K116" s="107" t="s">
        <v>192</v>
      </c>
      <c r="M116" s="115"/>
      <c r="N116" s="115"/>
      <c r="O116" s="115"/>
      <c r="P116" s="115"/>
      <c r="Q116" s="115"/>
      <c r="R116" s="115"/>
      <c r="S116" s="115"/>
      <c r="T116" s="115"/>
    </row>
    <row r="117">
      <c r="A117" s="108">
        <f>SUM(D111:D113)</f>
      </c>
      <c r="B117" s="109">
        <f>SUM(E111:E113)</f>
      </c>
      <c r="C117" s="109">
        <f>B117/((K117*300)+A117)</f>
      </c>
      <c r="D117" s="110">
        <f>A117/J117</f>
      </c>
      <c r="E117" s="109">
        <f>B117/J117</f>
      </c>
      <c r="F117" s="111">
        <f>J117/I117</f>
      </c>
      <c r="G117" s="111">
        <f>H117/J117</f>
      </c>
      <c r="H117" s="112">
        <v>6</v>
      </c>
      <c r="I117" s="112">
        <v>20</v>
      </c>
      <c r="J117" s="113">
        <f>F114</f>
      </c>
      <c r="K117" s="113">
        <f>C114</f>
      </c>
      <c r="M117" s="115"/>
      <c r="N117" s="115"/>
      <c r="O117" s="115"/>
      <c r="P117" s="115"/>
      <c r="Q117" s="115"/>
      <c r="R117" s="115"/>
      <c r="S117" s="115"/>
      <c r="T117" s="115"/>
    </row>
    <row customHeight="true" ht="16.071428571428573" r="118">
      <c r="A118" s="96" t="s">
        <v>232</v>
      </c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M118" s="115"/>
      <c r="N118" s="115"/>
      <c r="O118" s="115"/>
      <c r="P118" s="115"/>
      <c r="Q118" s="115"/>
      <c r="R118" s="115"/>
      <c r="S118" s="115"/>
      <c r="T118" s="115"/>
    </row>
    <row customHeight="true" ht="16.071428571428573" r="119">
      <c r="A119" s="97" t="s">
        <v>190</v>
      </c>
      <c r="B119" s="97" t="s">
        <v>191</v>
      </c>
      <c r="C119" s="97" t="s">
        <v>192</v>
      </c>
      <c r="D119" s="97" t="s">
        <v>193</v>
      </c>
      <c r="E119" s="98" t="s">
        <v>194</v>
      </c>
      <c r="F119" s="97" t="s">
        <v>195</v>
      </c>
      <c r="G119" s="97" t="s">
        <v>196</v>
      </c>
      <c r="H119" s="97" t="s">
        <v>197</v>
      </c>
      <c r="I119" s="97" t="s">
        <v>198</v>
      </c>
      <c r="J119" s="97" t="s">
        <v>199</v>
      </c>
      <c r="K119" s="97"/>
      <c r="M119" s="115"/>
      <c r="N119" s="115"/>
      <c r="O119" s="115"/>
      <c r="P119" s="115"/>
      <c r="Q119" s="115"/>
      <c r="R119" s="115"/>
      <c r="S119" s="115"/>
      <c r="T119" s="115"/>
    </row>
    <row customHeight="true" ht="16.071428571428573" r="120">
      <c r="A120" s="99" t="s">
        <v>200</v>
      </c>
      <c r="B120" s="114" t="s">
        <v>225</v>
      </c>
      <c r="C120" s="102">
        <v>5</v>
      </c>
      <c r="D120" s="102">
        <v>4130.929999999999</v>
      </c>
      <c r="E120" s="102">
        <v>567.5999999999999</v>
      </c>
      <c r="F120" s="102">
        <v>1</v>
      </c>
      <c r="G120" s="103">
        <f t="shared" ref="G120:G123" si="44">E120/F120</f>
      </c>
      <c r="H120" s="103">
        <f t="shared" ref="H120:H123" si="75">D120/F120</f>
      </c>
      <c r="I120" s="103">
        <f t="shared" ref="I120:I123" si="106">E120/D120</f>
      </c>
      <c r="J120" s="103">
        <f t="shared" ref="J120:J123" si="13">D120/C120</f>
      </c>
      <c r="K120" s="103"/>
      <c r="M120" s="115"/>
      <c r="N120" s="115"/>
      <c r="O120" s="115"/>
      <c r="P120" s="115"/>
      <c r="Q120" s="115"/>
      <c r="R120" s="115"/>
      <c r="S120" s="115"/>
      <c r="T120" s="115"/>
    </row>
    <row customHeight="true" ht="16.071428571428573" r="121">
      <c r="A121" s="99" t="s">
        <v>202</v>
      </c>
      <c r="B121" s="114" t="s">
        <v>226</v>
      </c>
      <c r="C121" s="102">
        <v>3</v>
      </c>
      <c r="D121" s="102">
        <v>3060.4999999999995</v>
      </c>
      <c r="E121" s="102">
        <v>4239.6</v>
      </c>
      <c r="F121" s="102">
        <v>1</v>
      </c>
      <c r="G121" s="103">
        <f t="shared" si="44"/>
      </c>
      <c r="H121" s="103">
        <f t="shared" si="75"/>
      </c>
      <c r="I121" s="103">
        <f t="shared" si="106"/>
      </c>
      <c r="J121" s="103">
        <f t="shared" si="13"/>
      </c>
      <c r="K121" s="103"/>
      <c r="M121" s="115"/>
      <c r="N121" s="115"/>
      <c r="O121" s="115"/>
      <c r="P121" s="115"/>
      <c r="Q121" s="115"/>
      <c r="R121" s="115"/>
      <c r="S121" s="115"/>
      <c r="T121" s="115"/>
    </row>
    <row customHeight="true" ht="16.071428571428573" r="122">
      <c r="A122" s="99" t="s">
        <v>221</v>
      </c>
      <c r="B122" s="114" t="s">
        <v>233</v>
      </c>
      <c r="C122" s="102">
        <v>1</v>
      </c>
      <c r="D122" s="102">
        <v>757.4599999999999</v>
      </c>
      <c r="E122" s="102">
        <v>4027.2000000000007</v>
      </c>
      <c r="F122" s="102">
        <v>1</v>
      </c>
      <c r="G122" s="103">
        <f t="shared" si="44"/>
      </c>
      <c r="H122" s="103">
        <f t="shared" si="75"/>
      </c>
      <c r="I122" s="103">
        <f t="shared" si="106"/>
      </c>
      <c r="J122" s="103">
        <f t="shared" si="13"/>
      </c>
      <c r="K122" s="103"/>
      <c r="M122" s="115"/>
      <c r="N122" s="115"/>
      <c r="O122" s="115"/>
      <c r="P122" s="115"/>
      <c r="Q122" s="115"/>
      <c r="R122" s="115"/>
      <c r="S122" s="115"/>
      <c r="T122" s="115"/>
    </row>
    <row customHeight="true" ht="16.071428571428573" r="123">
      <c r="A123" s="97" t="s">
        <v>206</v>
      </c>
      <c r="B123" s="97"/>
      <c r="C123" s="97">
        <f>SUM(C120:C122)</f>
      </c>
      <c r="D123" s="97">
        <f>SUM(D120:D122)</f>
      </c>
      <c r="E123" s="97">
        <f>SUM(E120:E122)</f>
      </c>
      <c r="F123" s="97">
        <f>SUM(F120:F122)</f>
      </c>
      <c r="G123" s="104">
        <f t="shared" si="44"/>
      </c>
      <c r="H123" s="104">
        <f t="shared" si="75"/>
      </c>
      <c r="I123" s="104">
        <f t="shared" si="106"/>
      </c>
      <c r="J123" s="104">
        <f t="shared" si="13"/>
      </c>
      <c r="K123" s="104"/>
      <c r="M123" s="115"/>
      <c r="N123" s="115"/>
      <c r="O123" s="115"/>
      <c r="P123" s="115"/>
      <c r="Q123" s="115"/>
      <c r="R123" s="115"/>
      <c r="S123" s="115"/>
      <c r="T123" s="115"/>
    </row>
    <row customHeight="true" ht="16.071428571428573" r="124">
      <c r="A124" s="105" t="s">
        <v>207</v>
      </c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M124" s="115"/>
      <c r="N124" s="115"/>
      <c r="O124" s="115"/>
      <c r="P124" s="115"/>
      <c r="Q124" s="115"/>
      <c r="R124" s="115"/>
      <c r="S124" s="115"/>
      <c r="T124" s="115"/>
    </row>
    <row customHeight="true" ht="16.071428571428573" r="125">
      <c r="A125" s="106" t="s">
        <v>193</v>
      </c>
      <c r="B125" s="106" t="s">
        <v>208</v>
      </c>
      <c r="C125" s="106" t="s">
        <v>209</v>
      </c>
      <c r="D125" s="106" t="s">
        <v>210</v>
      </c>
      <c r="E125" s="106" t="s">
        <v>211</v>
      </c>
      <c r="F125" s="106" t="s">
        <v>212</v>
      </c>
      <c r="G125" s="106" t="s">
        <v>213</v>
      </c>
      <c r="H125" s="107" t="s">
        <v>214</v>
      </c>
      <c r="I125" s="107" t="s">
        <v>215</v>
      </c>
      <c r="J125" s="107" t="s">
        <v>216</v>
      </c>
      <c r="K125" s="107" t="s">
        <v>192</v>
      </c>
      <c r="M125" s="115"/>
      <c r="N125" s="115"/>
      <c r="O125" s="115"/>
      <c r="P125" s="115"/>
      <c r="Q125" s="115"/>
      <c r="R125" s="115"/>
      <c r="S125" s="115"/>
      <c r="T125" s="115"/>
    </row>
    <row customHeight="true" ht="16.071428571428573" r="126">
      <c r="A126" s="108">
        <f>SUM(D120:D122)</f>
      </c>
      <c r="B126" s="109">
        <f>SUM(E120:E122)</f>
      </c>
      <c r="C126" s="109">
        <f>B126/((K126*300)+A126)</f>
      </c>
      <c r="D126" s="110">
        <f>A126/J126</f>
      </c>
      <c r="E126" s="109">
        <f>B126/J126</f>
      </c>
      <c r="F126" s="111">
        <f>J126/I126</f>
      </c>
      <c r="G126" s="111">
        <f>H126/J126</f>
      </c>
      <c r="H126" s="112">
        <v>0</v>
      </c>
      <c r="I126" s="112">
        <v>5</v>
      </c>
      <c r="J126" s="112">
        <v>3</v>
      </c>
      <c r="K126" s="112">
        <v>9</v>
      </c>
      <c r="M126" s="115"/>
      <c r="N126" s="115"/>
      <c r="O126" s="115"/>
      <c r="P126" s="115"/>
      <c r="Q126" s="115"/>
      <c r="R126" s="115"/>
      <c r="S126" s="115"/>
      <c r="T126" s="115"/>
    </row>
    <row r="127">
      <c r="A127" s="96" t="s">
        <v>234</v>
      </c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M127" s="115"/>
      <c r="N127" s="115"/>
      <c r="O127" s="115"/>
      <c r="P127" s="115"/>
      <c r="Q127" s="115"/>
      <c r="R127" s="115"/>
      <c r="S127" s="115"/>
      <c r="T127" s="115"/>
    </row>
    <row r="128">
      <c r="A128" s="97" t="s">
        <v>190</v>
      </c>
      <c r="B128" s="97" t="s">
        <v>191</v>
      </c>
      <c r="C128" s="97" t="s">
        <v>192</v>
      </c>
      <c r="D128" s="97" t="s">
        <v>193</v>
      </c>
      <c r="E128" s="98" t="s">
        <v>194</v>
      </c>
      <c r="F128" s="97" t="s">
        <v>195</v>
      </c>
      <c r="G128" s="97" t="s">
        <v>196</v>
      </c>
      <c r="H128" s="97" t="s">
        <v>197</v>
      </c>
      <c r="I128" s="97" t="s">
        <v>198</v>
      </c>
      <c r="J128" s="97" t="s">
        <v>199</v>
      </c>
      <c r="K128" s="97"/>
      <c r="M128" s="115"/>
      <c r="N128" s="115"/>
      <c r="O128" s="115"/>
      <c r="P128" s="115"/>
      <c r="Q128" s="115"/>
      <c r="R128" s="115"/>
      <c r="S128" s="115"/>
      <c r="T128" s="115"/>
    </row>
    <row r="129">
      <c r="A129" s="99" t="s">
        <v>200</v>
      </c>
      <c r="B129" s="114" t="s">
        <v>201</v>
      </c>
      <c r="C129" s="102">
        <v>4</v>
      </c>
      <c r="D129" s="102">
        <v>2376.67</v>
      </c>
      <c r="E129" s="102">
        <v>12355.2</v>
      </c>
      <c r="F129" s="102">
        <v>4</v>
      </c>
      <c r="G129" s="103">
        <f t="shared" ref="G129:G132" si="45">E129/F129</f>
      </c>
      <c r="H129" s="103">
        <f t="shared" ref="H129:H132" si="76">D129/F129</f>
      </c>
      <c r="I129" s="103">
        <f t="shared" ref="I129:I132" si="107">E129/D129</f>
      </c>
      <c r="J129" s="103">
        <f t="shared" ref="J129:J132" si="14">D129/C129</f>
      </c>
      <c r="K129" s="103"/>
    </row>
    <row r="130">
      <c r="A130" s="99" t="s">
        <v>221</v>
      </c>
      <c r="B130" s="114" t="s">
        <v>203</v>
      </c>
      <c r="C130" s="102">
        <v>4</v>
      </c>
      <c r="D130" s="102">
        <v>2500.87</v>
      </c>
      <c r="E130" s="102">
        <v>1228.8</v>
      </c>
      <c r="F130" s="102">
        <v>1</v>
      </c>
      <c r="G130" s="103">
        <f t="shared" si="45"/>
      </c>
      <c r="H130" s="103">
        <f t="shared" si="76"/>
      </c>
      <c r="I130" s="103">
        <f t="shared" si="107"/>
      </c>
      <c r="J130" s="103">
        <f t="shared" si="14"/>
      </c>
      <c r="K130" s="103"/>
    </row>
    <row r="131">
      <c r="A131" s="99" t="s">
        <v>202</v>
      </c>
      <c r="B131" s="114" t="s">
        <v>205</v>
      </c>
      <c r="C131" s="102">
        <v>4</v>
      </c>
      <c r="D131" s="102">
        <v>2453.7199999999993</v>
      </c>
      <c r="E131" s="102">
        <v>13593.8</v>
      </c>
      <c r="F131" s="102">
        <v>8</v>
      </c>
      <c r="G131" s="103">
        <f t="shared" si="45"/>
      </c>
      <c r="H131" s="103">
        <f t="shared" si="76"/>
      </c>
      <c r="I131" s="103">
        <f t="shared" si="107"/>
      </c>
      <c r="J131" s="103">
        <f t="shared" si="14"/>
      </c>
      <c r="K131" s="103"/>
    </row>
    <row r="132">
      <c r="A132" s="97" t="s">
        <v>206</v>
      </c>
      <c r="B132" s="97"/>
      <c r="C132" s="97">
        <f>SUM(C129:C131)</f>
      </c>
      <c r="D132" s="97">
        <f>SUM(D129:D131)</f>
      </c>
      <c r="E132" s="97">
        <f>SUM(E129:E131)</f>
      </c>
      <c r="F132" s="97">
        <f>SUM(F129:F131)</f>
      </c>
      <c r="G132" s="104">
        <f t="shared" si="45"/>
      </c>
      <c r="H132" s="104">
        <f t="shared" si="76"/>
      </c>
      <c r="I132" s="104">
        <f t="shared" si="107"/>
      </c>
      <c r="J132" s="104">
        <f t="shared" si="14"/>
      </c>
      <c r="K132" s="104"/>
    </row>
    <row r="133">
      <c r="A133" s="105" t="s">
        <v>207</v>
      </c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</row>
    <row r="134">
      <c r="A134" s="106" t="s">
        <v>193</v>
      </c>
      <c r="B134" s="106" t="s">
        <v>208</v>
      </c>
      <c r="C134" s="106" t="s">
        <v>209</v>
      </c>
      <c r="D134" s="106" t="s">
        <v>210</v>
      </c>
      <c r="E134" s="106" t="s">
        <v>211</v>
      </c>
      <c r="F134" s="106" t="s">
        <v>212</v>
      </c>
      <c r="G134" s="106" t="s">
        <v>213</v>
      </c>
      <c r="H134" s="107" t="s">
        <v>214</v>
      </c>
      <c r="I134" s="107" t="s">
        <v>215</v>
      </c>
      <c r="J134" s="107" t="s">
        <v>216</v>
      </c>
      <c r="K134" s="107" t="s">
        <v>192</v>
      </c>
    </row>
    <row r="135">
      <c r="A135" s="108">
        <f>SUM(D129:D131)</f>
      </c>
      <c r="B135" s="109">
        <f>SUM(E129:E131)</f>
      </c>
      <c r="C135" s="109">
        <f>B135/((K135*300)+A135)</f>
      </c>
      <c r="D135" s="110">
        <f>A135/J135</f>
      </c>
      <c r="E135" s="109">
        <f>B135/J135</f>
      </c>
      <c r="F135" s="111">
        <f>J135/I135</f>
      </c>
      <c r="G135" s="111">
        <f>H135/J135</f>
      </c>
      <c r="H135" s="112">
        <v>3</v>
      </c>
      <c r="I135" s="112">
        <v>17</v>
      </c>
      <c r="J135" s="112">
        <f>F132</f>
      </c>
      <c r="K135" s="112">
        <v>12</v>
      </c>
    </row>
    <row r="136">
      <c r="A136" s="96" t="s">
        <v>235</v>
      </c>
      <c r="B136" s="96"/>
      <c r="C136" s="96"/>
      <c r="D136" s="96"/>
      <c r="E136" s="96"/>
      <c r="F136" s="96"/>
      <c r="G136" s="96"/>
      <c r="H136" s="96"/>
      <c r="I136" s="96"/>
      <c r="J136" s="96"/>
      <c r="K136" s="96"/>
    </row>
    <row r="137">
      <c r="A137" s="97" t="s">
        <v>190</v>
      </c>
      <c r="B137" s="97" t="s">
        <v>191</v>
      </c>
      <c r="C137" s="97" t="s">
        <v>192</v>
      </c>
      <c r="D137" s="97" t="s">
        <v>193</v>
      </c>
      <c r="E137" s="98" t="s">
        <v>194</v>
      </c>
      <c r="F137" s="97" t="s">
        <v>195</v>
      </c>
      <c r="G137" s="97" t="s">
        <v>196</v>
      </c>
      <c r="H137" s="97" t="s">
        <v>197</v>
      </c>
      <c r="I137" s="97" t="s">
        <v>198</v>
      </c>
      <c r="J137" s="97" t="s">
        <v>199</v>
      </c>
      <c r="K137" s="97"/>
    </row>
    <row r="138">
      <c r="A138" s="99" t="s">
        <v>200</v>
      </c>
      <c r="B138" s="114" t="s">
        <v>201</v>
      </c>
      <c r="C138" s="102">
        <v>4</v>
      </c>
      <c r="D138" s="102">
        <v>1926.25</v>
      </c>
      <c r="E138" s="102">
        <v>1228.8</v>
      </c>
      <c r="F138" s="102">
        <v>1</v>
      </c>
      <c r="G138" s="103">
        <f t="shared" ref="G138:G141" si="46">E138/F138</f>
      </c>
      <c r="H138" s="103">
        <f t="shared" ref="H138:H141" si="77">D138/F138</f>
      </c>
      <c r="I138" s="103">
        <f t="shared" ref="I138:I141" si="108">E138/D138</f>
      </c>
      <c r="J138" s="103">
        <f t="shared" ref="J138:J141" si="15">D138/C138</f>
      </c>
      <c r="K138" s="103"/>
    </row>
    <row r="139">
      <c r="A139" s="99" t="s">
        <v>221</v>
      </c>
      <c r="B139" s="114" t="s">
        <v>203</v>
      </c>
      <c r="C139" s="102">
        <v>4</v>
      </c>
      <c r="D139" s="102">
        <v>2599.0600000000004</v>
      </c>
      <c r="E139" s="102">
        <v>3754.8</v>
      </c>
      <c r="F139" s="102">
        <v>3</v>
      </c>
      <c r="G139" s="103">
        <f t="shared" si="46"/>
      </c>
      <c r="H139" s="103">
        <f t="shared" si="77"/>
      </c>
      <c r="I139" s="103">
        <f t="shared" si="108"/>
      </c>
      <c r="J139" s="103">
        <f t="shared" si="15"/>
      </c>
      <c r="K139" s="103"/>
    </row>
    <row r="140">
      <c r="A140" s="99" t="s">
        <v>202</v>
      </c>
      <c r="B140" s="114" t="s">
        <v>205</v>
      </c>
      <c r="C140" s="102">
        <v>4</v>
      </c>
      <c r="D140" s="102">
        <v>2657.629999999999</v>
      </c>
      <c r="E140" s="102">
        <v>1088</v>
      </c>
      <c r="F140" s="102">
        <v>1</v>
      </c>
      <c r="G140" s="103">
        <f t="shared" si="46"/>
      </c>
      <c r="H140" s="103">
        <f t="shared" si="77"/>
      </c>
      <c r="I140" s="103">
        <f t="shared" si="108"/>
      </c>
      <c r="J140" s="103">
        <f t="shared" si="15"/>
      </c>
      <c r="K140" s="103"/>
    </row>
    <row r="141">
      <c r="A141" s="97" t="s">
        <v>206</v>
      </c>
      <c r="B141" s="97"/>
      <c r="C141" s="97">
        <f>SUM(C138:C140)</f>
      </c>
      <c r="D141" s="97">
        <f>SUM(D138:D140)</f>
      </c>
      <c r="E141" s="97">
        <f>SUM(E138:E140)</f>
      </c>
      <c r="F141" s="97">
        <f>SUM(F138:F140)</f>
      </c>
      <c r="G141" s="104">
        <f t="shared" si="46"/>
      </c>
      <c r="H141" s="104">
        <f t="shared" si="77"/>
      </c>
      <c r="I141" s="104">
        <f t="shared" si="108"/>
      </c>
      <c r="J141" s="104">
        <f t="shared" si="15"/>
      </c>
      <c r="K141" s="104"/>
    </row>
    <row r="142">
      <c r="A142" s="105" t="s">
        <v>207</v>
      </c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</row>
    <row r="143">
      <c r="A143" s="106" t="s">
        <v>193</v>
      </c>
      <c r="B143" s="106" t="s">
        <v>208</v>
      </c>
      <c r="C143" s="106" t="s">
        <v>209</v>
      </c>
      <c r="D143" s="106" t="s">
        <v>210</v>
      </c>
      <c r="E143" s="106" t="s">
        <v>211</v>
      </c>
      <c r="F143" s="106" t="s">
        <v>212</v>
      </c>
      <c r="G143" s="106" t="s">
        <v>213</v>
      </c>
      <c r="H143" s="107" t="s">
        <v>214</v>
      </c>
      <c r="I143" s="107" t="s">
        <v>215</v>
      </c>
      <c r="J143" s="107" t="s">
        <v>216</v>
      </c>
      <c r="K143" s="107" t="s">
        <v>192</v>
      </c>
    </row>
    <row r="144">
      <c r="A144" s="108">
        <f>SUM(D138:D140)</f>
      </c>
      <c r="B144" s="109">
        <f>SUM(E138:E140)</f>
      </c>
      <c r="C144" s="109">
        <f>B144/((K144*300)+A144)</f>
      </c>
      <c r="D144" s="110">
        <f>A144/J144</f>
      </c>
      <c r="E144" s="109">
        <f>B144/J144</f>
      </c>
      <c r="F144" s="111">
        <f>J144/I144</f>
      </c>
      <c r="G144" s="111">
        <f>H144/J144</f>
      </c>
      <c r="H144" s="112">
        <v>1</v>
      </c>
      <c r="I144" s="112">
        <v>6</v>
      </c>
      <c r="J144" s="112">
        <f>F141</f>
      </c>
      <c r="K144" s="112">
        <v>12</v>
      </c>
    </row>
    <row r="145">
      <c r="A145" s="96" t="s">
        <v>236</v>
      </c>
      <c r="B145" s="96"/>
      <c r="C145" s="96"/>
      <c r="D145" s="96"/>
      <c r="E145" s="96"/>
      <c r="F145" s="96"/>
      <c r="G145" s="96"/>
      <c r="H145" s="96"/>
      <c r="I145" s="96"/>
      <c r="J145" s="96"/>
      <c r="K145" s="96"/>
    </row>
    <row r="146">
      <c r="A146" s="97" t="s">
        <v>190</v>
      </c>
      <c r="B146" s="97" t="s">
        <v>191</v>
      </c>
      <c r="C146" s="97" t="s">
        <v>192</v>
      </c>
      <c r="D146" s="97" t="s">
        <v>193</v>
      </c>
      <c r="E146" s="98" t="s">
        <v>194</v>
      </c>
      <c r="F146" s="97" t="s">
        <v>195</v>
      </c>
      <c r="G146" s="97" t="s">
        <v>196</v>
      </c>
      <c r="H146" s="97" t="s">
        <v>197</v>
      </c>
      <c r="I146" s="97" t="s">
        <v>198</v>
      </c>
      <c r="J146" s="97" t="s">
        <v>199</v>
      </c>
      <c r="K146" s="97"/>
    </row>
    <row r="147">
      <c r="A147" s="99" t="s">
        <v>200</v>
      </c>
      <c r="B147" s="114" t="s">
        <v>201</v>
      </c>
      <c r="C147" s="102">
        <v>4</v>
      </c>
      <c r="D147" s="102">
        <v>1936.0700000000002</v>
      </c>
      <c r="E147" s="102">
        <v>4200.6</v>
      </c>
      <c r="F147" s="102">
        <v>3</v>
      </c>
      <c r="G147" s="103">
        <f t="shared" ref="G147:G150" si="47">E147/F147</f>
      </c>
      <c r="H147" s="103">
        <f t="shared" ref="H147:H150" si="78">D147/F147</f>
      </c>
      <c r="I147" s="103">
        <f t="shared" ref="I147:I150" si="109">E147/D147</f>
      </c>
      <c r="J147" s="103">
        <f t="shared" ref="J147:J150" si="16">D147/C147</f>
      </c>
      <c r="K147" s="103"/>
    </row>
    <row r="148">
      <c r="A148" s="99" t="s">
        <v>221</v>
      </c>
      <c r="B148" s="114" t="s">
        <v>203</v>
      </c>
      <c r="C148" s="102">
        <v>4</v>
      </c>
      <c r="D148" s="102">
        <v>2894.09</v>
      </c>
      <c r="E148" s="102">
        <v>1347.6</v>
      </c>
      <c r="F148" s="102">
        <v>2</v>
      </c>
      <c r="G148" s="103">
        <f t="shared" si="47"/>
      </c>
      <c r="H148" s="103">
        <f t="shared" si="78"/>
      </c>
      <c r="I148" s="103">
        <f t="shared" si="109"/>
      </c>
      <c r="J148" s="103">
        <f t="shared" si="16"/>
      </c>
      <c r="K148" s="103"/>
    </row>
    <row r="149">
      <c r="A149" s="99" t="s">
        <v>202</v>
      </c>
      <c r="B149" s="114" t="s">
        <v>205</v>
      </c>
      <c r="C149" s="102">
        <v>4</v>
      </c>
      <c r="D149" s="102">
        <v>3727.44</v>
      </c>
      <c r="E149" s="102">
        <v>5612.4</v>
      </c>
      <c r="F149" s="102">
        <v>4</v>
      </c>
      <c r="G149" s="103">
        <f t="shared" si="47"/>
      </c>
      <c r="H149" s="103">
        <f t="shared" si="78"/>
      </c>
      <c r="I149" s="103">
        <f t="shared" si="109"/>
      </c>
      <c r="J149" s="103">
        <f t="shared" si="16"/>
      </c>
      <c r="K149" s="103"/>
    </row>
    <row r="150">
      <c r="A150" s="97" t="s">
        <v>206</v>
      </c>
      <c r="B150" s="97"/>
      <c r="C150" s="97">
        <f>SUM(C147:C149)</f>
      </c>
      <c r="D150" s="97">
        <f>SUM(D147:D149)</f>
      </c>
      <c r="E150" s="97">
        <f>SUM(E147:E149)</f>
      </c>
      <c r="F150" s="97">
        <f>SUM(F147:F149)</f>
      </c>
      <c r="G150" s="104">
        <f t="shared" si="47"/>
      </c>
      <c r="H150" s="104">
        <f t="shared" si="78"/>
      </c>
      <c r="I150" s="104">
        <f t="shared" si="109"/>
      </c>
      <c r="J150" s="104">
        <f t="shared" si="16"/>
      </c>
      <c r="K150" s="104"/>
    </row>
    <row r="151">
      <c r="A151" s="105" t="s">
        <v>207</v>
      </c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</row>
    <row r="152">
      <c r="A152" s="106" t="s">
        <v>193</v>
      </c>
      <c r="B152" s="106" t="s">
        <v>208</v>
      </c>
      <c r="C152" s="106" t="s">
        <v>209</v>
      </c>
      <c r="D152" s="106" t="s">
        <v>210</v>
      </c>
      <c r="E152" s="106" t="s">
        <v>211</v>
      </c>
      <c r="F152" s="106" t="s">
        <v>212</v>
      </c>
      <c r="G152" s="106" t="s">
        <v>213</v>
      </c>
      <c r="H152" s="107" t="s">
        <v>214</v>
      </c>
      <c r="I152" s="107" t="s">
        <v>215</v>
      </c>
      <c r="J152" s="107" t="s">
        <v>216</v>
      </c>
      <c r="K152" s="107" t="s">
        <v>192</v>
      </c>
    </row>
    <row r="153">
      <c r="A153" s="108">
        <f>SUM(D147:D149)</f>
      </c>
      <c r="B153" s="109">
        <f>SUM(E147:E149)</f>
      </c>
      <c r="C153" s="109">
        <f>B153/((K153*300)+A153)</f>
      </c>
      <c r="D153" s="110">
        <f>A153/J153</f>
      </c>
      <c r="E153" s="109">
        <f>B153/J153</f>
      </c>
      <c r="F153" s="111">
        <f>J153/I153</f>
      </c>
      <c r="G153" s="111">
        <f>H153/J153</f>
      </c>
      <c r="H153" s="112">
        <v>1</v>
      </c>
      <c r="I153" s="112">
        <v>12</v>
      </c>
      <c r="J153" s="112">
        <f>F150</f>
      </c>
      <c r="K153" s="112">
        <f>C150</f>
      </c>
    </row>
    <row r="154">
      <c r="A154" s="96" t="s">
        <v>237</v>
      </c>
      <c r="B154" s="96"/>
      <c r="C154" s="96"/>
      <c r="D154" s="96"/>
      <c r="E154" s="96"/>
      <c r="F154" s="96"/>
      <c r="G154" s="96"/>
      <c r="H154" s="96"/>
      <c r="I154" s="96"/>
      <c r="J154" s="96"/>
      <c r="K154" s="96"/>
    </row>
    <row r="155">
      <c r="A155" s="97" t="s">
        <v>190</v>
      </c>
      <c r="B155" s="97" t="s">
        <v>191</v>
      </c>
      <c r="C155" s="97" t="s">
        <v>192</v>
      </c>
      <c r="D155" s="97" t="s">
        <v>193</v>
      </c>
      <c r="E155" s="98" t="s">
        <v>194</v>
      </c>
      <c r="F155" s="97" t="s">
        <v>195</v>
      </c>
      <c r="G155" s="97" t="s">
        <v>196</v>
      </c>
      <c r="H155" s="97" t="s">
        <v>197</v>
      </c>
      <c r="I155" s="97" t="s">
        <v>198</v>
      </c>
      <c r="J155" s="97" t="s">
        <v>199</v>
      </c>
      <c r="K155" s="97"/>
    </row>
    <row r="156">
      <c r="A156" s="99" t="s">
        <v>200</v>
      </c>
      <c r="B156" s="114" t="s">
        <v>201</v>
      </c>
      <c r="C156" s="102">
        <v>4</v>
      </c>
      <c r="D156" s="102">
        <v>2526.94</v>
      </c>
      <c r="E156" s="102">
        <v>5133.6</v>
      </c>
      <c r="F156" s="102">
        <v>1</v>
      </c>
      <c r="G156" s="103">
        <f t="shared" ref="G156:G159" si="48">E156/F156</f>
      </c>
      <c r="H156" s="103">
        <f t="shared" ref="H156:H159" si="79">D156/F156</f>
      </c>
      <c r="I156" s="103">
        <f t="shared" ref="I156:I159" si="110">E156/D156</f>
      </c>
      <c r="J156" s="103">
        <f t="shared" ref="J156:J159" si="17">D156/C156</f>
      </c>
      <c r="K156" s="103"/>
    </row>
    <row r="157">
      <c r="A157" s="99" t="s">
        <v>202</v>
      </c>
      <c r="B157" s="114" t="s">
        <v>203</v>
      </c>
      <c r="C157" s="102">
        <v>4</v>
      </c>
      <c r="D157" s="102">
        <v>2886.24</v>
      </c>
      <c r="E157" s="102">
        <v>6322.2</v>
      </c>
      <c r="F157" s="102">
        <v>3</v>
      </c>
      <c r="G157" s="103">
        <f t="shared" si="48"/>
      </c>
      <c r="H157" s="103">
        <f t="shared" si="79"/>
      </c>
      <c r="I157" s="103">
        <f t="shared" si="110"/>
      </c>
      <c r="J157" s="103">
        <f t="shared" si="17"/>
      </c>
      <c r="K157" s="103"/>
    </row>
    <row r="158">
      <c r="A158" s="99" t="s">
        <v>221</v>
      </c>
      <c r="B158" s="114" t="s">
        <v>205</v>
      </c>
      <c r="C158" s="102">
        <v>4</v>
      </c>
      <c r="D158" s="102">
        <v>4439.36</v>
      </c>
      <c r="E158" s="102">
        <v>5112</v>
      </c>
      <c r="F158" s="102">
        <v>4</v>
      </c>
      <c r="G158" s="103">
        <f t="shared" si="48"/>
      </c>
      <c r="H158" s="103">
        <f t="shared" si="79"/>
      </c>
      <c r="I158" s="103">
        <f t="shared" si="110"/>
      </c>
      <c r="J158" s="103">
        <f t="shared" si="17"/>
      </c>
      <c r="K158" s="103"/>
    </row>
    <row r="159">
      <c r="A159" s="97" t="s">
        <v>206</v>
      </c>
      <c r="B159" s="97"/>
      <c r="C159" s="97">
        <f>SUM(C156:C158)</f>
      </c>
      <c r="D159" s="97">
        <f>SUM(D156:D158)</f>
      </c>
      <c r="E159" s="97">
        <f>SUM(E156:E158)</f>
      </c>
      <c r="F159" s="97">
        <f>SUM(F156:F158)</f>
      </c>
      <c r="G159" s="104">
        <f t="shared" si="48"/>
      </c>
      <c r="H159" s="104">
        <f t="shared" si="79"/>
      </c>
      <c r="I159" s="104">
        <f t="shared" si="110"/>
      </c>
      <c r="J159" s="104">
        <f t="shared" si="17"/>
      </c>
      <c r="K159" s="104"/>
    </row>
    <row r="160">
      <c r="A160" s="105" t="s">
        <v>207</v>
      </c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</row>
    <row r="161">
      <c r="A161" s="106" t="s">
        <v>193</v>
      </c>
      <c r="B161" s="106" t="s">
        <v>208</v>
      </c>
      <c r="C161" s="106" t="s">
        <v>209</v>
      </c>
      <c r="D161" s="106" t="s">
        <v>210</v>
      </c>
      <c r="E161" s="106" t="s">
        <v>211</v>
      </c>
      <c r="F161" s="106" t="s">
        <v>212</v>
      </c>
      <c r="G161" s="106" t="s">
        <v>213</v>
      </c>
      <c r="H161" s="107" t="s">
        <v>214</v>
      </c>
      <c r="I161" s="107" t="s">
        <v>215</v>
      </c>
      <c r="J161" s="107" t="s">
        <v>216</v>
      </c>
      <c r="K161" s="107" t="s">
        <v>192</v>
      </c>
    </row>
    <row r="162">
      <c r="A162" s="108">
        <f>SUM(D156:D158)</f>
      </c>
      <c r="B162" s="109">
        <f>SUM(E156:E158)</f>
      </c>
      <c r="C162" s="109">
        <f>B162/((K162*300)+A162)</f>
      </c>
      <c r="D162" s="110">
        <f>A162/J162</f>
      </c>
      <c r="E162" s="109">
        <f>B162/J162</f>
      </c>
      <c r="F162" s="111">
        <f>J162/I162</f>
      </c>
      <c r="G162" s="111">
        <f>H162/J162</f>
      </c>
      <c r="H162" s="112">
        <v>0</v>
      </c>
      <c r="I162" s="112">
        <v>9</v>
      </c>
      <c r="J162" s="112">
        <f>F159</f>
      </c>
      <c r="K162" s="112">
        <f>C159</f>
      </c>
    </row>
    <row r="163">
      <c r="A163" s="96" t="s">
        <v>238</v>
      </c>
      <c r="B163" s="96"/>
      <c r="C163" s="96"/>
      <c r="D163" s="96"/>
      <c r="E163" s="96"/>
      <c r="F163" s="96"/>
      <c r="G163" s="96"/>
      <c r="H163" s="96"/>
      <c r="I163" s="96"/>
      <c r="J163" s="96"/>
      <c r="K163" s="96"/>
    </row>
    <row r="164">
      <c r="A164" s="97" t="s">
        <v>190</v>
      </c>
      <c r="B164" s="97" t="s">
        <v>191</v>
      </c>
      <c r="C164" s="97" t="s">
        <v>192</v>
      </c>
      <c r="D164" s="97" t="s">
        <v>193</v>
      </c>
      <c r="E164" s="98" t="s">
        <v>194</v>
      </c>
      <c r="F164" s="97" t="s">
        <v>195</v>
      </c>
      <c r="G164" s="97" t="s">
        <v>196</v>
      </c>
      <c r="H164" s="97" t="s">
        <v>197</v>
      </c>
      <c r="I164" s="97" t="s">
        <v>198</v>
      </c>
      <c r="J164" s="97" t="s">
        <v>199</v>
      </c>
      <c r="K164" s="97"/>
    </row>
    <row r="165">
      <c r="A165" s="99" t="s">
        <v>200</v>
      </c>
      <c r="B165" s="114" t="s">
        <v>239</v>
      </c>
      <c r="C165" s="102">
        <v>6</v>
      </c>
      <c r="D165" s="102">
        <v>5518.97</v>
      </c>
      <c r="E165" s="102">
        <v>12088.2</v>
      </c>
      <c r="F165" s="102">
        <v>10</v>
      </c>
      <c r="G165" s="103">
        <f t="shared" ref="G165:G167" si="49">E165/F165</f>
      </c>
      <c r="H165" s="103">
        <f t="shared" ref="H165:H167" si="80">D165/F165</f>
      </c>
      <c r="I165" s="103">
        <f t="shared" ref="I165:I167" si="111">E165/D165</f>
      </c>
      <c r="J165" s="103">
        <f t="shared" ref="J165:J167" si="18">D165/C165</f>
      </c>
      <c r="K165" s="103"/>
    </row>
    <row r="166">
      <c r="A166" s="99" t="s">
        <v>202</v>
      </c>
      <c r="B166" s="114" t="s">
        <v>240</v>
      </c>
      <c r="C166" s="102">
        <v>6</v>
      </c>
      <c r="D166" s="102">
        <v>7011.14</v>
      </c>
      <c r="E166" s="102">
        <v>7171.2</v>
      </c>
      <c r="F166" s="102">
        <v>5</v>
      </c>
      <c r="G166" s="103">
        <f t="shared" si="49"/>
      </c>
      <c r="H166" s="103">
        <f t="shared" si="80"/>
      </c>
      <c r="I166" s="103">
        <f t="shared" si="111"/>
      </c>
      <c r="J166" s="103">
        <f t="shared" si="18"/>
      </c>
      <c r="K166" s="103"/>
    </row>
    <row r="167">
      <c r="A167" s="97" t="s">
        <v>206</v>
      </c>
      <c r="B167" s="97"/>
      <c r="C167" s="97">
        <f>SUM(C165:C166)</f>
      </c>
      <c r="D167" s="97">
        <f>SUM(D165:D166)</f>
      </c>
      <c r="E167" s="97">
        <f>SUM(E165:E166)</f>
      </c>
      <c r="F167" s="97">
        <f>SUM(F165:F166)</f>
      </c>
      <c r="G167" s="104">
        <f t="shared" si="49"/>
      </c>
      <c r="H167" s="104">
        <f t="shared" si="80"/>
      </c>
      <c r="I167" s="104">
        <f t="shared" si="111"/>
      </c>
      <c r="J167" s="104">
        <f t="shared" si="18"/>
      </c>
      <c r="K167" s="104"/>
    </row>
    <row r="168">
      <c r="A168" s="105" t="s">
        <v>207</v>
      </c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</row>
    <row r="169">
      <c r="A169" s="106" t="s">
        <v>193</v>
      </c>
      <c r="B169" s="106" t="s">
        <v>208</v>
      </c>
      <c r="C169" s="106" t="s">
        <v>209</v>
      </c>
      <c r="D169" s="106" t="s">
        <v>210</v>
      </c>
      <c r="E169" s="106" t="s">
        <v>211</v>
      </c>
      <c r="F169" s="106" t="s">
        <v>212</v>
      </c>
      <c r="G169" s="106" t="s">
        <v>213</v>
      </c>
      <c r="H169" s="107" t="s">
        <v>214</v>
      </c>
      <c r="I169" s="107" t="s">
        <v>215</v>
      </c>
      <c r="J169" s="107" t="s">
        <v>216</v>
      </c>
      <c r="K169" s="107" t="s">
        <v>192</v>
      </c>
    </row>
    <row r="170">
      <c r="A170" s="108">
        <f>SUM(D165:D166)</f>
      </c>
      <c r="B170" s="109">
        <f>SUM(E165:E166)</f>
      </c>
      <c r="C170" s="109">
        <f>B170/((K170*300)+A170)</f>
      </c>
      <c r="D170" s="110">
        <f>A170/J170</f>
      </c>
      <c r="E170" s="109">
        <f>B170/J170</f>
      </c>
      <c r="F170" s="111">
        <f>J170/I170</f>
      </c>
      <c r="G170" s="111">
        <f>H170/J170</f>
      </c>
      <c r="H170" s="112">
        <v>2</v>
      </c>
      <c r="I170" s="112">
        <v>22</v>
      </c>
      <c r="J170" s="112">
        <f>F167</f>
      </c>
      <c r="K170" s="112">
        <f>C167</f>
      </c>
    </row>
    <row r="171">
      <c r="A171" s="96" t="s">
        <v>241</v>
      </c>
      <c r="B171" s="96"/>
      <c r="C171" s="96"/>
      <c r="D171" s="96"/>
      <c r="E171" s="96"/>
      <c r="F171" s="96"/>
      <c r="G171" s="96"/>
      <c r="H171" s="96"/>
      <c r="I171" s="96"/>
      <c r="J171" s="96"/>
      <c r="K171" s="96"/>
    </row>
    <row r="172">
      <c r="A172" s="97" t="s">
        <v>190</v>
      </c>
      <c r="B172" s="97" t="s">
        <v>191</v>
      </c>
      <c r="C172" s="97" t="s">
        <v>192</v>
      </c>
      <c r="D172" s="97" t="s">
        <v>193</v>
      </c>
      <c r="E172" s="98" t="s">
        <v>194</v>
      </c>
      <c r="F172" s="97" t="s">
        <v>195</v>
      </c>
      <c r="G172" s="97" t="s">
        <v>196</v>
      </c>
      <c r="H172" s="97" t="s">
        <v>197</v>
      </c>
      <c r="I172" s="97" t="s">
        <v>198</v>
      </c>
      <c r="J172" s="97" t="s">
        <v>199</v>
      </c>
      <c r="K172" s="97"/>
    </row>
    <row r="173">
      <c r="A173" s="99" t="s">
        <v>200</v>
      </c>
      <c r="B173" s="114" t="s">
        <v>201</v>
      </c>
      <c r="C173" s="102">
        <v>4</v>
      </c>
      <c r="D173" s="102">
        <v>3335.64</v>
      </c>
      <c r="E173" s="102">
        <v>1453.2</v>
      </c>
      <c r="F173" s="102">
        <v>2</v>
      </c>
      <c r="G173" s="103">
        <f t="shared" ref="G173:G176" si="50">E173/F173</f>
      </c>
      <c r="H173" s="103">
        <f t="shared" ref="H173:H176" si="81">D173/F173</f>
      </c>
      <c r="I173" s="103">
        <f t="shared" ref="I173:I176" si="112">E173/D173</f>
      </c>
      <c r="J173" s="103">
        <f t="shared" ref="J173:J176" si="19">D173/C173</f>
      </c>
      <c r="K173" s="103"/>
    </row>
    <row r="174">
      <c r="A174" s="99" t="s">
        <v>221</v>
      </c>
      <c r="B174" s="114" t="s">
        <v>203</v>
      </c>
      <c r="C174" s="102">
        <v>4</v>
      </c>
      <c r="D174" s="102">
        <v>4688.49</v>
      </c>
      <c r="E174" s="102">
        <v>7123.2</v>
      </c>
      <c r="F174" s="102">
        <v>3</v>
      </c>
      <c r="G174" s="103">
        <f t="shared" si="50"/>
      </c>
      <c r="H174" s="103">
        <f t="shared" si="81"/>
      </c>
      <c r="I174" s="103">
        <f t="shared" si="112"/>
      </c>
      <c r="J174" s="103">
        <f t="shared" si="19"/>
      </c>
      <c r="K174" s="103"/>
    </row>
    <row r="175">
      <c r="A175" s="99" t="s">
        <v>202</v>
      </c>
      <c r="B175" s="114" t="s">
        <v>205</v>
      </c>
      <c r="C175" s="102">
        <v>4</v>
      </c>
      <c r="D175" s="102">
        <v>7074.98</v>
      </c>
      <c r="E175" s="102">
        <v>7723.8</v>
      </c>
      <c r="F175" s="102">
        <v>4</v>
      </c>
      <c r="G175" s="103">
        <f t="shared" si="50"/>
      </c>
      <c r="H175" s="103">
        <f t="shared" si="81"/>
      </c>
      <c r="I175" s="103">
        <f t="shared" si="112"/>
      </c>
      <c r="J175" s="103">
        <f t="shared" si="19"/>
      </c>
      <c r="K175" s="103"/>
    </row>
    <row r="176">
      <c r="A176" s="97" t="s">
        <v>206</v>
      </c>
      <c r="B176" s="97"/>
      <c r="C176" s="97">
        <f>SUM(C173:C175)</f>
      </c>
      <c r="D176" s="97">
        <f>SUM(D173:D175)</f>
      </c>
      <c r="E176" s="97">
        <f>SUM(E173:E175)</f>
      </c>
      <c r="F176" s="97">
        <f>SUM(F173:F175)</f>
      </c>
      <c r="G176" s="104">
        <f t="shared" si="50"/>
      </c>
      <c r="H176" s="104">
        <f t="shared" si="81"/>
      </c>
      <c r="I176" s="104">
        <f t="shared" si="112"/>
      </c>
      <c r="J176" s="104">
        <f t="shared" si="19"/>
      </c>
      <c r="K176" s="104"/>
    </row>
    <row r="177">
      <c r="A177" s="105" t="s">
        <v>207</v>
      </c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</row>
    <row r="178">
      <c r="A178" s="106" t="s">
        <v>193</v>
      </c>
      <c r="B178" s="106" t="s">
        <v>208</v>
      </c>
      <c r="C178" s="106" t="s">
        <v>209</v>
      </c>
      <c r="D178" s="106" t="s">
        <v>210</v>
      </c>
      <c r="E178" s="106" t="s">
        <v>211</v>
      </c>
      <c r="F178" s="106" t="s">
        <v>212</v>
      </c>
      <c r="G178" s="106" t="s">
        <v>213</v>
      </c>
      <c r="H178" s="107" t="s">
        <v>214</v>
      </c>
      <c r="I178" s="107" t="s">
        <v>215</v>
      </c>
      <c r="J178" s="107" t="s">
        <v>216</v>
      </c>
      <c r="K178" s="107" t="s">
        <v>192</v>
      </c>
    </row>
    <row r="179">
      <c r="A179" s="108">
        <f>SUM(D173:D175)</f>
      </c>
      <c r="B179" s="109">
        <f>SUM(E173:E175)</f>
      </c>
      <c r="C179" s="109">
        <f>B179/((K179*300)+A179)</f>
      </c>
      <c r="D179" s="110">
        <f>A179/J179</f>
      </c>
      <c r="E179" s="109">
        <f>B179/J179</f>
      </c>
      <c r="F179" s="111">
        <f>J179/I179</f>
      </c>
      <c r="G179" s="111">
        <f>H179/J179</f>
      </c>
      <c r="H179" s="112">
        <v>0</v>
      </c>
      <c r="I179" s="112">
        <v>18</v>
      </c>
      <c r="J179" s="112">
        <f>F176</f>
      </c>
      <c r="K179" s="112">
        <f>C176</f>
      </c>
    </row>
    <row r="180">
      <c r="A180" s="96" t="s">
        <v>242</v>
      </c>
      <c r="B180" s="96"/>
      <c r="C180" s="96"/>
      <c r="D180" s="96"/>
      <c r="E180" s="96"/>
      <c r="F180" s="96"/>
      <c r="G180" s="96"/>
      <c r="H180" s="96"/>
      <c r="I180" s="96"/>
      <c r="J180" s="96"/>
      <c r="K180" s="96"/>
    </row>
    <row r="181">
      <c r="A181" s="97" t="s">
        <v>190</v>
      </c>
      <c r="B181" s="97" t="s">
        <v>191</v>
      </c>
      <c r="C181" s="97" t="s">
        <v>192</v>
      </c>
      <c r="D181" s="97" t="s">
        <v>193</v>
      </c>
      <c r="E181" s="98" t="s">
        <v>194</v>
      </c>
      <c r="F181" s="97" t="s">
        <v>195</v>
      </c>
      <c r="G181" s="97" t="s">
        <v>196</v>
      </c>
      <c r="H181" s="97" t="s">
        <v>197</v>
      </c>
      <c r="I181" s="97" t="s">
        <v>198</v>
      </c>
      <c r="J181" s="97" t="s">
        <v>199</v>
      </c>
      <c r="K181" s="97"/>
    </row>
    <row r="182">
      <c r="A182" s="99" t="s">
        <v>200</v>
      </c>
      <c r="B182" s="114" t="s">
        <v>201</v>
      </c>
      <c r="C182" s="102">
        <v>4</v>
      </c>
      <c r="D182" s="102">
        <v>3759.4</v>
      </c>
      <c r="E182" s="102">
        <v>15985.2</v>
      </c>
      <c r="F182" s="102">
        <v>7</v>
      </c>
      <c r="G182" s="103">
        <f t="shared" ref="G182:G185" si="51">E182/F182</f>
      </c>
      <c r="H182" s="103">
        <f t="shared" ref="H182:H185" si="82">D182/F182</f>
      </c>
      <c r="I182" s="103">
        <f t="shared" ref="I182:I185" si="113">E182/D182</f>
      </c>
      <c r="J182" s="103">
        <f t="shared" ref="J182:J185" si="20">D182/C182</f>
      </c>
      <c r="K182" s="103"/>
    </row>
    <row r="183">
      <c r="A183" s="99" t="s">
        <v>221</v>
      </c>
      <c r="B183" s="114" t="s">
        <v>203</v>
      </c>
      <c r="C183" s="102">
        <v>4</v>
      </c>
      <c r="D183" s="102">
        <v>4175.21</v>
      </c>
      <c r="E183" s="102">
        <v>2110.8</v>
      </c>
      <c r="F183" s="102">
        <v>1</v>
      </c>
      <c r="G183" s="103">
        <f t="shared" si="51"/>
      </c>
      <c r="H183" s="103">
        <f t="shared" si="82"/>
      </c>
      <c r="I183" s="103">
        <f t="shared" si="113"/>
      </c>
      <c r="J183" s="103">
        <f t="shared" si="20"/>
      </c>
      <c r="K183" s="103"/>
    </row>
    <row r="184">
      <c r="A184" s="99" t="s">
        <v>202</v>
      </c>
      <c r="B184" s="114" t="s">
        <v>205</v>
      </c>
      <c r="C184" s="102">
        <v>4</v>
      </c>
      <c r="D184" s="102">
        <v>3606.94</v>
      </c>
      <c r="E184" s="102">
        <v>8250</v>
      </c>
      <c r="F184" s="102">
        <v>5</v>
      </c>
      <c r="G184" s="103">
        <f t="shared" si="51"/>
      </c>
      <c r="H184" s="103">
        <f t="shared" si="82"/>
      </c>
      <c r="I184" s="103">
        <f t="shared" si="113"/>
      </c>
      <c r="J184" s="103">
        <f t="shared" si="20"/>
      </c>
      <c r="K184" s="103"/>
    </row>
    <row r="185">
      <c r="A185" s="97" t="s">
        <v>206</v>
      </c>
      <c r="B185" s="97"/>
      <c r="C185" s="97">
        <f>SUM(C182:C184)</f>
      </c>
      <c r="D185" s="97">
        <f>SUM(D182:D184)</f>
      </c>
      <c r="E185" s="97">
        <f>SUM(E182:E184)</f>
      </c>
      <c r="F185" s="97">
        <f>SUM(F182:F184)</f>
      </c>
      <c r="G185" s="104">
        <f t="shared" si="51"/>
      </c>
      <c r="H185" s="104">
        <f t="shared" si="82"/>
      </c>
      <c r="I185" s="104">
        <f t="shared" si="113"/>
      </c>
      <c r="J185" s="104">
        <f t="shared" si="20"/>
      </c>
      <c r="K185" s="104"/>
    </row>
    <row r="186">
      <c r="A186" s="105" t="s">
        <v>207</v>
      </c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>
      <c r="A187" s="106" t="s">
        <v>193</v>
      </c>
      <c r="B187" s="106" t="s">
        <v>208</v>
      </c>
      <c r="C187" s="106" t="s">
        <v>209</v>
      </c>
      <c r="D187" s="106" t="s">
        <v>210</v>
      </c>
      <c r="E187" s="106" t="s">
        <v>211</v>
      </c>
      <c r="F187" s="106" t="s">
        <v>212</v>
      </c>
      <c r="G187" s="106" t="s">
        <v>213</v>
      </c>
      <c r="H187" s="107" t="s">
        <v>214</v>
      </c>
      <c r="I187" s="107" t="s">
        <v>215</v>
      </c>
      <c r="J187" s="107" t="s">
        <v>216</v>
      </c>
      <c r="K187" s="107" t="s">
        <v>192</v>
      </c>
    </row>
    <row r="188">
      <c r="A188" s="108">
        <f>SUM(D182:D184)</f>
      </c>
      <c r="B188" s="109">
        <f>SUM(E182:E184)</f>
      </c>
      <c r="C188" s="109">
        <f>B188/((K188*300)+A188)</f>
      </c>
      <c r="D188" s="110">
        <f>A188/J188</f>
      </c>
      <c r="E188" s="109">
        <f>B188/J188</f>
      </c>
      <c r="F188" s="111">
        <f>J188/I188</f>
      </c>
      <c r="G188" s="111">
        <f>H188/J188</f>
      </c>
      <c r="H188" s="112">
        <v>1</v>
      </c>
      <c r="I188" s="112">
        <v>14</v>
      </c>
      <c r="J188" s="112">
        <f>F185</f>
      </c>
      <c r="K188" s="112">
        <f>C185</f>
      </c>
    </row>
    <row r="189">
      <c r="A189" s="96" t="s">
        <v>243</v>
      </c>
      <c r="B189" s="96"/>
      <c r="C189" s="96"/>
      <c r="D189" s="96"/>
      <c r="E189" s="96"/>
      <c r="F189" s="96"/>
      <c r="G189" s="96"/>
      <c r="H189" s="96"/>
      <c r="I189" s="96"/>
      <c r="J189" s="96"/>
      <c r="K189" s="96"/>
    </row>
    <row r="190">
      <c r="A190" s="97" t="s">
        <v>190</v>
      </c>
      <c r="B190" s="97" t="s">
        <v>191</v>
      </c>
      <c r="C190" s="97" t="s">
        <v>192</v>
      </c>
      <c r="D190" s="97" t="s">
        <v>193</v>
      </c>
      <c r="E190" s="98" t="s">
        <v>194</v>
      </c>
      <c r="F190" s="97" t="s">
        <v>195</v>
      </c>
      <c r="G190" s="97" t="s">
        <v>196</v>
      </c>
      <c r="H190" s="97" t="s">
        <v>197</v>
      </c>
      <c r="I190" s="97" t="s">
        <v>198</v>
      </c>
      <c r="J190" s="97" t="s">
        <v>199</v>
      </c>
      <c r="K190" s="97"/>
    </row>
    <row r="191">
      <c r="A191" s="99" t="s">
        <v>200</v>
      </c>
      <c r="B191" s="114" t="s">
        <v>201</v>
      </c>
      <c r="C191" s="102">
        <v>4</v>
      </c>
      <c r="D191" s="102">
        <v>2264.71</v>
      </c>
      <c r="E191" s="102">
        <v>10984.8</v>
      </c>
      <c r="F191" s="102">
        <v>3</v>
      </c>
      <c r="G191" s="103">
        <f t="shared" ref="G191:G194" si="52">E191/F191</f>
      </c>
      <c r="H191" s="103">
        <f t="shared" ref="H191:H194" si="83">D191/F191</f>
      </c>
      <c r="I191" s="103">
        <f t="shared" ref="I191:I194" si="114">E191/D191</f>
      </c>
      <c r="J191" s="103">
        <f t="shared" ref="J191:J194" si="21">D191/C191</f>
      </c>
      <c r="K191" s="103"/>
    </row>
    <row r="192">
      <c r="A192" s="99" t="s">
        <v>202</v>
      </c>
      <c r="B192" s="114" t="s">
        <v>203</v>
      </c>
      <c r="C192" s="102">
        <v>4</v>
      </c>
      <c r="D192" s="102">
        <v>2999.63</v>
      </c>
      <c r="E192" s="102">
        <v>13874.4</v>
      </c>
      <c r="F192" s="102">
        <v>4</v>
      </c>
      <c r="G192" s="103">
        <f t="shared" si="52"/>
      </c>
      <c r="H192" s="103">
        <f t="shared" si="83"/>
      </c>
      <c r="I192" s="103">
        <f t="shared" si="114"/>
      </c>
      <c r="J192" s="103">
        <f t="shared" si="21"/>
      </c>
      <c r="K192" s="103"/>
    </row>
    <row r="193">
      <c r="A193" s="99" t="s">
        <v>221</v>
      </c>
      <c r="B193" s="114" t="s">
        <v>205</v>
      </c>
      <c r="C193" s="102">
        <v>4</v>
      </c>
      <c r="D193" s="102">
        <v>4280.38</v>
      </c>
      <c r="E193" s="102">
        <v>6170.4</v>
      </c>
      <c r="F193" s="102">
        <v>2</v>
      </c>
      <c r="G193" s="103">
        <f t="shared" si="52"/>
      </c>
      <c r="H193" s="103">
        <f t="shared" si="83"/>
      </c>
      <c r="I193" s="103">
        <f t="shared" si="114"/>
      </c>
      <c r="J193" s="103">
        <f t="shared" si="21"/>
      </c>
      <c r="K193" s="103"/>
    </row>
    <row r="194">
      <c r="A194" s="97" t="s">
        <v>206</v>
      </c>
      <c r="B194" s="97"/>
      <c r="C194" s="97">
        <f>SUM(C191:C193)</f>
      </c>
      <c r="D194" s="97">
        <f>SUM(D191:D193)</f>
      </c>
      <c r="E194" s="97">
        <f>SUM(E191:E193)</f>
      </c>
      <c r="F194" s="97">
        <f>SUM(F191:F193)</f>
      </c>
      <c r="G194" s="104">
        <f t="shared" si="52"/>
      </c>
      <c r="H194" s="104">
        <f t="shared" si="83"/>
      </c>
      <c r="I194" s="104">
        <f t="shared" si="114"/>
      </c>
      <c r="J194" s="104">
        <f t="shared" si="21"/>
      </c>
      <c r="K194" s="104"/>
    </row>
    <row r="195">
      <c r="A195" s="105" t="s">
        <v>207</v>
      </c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</row>
    <row r="196">
      <c r="A196" s="106" t="s">
        <v>193</v>
      </c>
      <c r="B196" s="106" t="s">
        <v>208</v>
      </c>
      <c r="C196" s="106" t="s">
        <v>209</v>
      </c>
      <c r="D196" s="106" t="s">
        <v>210</v>
      </c>
      <c r="E196" s="106" t="s">
        <v>211</v>
      </c>
      <c r="F196" s="106" t="s">
        <v>212</v>
      </c>
      <c r="G196" s="106" t="s">
        <v>213</v>
      </c>
      <c r="H196" s="107" t="s">
        <v>214</v>
      </c>
      <c r="I196" s="107" t="s">
        <v>215</v>
      </c>
      <c r="J196" s="107" t="s">
        <v>216</v>
      </c>
      <c r="K196" s="107" t="s">
        <v>192</v>
      </c>
    </row>
    <row r="197">
      <c r="A197" s="108">
        <f>SUM(D191:D193)</f>
      </c>
      <c r="B197" s="109">
        <f>SUM(E191:E193)</f>
      </c>
      <c r="C197" s="109">
        <f>B197/((K197*300)+A197)</f>
      </c>
      <c r="D197" s="110">
        <f>A197/J197</f>
      </c>
      <c r="E197" s="109">
        <f>B197/J197</f>
      </c>
      <c r="F197" s="111">
        <f>J197/I197</f>
      </c>
      <c r="G197" s="111">
        <f>H197/J197</f>
      </c>
      <c r="H197" s="112">
        <v>1</v>
      </c>
      <c r="I197" s="112">
        <v>12</v>
      </c>
      <c r="J197" s="112">
        <f>F194</f>
      </c>
      <c r="K197" s="112">
        <f>C194</f>
      </c>
    </row>
    <row r="198">
      <c r="A198" s="96" t="s">
        <v>244</v>
      </c>
      <c r="B198" s="96"/>
      <c r="C198" s="96"/>
      <c r="D198" s="96"/>
      <c r="E198" s="96"/>
      <c r="F198" s="96"/>
      <c r="G198" s="96"/>
      <c r="H198" s="96"/>
      <c r="I198" s="96"/>
      <c r="J198" s="96"/>
      <c r="K198" s="96"/>
    </row>
    <row r="199">
      <c r="A199" s="97" t="s">
        <v>190</v>
      </c>
      <c r="B199" s="97" t="s">
        <v>191</v>
      </c>
      <c r="C199" s="97" t="s">
        <v>192</v>
      </c>
      <c r="D199" s="97" t="s">
        <v>193</v>
      </c>
      <c r="E199" s="98" t="s">
        <v>194</v>
      </c>
      <c r="F199" s="97" t="s">
        <v>195</v>
      </c>
      <c r="G199" s="97" t="s">
        <v>196</v>
      </c>
      <c r="H199" s="97" t="s">
        <v>197</v>
      </c>
      <c r="I199" s="97" t="s">
        <v>198</v>
      </c>
      <c r="J199" s="97" t="s">
        <v>199</v>
      </c>
      <c r="K199" s="97"/>
    </row>
    <row r="200">
      <c r="A200" s="99" t="s">
        <v>200</v>
      </c>
      <c r="B200" s="114" t="s">
        <v>201</v>
      </c>
      <c r="C200" s="102">
        <v>4</v>
      </c>
      <c r="D200" s="102">
        <v>4389.93</v>
      </c>
      <c r="E200" s="102">
        <v>14208</v>
      </c>
      <c r="F200" s="102">
        <v>4</v>
      </c>
      <c r="G200" s="103">
        <f t="shared" ref="G200:G203" si="53">E200/F200</f>
      </c>
      <c r="H200" s="103">
        <f t="shared" ref="H200:H203" si="84">D200/F200</f>
      </c>
      <c r="I200" s="103">
        <f t="shared" ref="I200:I203" si="115">E200/D200</f>
      </c>
      <c r="J200" s="103">
        <f t="shared" ref="J200:J203" si="22">D200/C200</f>
      </c>
      <c r="K200" s="103"/>
    </row>
    <row r="201">
      <c r="A201" s="99" t="s">
        <v>221</v>
      </c>
      <c r="B201" s="114" t="s">
        <v>203</v>
      </c>
      <c r="C201" s="102">
        <v>4</v>
      </c>
      <c r="D201" s="102">
        <v>6819.06</v>
      </c>
      <c r="E201" s="102">
        <v>1186.8</v>
      </c>
      <c r="F201" s="102">
        <v>1</v>
      </c>
      <c r="G201" s="103">
        <f t="shared" si="53"/>
      </c>
      <c r="H201" s="103">
        <f t="shared" si="84"/>
      </c>
      <c r="I201" s="103">
        <f t="shared" si="115"/>
      </c>
      <c r="J201" s="103">
        <f t="shared" si="22"/>
      </c>
      <c r="K201" s="103"/>
    </row>
    <row r="202">
      <c r="A202" s="99" t="s">
        <v>202</v>
      </c>
      <c r="B202" s="114" t="s">
        <v>205</v>
      </c>
      <c r="C202" s="102">
        <v>4</v>
      </c>
      <c r="D202" s="102">
        <v>4205.12</v>
      </c>
      <c r="E202" s="102">
        <v>7977.6</v>
      </c>
      <c r="F202" s="102">
        <v>7</v>
      </c>
      <c r="G202" s="103">
        <f t="shared" si="53"/>
      </c>
      <c r="H202" s="103">
        <f t="shared" si="84"/>
      </c>
      <c r="I202" s="103">
        <f t="shared" si="115"/>
      </c>
      <c r="J202" s="103">
        <f t="shared" si="22"/>
      </c>
      <c r="K202" s="103"/>
    </row>
    <row r="203">
      <c r="A203" s="97" t="s">
        <v>206</v>
      </c>
      <c r="B203" s="97"/>
      <c r="C203" s="97">
        <f>SUM(C200:C202)</f>
      </c>
      <c r="D203" s="97">
        <f>SUM(D200:D202)</f>
      </c>
      <c r="E203" s="97">
        <f>SUM(E200:E202)</f>
      </c>
      <c r="F203" s="97">
        <f>SUM(F200:F202)</f>
      </c>
      <c r="G203" s="104">
        <f t="shared" si="53"/>
      </c>
      <c r="H203" s="104">
        <f t="shared" si="84"/>
      </c>
      <c r="I203" s="104">
        <f t="shared" si="115"/>
      </c>
      <c r="J203" s="104">
        <f t="shared" si="22"/>
      </c>
      <c r="K203" s="104"/>
    </row>
    <row r="204">
      <c r="A204" s="105" t="s">
        <v>207</v>
      </c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</row>
    <row r="205">
      <c r="A205" s="106" t="s">
        <v>193</v>
      </c>
      <c r="B205" s="106" t="s">
        <v>208</v>
      </c>
      <c r="C205" s="106" t="s">
        <v>209</v>
      </c>
      <c r="D205" s="106" t="s">
        <v>210</v>
      </c>
      <c r="E205" s="106" t="s">
        <v>211</v>
      </c>
      <c r="F205" s="106" t="s">
        <v>212</v>
      </c>
      <c r="G205" s="106" t="s">
        <v>213</v>
      </c>
      <c r="H205" s="107" t="s">
        <v>214</v>
      </c>
      <c r="I205" s="107" t="s">
        <v>215</v>
      </c>
      <c r="J205" s="107" t="s">
        <v>216</v>
      </c>
      <c r="K205" s="107" t="s">
        <v>192</v>
      </c>
    </row>
    <row r="206">
      <c r="A206" s="108">
        <f>SUM(D200:D202)</f>
      </c>
      <c r="B206" s="109">
        <f>SUM(E200:E202)</f>
      </c>
      <c r="C206" s="109">
        <f>B206/((K206*300)+A206)</f>
      </c>
      <c r="D206" s="110">
        <f>A206/J206</f>
      </c>
      <c r="E206" s="109">
        <f>B206/J206</f>
      </c>
      <c r="F206" s="111">
        <f>J206/I206</f>
      </c>
      <c r="G206" s="111">
        <f>H206/J206</f>
      </c>
      <c r="H206" s="112">
        <v>1</v>
      </c>
      <c r="I206" s="112">
        <v>16</v>
      </c>
      <c r="J206" s="112">
        <f>F203</f>
      </c>
      <c r="K206" s="112">
        <f>C203</f>
      </c>
    </row>
    <row r="207">
      <c r="A207" s="96" t="s">
        <v>245</v>
      </c>
      <c r="B207" s="96"/>
      <c r="C207" s="96"/>
      <c r="D207" s="96"/>
      <c r="E207" s="96"/>
      <c r="F207" s="96"/>
      <c r="G207" s="96"/>
      <c r="H207" s="96"/>
      <c r="I207" s="96"/>
      <c r="J207" s="96"/>
      <c r="K207" s="96"/>
    </row>
    <row r="208">
      <c r="A208" s="97" t="s">
        <v>190</v>
      </c>
      <c r="B208" s="97" t="s">
        <v>191</v>
      </c>
      <c r="C208" s="97" t="s">
        <v>192</v>
      </c>
      <c r="D208" s="97" t="s">
        <v>193</v>
      </c>
      <c r="E208" s="98" t="s">
        <v>194</v>
      </c>
      <c r="F208" s="97" t="s">
        <v>195</v>
      </c>
      <c r="G208" s="97" t="s">
        <v>196</v>
      </c>
      <c r="H208" s="97" t="s">
        <v>197</v>
      </c>
      <c r="I208" s="97" t="s">
        <v>198</v>
      </c>
      <c r="J208" s="97" t="s">
        <v>199</v>
      </c>
      <c r="K208" s="97"/>
    </row>
    <row r="209">
      <c r="A209" s="99" t="s">
        <v>200</v>
      </c>
      <c r="B209" s="114" t="s">
        <v>201</v>
      </c>
      <c r="C209" s="102">
        <v>4</v>
      </c>
      <c r="D209" s="102">
        <v>3802.47</v>
      </c>
      <c r="E209" s="102">
        <v>6135.6</v>
      </c>
      <c r="F209" s="102">
        <v>3</v>
      </c>
      <c r="G209" s="103">
        <f t="shared" ref="G209:G212" si="54">E209/F209</f>
      </c>
      <c r="H209" s="103">
        <f t="shared" ref="H209:H212" si="85">D209/F209</f>
      </c>
      <c r="I209" s="103">
        <f t="shared" ref="I209:I212" si="116">E209/D209</f>
      </c>
      <c r="J209" s="103">
        <f t="shared" ref="J209:J212" si="23">D209/C209</f>
      </c>
      <c r="K209" s="103"/>
    </row>
    <row r="210">
      <c r="A210" s="99" t="s">
        <v>221</v>
      </c>
      <c r="B210" s="114" t="s">
        <v>203</v>
      </c>
      <c r="C210" s="102">
        <v>4</v>
      </c>
      <c r="D210" s="102">
        <v>4430.170000000002</v>
      </c>
      <c r="E210" s="102">
        <v>9309.8</v>
      </c>
      <c r="F210" s="102">
        <v>6</v>
      </c>
      <c r="G210" s="103">
        <f t="shared" si="54"/>
      </c>
      <c r="H210" s="103">
        <f t="shared" si="85"/>
      </c>
      <c r="I210" s="103">
        <f t="shared" si="116"/>
      </c>
      <c r="J210" s="103">
        <f t="shared" si="23"/>
      </c>
      <c r="K210" s="103"/>
    </row>
    <row r="211">
      <c r="A211" s="99" t="s">
        <v>202</v>
      </c>
      <c r="B211" s="114" t="s">
        <v>205</v>
      </c>
      <c r="C211" s="102">
        <v>4</v>
      </c>
      <c r="D211" s="102">
        <v>8111.76</v>
      </c>
      <c r="E211" s="102">
        <v>9649.000000000002</v>
      </c>
      <c r="F211" s="102">
        <v>7</v>
      </c>
      <c r="G211" s="103">
        <f t="shared" si="54"/>
      </c>
      <c r="H211" s="103">
        <f t="shared" si="85"/>
      </c>
      <c r="I211" s="103">
        <f t="shared" si="116"/>
      </c>
      <c r="J211" s="103">
        <f t="shared" si="23"/>
      </c>
      <c r="K211" s="103"/>
    </row>
    <row r="212">
      <c r="A212" s="97" t="s">
        <v>206</v>
      </c>
      <c r="B212" s="97"/>
      <c r="C212" s="97">
        <f>SUM(C209:C211)</f>
      </c>
      <c r="D212" s="97">
        <f>SUM(D209:D211)</f>
      </c>
      <c r="E212" s="97">
        <f>SUM(E209:E211)</f>
      </c>
      <c r="F212" s="97">
        <f>SUM(F209:F211)</f>
      </c>
      <c r="G212" s="104">
        <f t="shared" si="54"/>
      </c>
      <c r="H212" s="104">
        <f t="shared" si="85"/>
      </c>
      <c r="I212" s="104">
        <f t="shared" si="116"/>
      </c>
      <c r="J212" s="104">
        <f t="shared" si="23"/>
      </c>
      <c r="K212" s="104"/>
    </row>
    <row r="213">
      <c r="A213" s="105" t="s">
        <v>207</v>
      </c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</row>
    <row r="214">
      <c r="A214" s="106" t="s">
        <v>193</v>
      </c>
      <c r="B214" s="106" t="s">
        <v>208</v>
      </c>
      <c r="C214" s="106" t="s">
        <v>209</v>
      </c>
      <c r="D214" s="106" t="s">
        <v>210</v>
      </c>
      <c r="E214" s="106" t="s">
        <v>211</v>
      </c>
      <c r="F214" s="106" t="s">
        <v>212</v>
      </c>
      <c r="G214" s="106" t="s">
        <v>213</v>
      </c>
      <c r="H214" s="107" t="s">
        <v>214</v>
      </c>
      <c r="I214" s="107" t="s">
        <v>215</v>
      </c>
      <c r="J214" s="107" t="s">
        <v>216</v>
      </c>
      <c r="K214" s="107" t="s">
        <v>192</v>
      </c>
    </row>
    <row r="215">
      <c r="A215" s="108">
        <f>SUM(D209:D211)</f>
      </c>
      <c r="B215" s="109">
        <f>SUM(E209:E211)</f>
      </c>
      <c r="C215" s="109">
        <f>B215/((K215*300)+A215)</f>
      </c>
      <c r="D215" s="110">
        <f>A215/J215</f>
      </c>
      <c r="E215" s="109">
        <f>B215/J215</f>
      </c>
      <c r="F215" s="111">
        <f>J215/I215</f>
      </c>
      <c r="G215" s="111">
        <f>H215/J215</f>
      </c>
      <c r="H215" s="112">
        <v>1</v>
      </c>
      <c r="I215" s="112">
        <v>20</v>
      </c>
      <c r="J215" s="112">
        <f>F212</f>
      </c>
      <c r="K215" s="112">
        <f>C212</f>
      </c>
    </row>
    <row r="216">
      <c r="A216" s="96" t="s">
        <v>246</v>
      </c>
      <c r="B216" s="96"/>
      <c r="C216" s="96"/>
      <c r="D216" s="96"/>
      <c r="E216" s="96"/>
      <c r="F216" s="96"/>
      <c r="G216" s="96"/>
      <c r="H216" s="96"/>
      <c r="I216" s="96"/>
      <c r="J216" s="96"/>
      <c r="K216" s="96"/>
    </row>
    <row r="217">
      <c r="A217" s="97" t="s">
        <v>190</v>
      </c>
      <c r="B217" s="97" t="s">
        <v>191</v>
      </c>
      <c r="C217" s="97" t="s">
        <v>192</v>
      </c>
      <c r="D217" s="97" t="s">
        <v>193</v>
      </c>
      <c r="E217" s="98" t="s">
        <v>194</v>
      </c>
      <c r="F217" s="97" t="s">
        <v>195</v>
      </c>
      <c r="G217" s="97" t="s">
        <v>196</v>
      </c>
      <c r="H217" s="97" t="s">
        <v>197</v>
      </c>
      <c r="I217" s="97" t="s">
        <v>198</v>
      </c>
      <c r="J217" s="97" t="s">
        <v>199</v>
      </c>
      <c r="K217" s="97"/>
    </row>
    <row r="218">
      <c r="A218" s="99" t="s">
        <v>200</v>
      </c>
      <c r="B218" s="114" t="s">
        <v>201</v>
      </c>
      <c r="C218" s="102">
        <v>4</v>
      </c>
      <c r="D218" s="102">
        <v>3558.27</v>
      </c>
      <c r="E218" s="102">
        <v>1238.3999999999999</v>
      </c>
      <c r="F218" s="102">
        <v>2</v>
      </c>
      <c r="G218" s="103">
        <f t="shared" ref="G218:G221" si="55">E218/F218</f>
      </c>
      <c r="H218" s="103">
        <f t="shared" ref="H218:H221" si="86">D218/F218</f>
      </c>
      <c r="I218" s="103">
        <f t="shared" ref="I218:I221" si="117">E218/D218</f>
      </c>
      <c r="J218" s="103">
        <f t="shared" ref="J218:J221" si="24">D218/C218</f>
      </c>
      <c r="K218" s="103"/>
    </row>
    <row r="219">
      <c r="A219" s="99" t="s">
        <v>202</v>
      </c>
      <c r="B219" s="114" t="s">
        <v>203</v>
      </c>
      <c r="C219" s="102">
        <v>4</v>
      </c>
      <c r="D219" s="102">
        <v>2855.32</v>
      </c>
      <c r="E219" s="102">
        <v>2937.6000000000004</v>
      </c>
      <c r="F219" s="102">
        <v>2</v>
      </c>
      <c r="G219" s="103">
        <f t="shared" si="55"/>
      </c>
      <c r="H219" s="103">
        <f t="shared" si="86"/>
      </c>
      <c r="I219" s="103">
        <f t="shared" si="117"/>
      </c>
      <c r="J219" s="103">
        <f t="shared" si="24"/>
      </c>
      <c r="K219" s="103"/>
    </row>
    <row r="220">
      <c r="A220" s="99" t="s">
        <v>221</v>
      </c>
      <c r="B220" s="114" t="s">
        <v>205</v>
      </c>
      <c r="C220" s="102">
        <v>4</v>
      </c>
      <c r="D220" s="102">
        <v>5041.8099999999995</v>
      </c>
      <c r="E220" s="102">
        <v>13496.400000000001</v>
      </c>
      <c r="F220" s="102">
        <v>9</v>
      </c>
      <c r="G220" s="103">
        <f t="shared" si="55"/>
      </c>
      <c r="H220" s="103">
        <f t="shared" si="86"/>
      </c>
      <c r="I220" s="103">
        <f t="shared" si="117"/>
      </c>
      <c r="J220" s="103">
        <f t="shared" si="24"/>
      </c>
      <c r="K220" s="103"/>
    </row>
    <row r="221">
      <c r="A221" s="97" t="s">
        <v>206</v>
      </c>
      <c r="B221" s="97"/>
      <c r="C221" s="97">
        <f>SUM(C218:C220)</f>
      </c>
      <c r="D221" s="97">
        <f>SUM(D218:D220)</f>
      </c>
      <c r="E221" s="97">
        <f>SUM(E218:E220)</f>
      </c>
      <c r="F221" s="97">
        <f>SUM(F218:F220)</f>
      </c>
      <c r="G221" s="104">
        <f t="shared" si="55"/>
      </c>
      <c r="H221" s="104">
        <f t="shared" si="86"/>
      </c>
      <c r="I221" s="104">
        <f t="shared" si="117"/>
      </c>
      <c r="J221" s="104">
        <f t="shared" si="24"/>
      </c>
      <c r="K221" s="104"/>
    </row>
    <row r="222">
      <c r="A222" s="105" t="s">
        <v>207</v>
      </c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</row>
    <row r="223">
      <c r="A223" s="106" t="s">
        <v>193</v>
      </c>
      <c r="B223" s="106" t="s">
        <v>208</v>
      </c>
      <c r="C223" s="106" t="s">
        <v>209</v>
      </c>
      <c r="D223" s="106" t="s">
        <v>210</v>
      </c>
      <c r="E223" s="106" t="s">
        <v>211</v>
      </c>
      <c r="F223" s="106" t="s">
        <v>212</v>
      </c>
      <c r="G223" s="106" t="s">
        <v>213</v>
      </c>
      <c r="H223" s="107" t="s">
        <v>214</v>
      </c>
      <c r="I223" s="107" t="s">
        <v>215</v>
      </c>
      <c r="J223" s="107" t="s">
        <v>216</v>
      </c>
      <c r="K223" s="107" t="s">
        <v>192</v>
      </c>
    </row>
    <row r="224">
      <c r="A224" s="108">
        <f>SUM(D218:D220)</f>
      </c>
      <c r="B224" s="109">
        <f>SUM(E218:E220)</f>
      </c>
      <c r="C224" s="109">
        <f>B224/((K224*300)+A224)</f>
      </c>
      <c r="D224" s="110">
        <f>A224/J224</f>
      </c>
      <c r="E224" s="109">
        <f>B224/J224</f>
      </c>
      <c r="F224" s="111">
        <f>J224/I224</f>
      </c>
      <c r="G224" s="111">
        <f>H224/J224</f>
      </c>
      <c r="H224" s="112">
        <v>1</v>
      </c>
      <c r="I224" s="112">
        <v>19</v>
      </c>
      <c r="J224" s="112">
        <f>F221</f>
      </c>
      <c r="K224" s="112">
        <v>12</v>
      </c>
    </row>
    <row r="225">
      <c r="A225" s="96" t="s">
        <v>247</v>
      </c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</row>
    <row r="226">
      <c r="A226" s="97" t="s">
        <v>190</v>
      </c>
      <c r="B226" s="97" t="s">
        <v>191</v>
      </c>
      <c r="C226" s="97" t="s">
        <v>192</v>
      </c>
      <c r="D226" s="97" t="s">
        <v>193</v>
      </c>
      <c r="E226" s="98" t="s">
        <v>194</v>
      </c>
      <c r="F226" s="97" t="s">
        <v>195</v>
      </c>
      <c r="G226" s="97" t="s">
        <v>196</v>
      </c>
      <c r="H226" s="97" t="s">
        <v>197</v>
      </c>
      <c r="I226" s="97" t="s">
        <v>198</v>
      </c>
      <c r="J226" s="97" t="s">
        <v>199</v>
      </c>
      <c r="K226" s="97"/>
    </row>
    <row r="227">
      <c r="A227" s="117" t="s">
        <v>200</v>
      </c>
      <c r="B227" s="100" t="s">
        <v>201</v>
      </c>
      <c r="C227" s="101">
        <v>4</v>
      </c>
      <c r="D227" s="102">
        <v>2708.96</v>
      </c>
      <c r="E227" s="102">
        <v>18366.8</v>
      </c>
      <c r="F227" s="102">
        <v>8</v>
      </c>
      <c r="G227" s="103">
        <f t="shared" ref="G227:G230" si="56">E227/F227</f>
      </c>
      <c r="H227" s="103">
        <f t="shared" ref="H227:H230" si="87">D227/F227</f>
      </c>
      <c r="I227" s="103">
        <f t="shared" ref="I227:I230" si="118">E227/D227</f>
      </c>
      <c r="J227" s="103">
        <f t="shared" ref="J227:J230" si="25">D227/C227</f>
      </c>
      <c r="K227" s="103"/>
    </row>
    <row r="228">
      <c r="A228" s="117" t="s">
        <v>202</v>
      </c>
      <c r="B228" s="100" t="s">
        <v>203</v>
      </c>
      <c r="C228" s="102">
        <v>4</v>
      </c>
      <c r="D228" s="102">
        <v>3780.49</v>
      </c>
      <c r="E228" s="102">
        <v>18805.2</v>
      </c>
      <c r="F228" s="102">
        <v>8</v>
      </c>
      <c r="G228" s="103">
        <f t="shared" si="56"/>
      </c>
      <c r="H228" s="103">
        <f t="shared" si="87"/>
      </c>
      <c r="I228" s="103">
        <f t="shared" si="118"/>
      </c>
      <c r="J228" s="103">
        <f t="shared" si="25"/>
      </c>
      <c r="K228" s="103"/>
    </row>
    <row r="229">
      <c r="A229" s="117" t="s">
        <v>221</v>
      </c>
      <c r="B229" s="100" t="s">
        <v>205</v>
      </c>
      <c r="C229" s="102">
        <v>4</v>
      </c>
      <c r="D229" s="102">
        <v>9670.17</v>
      </c>
      <c r="E229" s="102">
        <v>11410.8</v>
      </c>
      <c r="F229" s="102">
        <v>7</v>
      </c>
      <c r="G229" s="103">
        <f t="shared" si="56"/>
      </c>
      <c r="H229" s="103">
        <f t="shared" si="87"/>
      </c>
      <c r="I229" s="103">
        <f t="shared" si="118"/>
      </c>
      <c r="J229" s="103">
        <f t="shared" si="25"/>
      </c>
      <c r="K229" s="103"/>
    </row>
    <row r="230">
      <c r="A230" s="97" t="s">
        <v>206</v>
      </c>
      <c r="B230" s="97"/>
      <c r="C230" s="97">
        <f>SUM(C227:C229)</f>
      </c>
      <c r="D230" s="97">
        <f>SUM(D227:D229)</f>
      </c>
      <c r="E230" s="97">
        <f>SUM(E227:E229)</f>
      </c>
      <c r="F230" s="97">
        <f>SUM(F227:F229)</f>
      </c>
      <c r="G230" s="104">
        <f t="shared" si="56"/>
      </c>
      <c r="H230" s="104">
        <f t="shared" si="87"/>
      </c>
      <c r="I230" s="104">
        <f t="shared" si="118"/>
      </c>
      <c r="J230" s="104">
        <f t="shared" si="25"/>
      </c>
      <c r="K230" s="104"/>
    </row>
    <row r="231">
      <c r="A231" s="105" t="s">
        <v>207</v>
      </c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</row>
    <row r="232">
      <c r="A232" s="106" t="s">
        <v>193</v>
      </c>
      <c r="B232" s="106" t="s">
        <v>208</v>
      </c>
      <c r="C232" s="106" t="s">
        <v>209</v>
      </c>
      <c r="D232" s="106" t="s">
        <v>210</v>
      </c>
      <c r="E232" s="106" t="s">
        <v>211</v>
      </c>
      <c r="F232" s="106" t="s">
        <v>212</v>
      </c>
      <c r="G232" s="106" t="s">
        <v>213</v>
      </c>
      <c r="H232" s="107" t="s">
        <v>214</v>
      </c>
      <c r="I232" s="107" t="s">
        <v>215</v>
      </c>
      <c r="J232" s="107" t="s">
        <v>216</v>
      </c>
      <c r="K232" s="107" t="s">
        <v>192</v>
      </c>
    </row>
    <row r="233">
      <c r="A233" s="108">
        <f>SUM(D227:D229)</f>
      </c>
      <c r="B233" s="109">
        <f>SUM(E227:E229)</f>
      </c>
      <c r="C233" s="109">
        <f>B233/((K233*300)+A233)</f>
      </c>
      <c r="D233" s="110">
        <f>A233/J233</f>
      </c>
      <c r="E233" s="109">
        <f>B233/J233</f>
      </c>
      <c r="F233" s="111">
        <f>J233/I233</f>
      </c>
      <c r="G233" s="111">
        <f>H233/J233</f>
      </c>
      <c r="H233" s="112">
        <v>3</v>
      </c>
      <c r="I233" s="112">
        <v>27</v>
      </c>
      <c r="J233" s="113">
        <f>F230</f>
      </c>
      <c r="K233" s="113">
        <f>C230</f>
      </c>
    </row>
    <row r="234">
      <c r="A234" s="96" t="s">
        <v>248</v>
      </c>
      <c r="B234" s="96"/>
      <c r="C234" s="96"/>
      <c r="D234" s="96"/>
      <c r="E234" s="96"/>
      <c r="F234" s="96"/>
      <c r="G234" s="96"/>
      <c r="H234" s="96"/>
      <c r="I234" s="96"/>
      <c r="J234" s="96"/>
      <c r="K234" s="96"/>
    </row>
    <row r="235">
      <c r="A235" s="97" t="s">
        <v>190</v>
      </c>
      <c r="B235" s="97" t="s">
        <v>191</v>
      </c>
      <c r="C235" s="97" t="s">
        <v>192</v>
      </c>
      <c r="D235" s="97" t="s">
        <v>193</v>
      </c>
      <c r="E235" s="98" t="s">
        <v>194</v>
      </c>
      <c r="F235" s="97" t="s">
        <v>195</v>
      </c>
      <c r="G235" s="97" t="s">
        <v>196</v>
      </c>
      <c r="H235" s="97" t="s">
        <v>197</v>
      </c>
      <c r="I235" s="97" t="s">
        <v>198</v>
      </c>
      <c r="J235" s="97" t="s">
        <v>199</v>
      </c>
      <c r="K235" s="97"/>
    </row>
    <row r="236">
      <c r="A236" s="117" t="s">
        <v>200</v>
      </c>
      <c r="B236" s="100" t="s">
        <v>201</v>
      </c>
      <c r="C236" s="101">
        <v>4</v>
      </c>
      <c r="D236" s="102">
        <v>2490.03</v>
      </c>
      <c r="E236" s="102">
        <v>879.6</v>
      </c>
      <c r="F236" s="102">
        <v>1</v>
      </c>
      <c r="G236" s="103">
        <f t="shared" ref="G236:G239" si="57">E236/F236</f>
      </c>
      <c r="H236" s="103">
        <f t="shared" ref="H236:H239" si="88">D236/F236</f>
      </c>
      <c r="I236" s="103">
        <f t="shared" ref="I236:I239" si="119">E236/D236</f>
      </c>
      <c r="J236" s="103">
        <f t="shared" ref="J236:J239" si="26">D236/C236</f>
      </c>
      <c r="K236" s="103"/>
    </row>
    <row r="237">
      <c r="A237" s="117" t="s">
        <v>202</v>
      </c>
      <c r="B237" s="100" t="s">
        <v>203</v>
      </c>
      <c r="C237" s="102">
        <v>4</v>
      </c>
      <c r="D237" s="102">
        <v>8827.01</v>
      </c>
      <c r="E237" s="102">
        <v>8154</v>
      </c>
      <c r="F237" s="102">
        <v>4</v>
      </c>
      <c r="G237" s="103">
        <f t="shared" si="57"/>
      </c>
      <c r="H237" s="103">
        <f t="shared" si="88"/>
      </c>
      <c r="I237" s="103">
        <f t="shared" si="119"/>
      </c>
      <c r="J237" s="103">
        <f t="shared" si="26"/>
      </c>
      <c r="K237" s="103"/>
    </row>
    <row r="238">
      <c r="A238" s="117" t="s">
        <v>221</v>
      </c>
      <c r="B238" s="100" t="s">
        <v>205</v>
      </c>
      <c r="C238" s="102">
        <v>4</v>
      </c>
      <c r="D238" s="102">
        <v>4022.35</v>
      </c>
      <c r="E238" s="102">
        <v>2744.2</v>
      </c>
      <c r="F238" s="102">
        <v>4</v>
      </c>
      <c r="G238" s="103">
        <f t="shared" si="57"/>
      </c>
      <c r="H238" s="103">
        <f t="shared" si="88"/>
      </c>
      <c r="I238" s="103">
        <f t="shared" si="119"/>
      </c>
      <c r="J238" s="103">
        <f t="shared" si="26"/>
      </c>
      <c r="K238" s="103"/>
    </row>
    <row r="239">
      <c r="A239" s="97" t="s">
        <v>206</v>
      </c>
      <c r="B239" s="97"/>
      <c r="C239" s="97">
        <f>SUM(C236:C238)</f>
      </c>
      <c r="D239" s="97">
        <f>SUM(D236:D238)</f>
      </c>
      <c r="E239" s="97">
        <f>SUM(E236:E238)</f>
      </c>
      <c r="F239" s="97">
        <f>SUM(F236:F238)</f>
      </c>
      <c r="G239" s="104">
        <f t="shared" si="57"/>
      </c>
      <c r="H239" s="104">
        <f t="shared" si="88"/>
      </c>
      <c r="I239" s="104">
        <f t="shared" si="119"/>
      </c>
      <c r="J239" s="104">
        <f t="shared" si="26"/>
      </c>
      <c r="K239" s="104"/>
    </row>
    <row r="240">
      <c r="A240" s="105" t="s">
        <v>207</v>
      </c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</row>
    <row r="241">
      <c r="A241" s="106" t="s">
        <v>193</v>
      </c>
      <c r="B241" s="106" t="s">
        <v>208</v>
      </c>
      <c r="C241" s="106" t="s">
        <v>209</v>
      </c>
      <c r="D241" s="106" t="s">
        <v>210</v>
      </c>
      <c r="E241" s="106" t="s">
        <v>211</v>
      </c>
      <c r="F241" s="106" t="s">
        <v>212</v>
      </c>
      <c r="G241" s="106" t="s">
        <v>213</v>
      </c>
      <c r="H241" s="107" t="s">
        <v>214</v>
      </c>
      <c r="I241" s="107" t="s">
        <v>215</v>
      </c>
      <c r="J241" s="107" t="s">
        <v>216</v>
      </c>
      <c r="K241" s="107" t="s">
        <v>192</v>
      </c>
    </row>
    <row r="242">
      <c r="A242" s="108">
        <f>SUM(D236:D238)</f>
      </c>
      <c r="B242" s="109">
        <f>SUM(E236:E238)</f>
      </c>
      <c r="C242" s="109">
        <f>B242/((K242*300)+A242)</f>
      </c>
      <c r="D242" s="110">
        <f>A242/J242</f>
      </c>
      <c r="E242" s="109">
        <f>B242/J242</f>
      </c>
      <c r="F242" s="111">
        <f>J242/I242</f>
      </c>
      <c r="G242" s="111">
        <f>H242/J242</f>
      </c>
      <c r="H242" s="112">
        <v>3</v>
      </c>
      <c r="I242" s="112">
        <v>17</v>
      </c>
      <c r="J242" s="113">
        <f>F239</f>
      </c>
      <c r="K242" s="113">
        <f>C239</f>
      </c>
    </row>
    <row r="243">
      <c r="A243" s="96" t="s">
        <v>249</v>
      </c>
      <c r="B243" s="96"/>
      <c r="C243" s="96"/>
      <c r="D243" s="96"/>
      <c r="E243" s="96"/>
      <c r="F243" s="96"/>
      <c r="G243" s="96"/>
      <c r="H243" s="96"/>
      <c r="I243" s="96"/>
      <c r="J243" s="96"/>
      <c r="K243" s="96"/>
    </row>
    <row r="244">
      <c r="A244" s="97" t="s">
        <v>190</v>
      </c>
      <c r="B244" s="97" t="s">
        <v>191</v>
      </c>
      <c r="C244" s="97" t="s">
        <v>192</v>
      </c>
      <c r="D244" s="97" t="s">
        <v>193</v>
      </c>
      <c r="E244" s="98" t="s">
        <v>194</v>
      </c>
      <c r="F244" s="97" t="s">
        <v>195</v>
      </c>
      <c r="G244" s="97" t="s">
        <v>196</v>
      </c>
      <c r="H244" s="97" t="s">
        <v>197</v>
      </c>
      <c r="I244" s="97" t="s">
        <v>198</v>
      </c>
      <c r="J244" s="97" t="s">
        <v>199</v>
      </c>
      <c r="K244" s="97"/>
    </row>
    <row r="245">
      <c r="A245" s="117" t="s">
        <v>200</v>
      </c>
      <c r="B245" s="100" t="s">
        <v>201</v>
      </c>
      <c r="C245" s="101">
        <v>4</v>
      </c>
      <c r="D245" s="102">
        <v>3345.67</v>
      </c>
      <c r="E245" s="102">
        <v>4435.2</v>
      </c>
      <c r="F245" s="102">
        <v>1</v>
      </c>
      <c r="G245" s="103">
        <f t="shared" ref="G245:G248" si="58">E245/F245</f>
      </c>
      <c r="H245" s="103">
        <f t="shared" ref="H245:H248" si="89">D245/F245</f>
      </c>
      <c r="I245" s="103">
        <f t="shared" ref="I245:I248" si="120">E245/D245</f>
      </c>
      <c r="J245" s="103">
        <f t="shared" ref="J245:J248" si="27">D245/C245</f>
      </c>
      <c r="K245" s="103"/>
    </row>
    <row r="246">
      <c r="A246" s="117" t="s">
        <v>202</v>
      </c>
      <c r="B246" s="100" t="s">
        <v>203</v>
      </c>
      <c r="C246" s="102">
        <v>4</v>
      </c>
      <c r="D246" s="102">
        <v>6753.64</v>
      </c>
      <c r="E246" s="102">
        <v>2780.4</v>
      </c>
      <c r="F246" s="102">
        <v>3</v>
      </c>
      <c r="G246" s="103">
        <f t="shared" si="58"/>
      </c>
      <c r="H246" s="103">
        <f t="shared" si="89"/>
      </c>
      <c r="I246" s="103">
        <f t="shared" si="120"/>
      </c>
      <c r="J246" s="103">
        <f t="shared" si="27"/>
      </c>
      <c r="K246" s="103"/>
    </row>
    <row r="247">
      <c r="A247" s="117" t="s">
        <v>221</v>
      </c>
      <c r="B247" s="100" t="s">
        <v>205</v>
      </c>
      <c r="C247" s="102">
        <v>4</v>
      </c>
      <c r="D247" s="102">
        <v>9662.63</v>
      </c>
      <c r="E247" s="102">
        <v>28934.2</v>
      </c>
      <c r="F247" s="102">
        <v>14</v>
      </c>
      <c r="G247" s="103">
        <f t="shared" si="58"/>
      </c>
      <c r="H247" s="103">
        <f t="shared" si="89"/>
      </c>
      <c r="I247" s="103">
        <f t="shared" si="120"/>
      </c>
      <c r="J247" s="103">
        <f t="shared" si="27"/>
      </c>
      <c r="K247" s="103"/>
    </row>
    <row r="248">
      <c r="A248" s="97" t="s">
        <v>206</v>
      </c>
      <c r="B248" s="97"/>
      <c r="C248" s="97">
        <f>SUM(C245:C247)</f>
      </c>
      <c r="D248" s="97">
        <f>SUM(D245:D247)</f>
      </c>
      <c r="E248" s="97">
        <f>SUM(E245:E247)</f>
      </c>
      <c r="F248" s="97">
        <f>SUM(F245:F247)</f>
      </c>
      <c r="G248" s="104">
        <f t="shared" si="58"/>
      </c>
      <c r="H248" s="104">
        <f t="shared" si="89"/>
      </c>
      <c r="I248" s="104">
        <f t="shared" si="120"/>
      </c>
      <c r="J248" s="104">
        <f t="shared" si="27"/>
      </c>
      <c r="K248" s="104"/>
    </row>
    <row r="249">
      <c r="A249" s="105" t="s">
        <v>207</v>
      </c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</row>
    <row r="250">
      <c r="A250" s="106" t="s">
        <v>193</v>
      </c>
      <c r="B250" s="106" t="s">
        <v>208</v>
      </c>
      <c r="C250" s="106" t="s">
        <v>209</v>
      </c>
      <c r="D250" s="106" t="s">
        <v>210</v>
      </c>
      <c r="E250" s="106" t="s">
        <v>211</v>
      </c>
      <c r="F250" s="106" t="s">
        <v>212</v>
      </c>
      <c r="G250" s="106" t="s">
        <v>213</v>
      </c>
      <c r="H250" s="107" t="s">
        <v>214</v>
      </c>
      <c r="I250" s="107" t="s">
        <v>215</v>
      </c>
      <c r="J250" s="107" t="s">
        <v>216</v>
      </c>
      <c r="K250" s="107" t="s">
        <v>192</v>
      </c>
    </row>
    <row r="251">
      <c r="A251" s="108">
        <f>SUM(D245:D247)</f>
      </c>
      <c r="B251" s="109">
        <f>SUM(E245:E247)</f>
      </c>
      <c r="C251" s="109">
        <f>B251/((K251*300)+A251)</f>
      </c>
      <c r="D251" s="110">
        <f>A251/J251</f>
      </c>
      <c r="E251" s="109">
        <f>B251/J251</f>
      </c>
      <c r="F251" s="111">
        <f>J251/I251</f>
      </c>
      <c r="G251" s="111">
        <f>H251/J251</f>
      </c>
      <c r="H251" s="112">
        <v>8</v>
      </c>
      <c r="I251" s="112">
        <v>31</v>
      </c>
      <c r="J251" s="113">
        <f>F248</f>
      </c>
      <c r="K251" s="113">
        <f>C248</f>
      </c>
    </row>
    <row r="252">
      <c r="A252" s="96" t="s">
        <v>250</v>
      </c>
      <c r="B252" s="96"/>
      <c r="C252" s="96"/>
      <c r="D252" s="96"/>
      <c r="E252" s="96"/>
      <c r="F252" s="96"/>
      <c r="G252" s="96"/>
      <c r="H252" s="96"/>
      <c r="I252" s="96"/>
      <c r="J252" s="96"/>
      <c r="K252" s="96"/>
    </row>
    <row r="253">
      <c r="A253" s="97" t="s">
        <v>190</v>
      </c>
      <c r="B253" s="97" t="s">
        <v>191</v>
      </c>
      <c r="C253" s="97" t="s">
        <v>192</v>
      </c>
      <c r="D253" s="97" t="s">
        <v>193</v>
      </c>
      <c r="E253" s="98" t="s">
        <v>194</v>
      </c>
      <c r="F253" s="97" t="s">
        <v>195</v>
      </c>
      <c r="G253" s="97" t="s">
        <v>196</v>
      </c>
      <c r="H253" s="97" t="s">
        <v>197</v>
      </c>
      <c r="I253" s="97" t="s">
        <v>198</v>
      </c>
      <c r="J253" s="97" t="s">
        <v>199</v>
      </c>
      <c r="K253" s="97"/>
    </row>
    <row r="254">
      <c r="A254" s="117" t="s">
        <v>200</v>
      </c>
      <c r="B254" s="100" t="s">
        <v>201</v>
      </c>
      <c r="C254" s="101">
        <v>4</v>
      </c>
      <c r="D254" s="102">
        <v>3735.84</v>
      </c>
      <c r="E254" s="102">
        <v>7012.8</v>
      </c>
      <c r="F254" s="102">
        <v>4</v>
      </c>
      <c r="G254" s="103">
        <f t="shared" ref="G254:G257" si="59">E254/F254</f>
      </c>
      <c r="H254" s="103">
        <f t="shared" ref="H254:H257" si="90">D254/F254</f>
      </c>
      <c r="I254" s="103">
        <f t="shared" ref="I254:I257" si="121">E254/D254</f>
      </c>
      <c r="J254" s="103">
        <f t="shared" ref="J254:J257" si="28">D254/C254</f>
      </c>
      <c r="K254" s="103"/>
    </row>
    <row r="255">
      <c r="A255" s="117" t="s">
        <v>202</v>
      </c>
      <c r="B255" s="100" t="s">
        <v>203</v>
      </c>
      <c r="C255" s="102">
        <v>4</v>
      </c>
      <c r="D255" s="102">
        <v>4811.51</v>
      </c>
      <c r="E255" s="102">
        <v>1669.2</v>
      </c>
      <c r="F255" s="102">
        <v>1</v>
      </c>
      <c r="G255" s="103">
        <f t="shared" si="59"/>
      </c>
      <c r="H255" s="103">
        <f t="shared" si="90"/>
      </c>
      <c r="I255" s="103">
        <f t="shared" si="121"/>
      </c>
      <c r="J255" s="103">
        <f t="shared" si="28"/>
      </c>
      <c r="K255" s="103"/>
    </row>
    <row r="256">
      <c r="A256" s="117" t="s">
        <v>221</v>
      </c>
      <c r="B256" s="100" t="s">
        <v>205</v>
      </c>
      <c r="C256" s="102">
        <v>4</v>
      </c>
      <c r="D256" s="102">
        <v>5627.44</v>
      </c>
      <c r="E256" s="102">
        <v>11700.6</v>
      </c>
      <c r="F256" s="102">
        <v>9</v>
      </c>
      <c r="G256" s="103">
        <f t="shared" si="59"/>
      </c>
      <c r="H256" s="103">
        <f t="shared" si="90"/>
      </c>
      <c r="I256" s="103">
        <f t="shared" si="121"/>
      </c>
      <c r="J256" s="103">
        <f t="shared" si="28"/>
      </c>
      <c r="K256" s="103"/>
    </row>
    <row r="257">
      <c r="A257" s="97" t="s">
        <v>206</v>
      </c>
      <c r="B257" s="97"/>
      <c r="C257" s="97">
        <f>SUM(C254:C256)</f>
      </c>
      <c r="D257" s="97">
        <f>SUM(D254:D256)</f>
      </c>
      <c r="E257" s="97">
        <f>SUM(E254:E256)</f>
      </c>
      <c r="F257" s="97">
        <f>SUM(F254:F256)</f>
      </c>
      <c r="G257" s="104">
        <f t="shared" si="59"/>
      </c>
      <c r="H257" s="104">
        <f t="shared" si="90"/>
      </c>
      <c r="I257" s="104">
        <f t="shared" si="121"/>
      </c>
      <c r="J257" s="104">
        <f t="shared" si="28"/>
      </c>
      <c r="K257" s="104"/>
    </row>
    <row r="258">
      <c r="A258" s="105" t="s">
        <v>207</v>
      </c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</row>
    <row r="259">
      <c r="A259" s="106" t="s">
        <v>193</v>
      </c>
      <c r="B259" s="106" t="s">
        <v>208</v>
      </c>
      <c r="C259" s="106" t="s">
        <v>209</v>
      </c>
      <c r="D259" s="106" t="s">
        <v>210</v>
      </c>
      <c r="E259" s="106" t="s">
        <v>211</v>
      </c>
      <c r="F259" s="106" t="s">
        <v>212</v>
      </c>
      <c r="G259" s="106" t="s">
        <v>213</v>
      </c>
      <c r="H259" s="107" t="s">
        <v>214</v>
      </c>
      <c r="I259" s="107" t="s">
        <v>215</v>
      </c>
      <c r="J259" s="107" t="s">
        <v>216</v>
      </c>
      <c r="K259" s="107" t="s">
        <v>192</v>
      </c>
    </row>
    <row r="260">
      <c r="A260" s="108">
        <f>SUM(D254:D256)</f>
      </c>
      <c r="B260" s="109">
        <f>SUM(E254:E256)</f>
      </c>
      <c r="C260" s="109">
        <f>B260/((K260*300)+A260)</f>
      </c>
      <c r="D260" s="110">
        <f>A260/J260</f>
      </c>
      <c r="E260" s="109">
        <f>B260/J260</f>
      </c>
      <c r="F260" s="111">
        <f>J260/I260</f>
      </c>
      <c r="G260" s="111">
        <f>H260/J260</f>
      </c>
      <c r="H260" s="112">
        <v>4</v>
      </c>
      <c r="I260" s="112">
        <v>24</v>
      </c>
      <c r="J260" s="112">
        <f>F257</f>
      </c>
      <c r="K260" s="113">
        <f>C257</f>
      </c>
    </row>
    <row r="261">
      <c r="A261" s="96" t="s">
        <v>251</v>
      </c>
      <c r="B261" s="96"/>
      <c r="C261" s="96"/>
      <c r="D261" s="96"/>
      <c r="E261" s="96"/>
      <c r="F261" s="96"/>
      <c r="G261" s="96"/>
      <c r="H261" s="96"/>
      <c r="I261" s="96"/>
      <c r="J261" s="96"/>
      <c r="K261" s="96"/>
    </row>
    <row r="262">
      <c r="A262" s="97" t="s">
        <v>190</v>
      </c>
      <c r="B262" s="97" t="s">
        <v>191</v>
      </c>
      <c r="C262" s="97" t="s">
        <v>192</v>
      </c>
      <c r="D262" s="97" t="s">
        <v>193</v>
      </c>
      <c r="E262" s="98" t="s">
        <v>194</v>
      </c>
      <c r="F262" s="97" t="s">
        <v>195</v>
      </c>
      <c r="G262" s="97" t="s">
        <v>196</v>
      </c>
      <c r="H262" s="97" t="s">
        <v>197</v>
      </c>
      <c r="I262" s="97" t="s">
        <v>198</v>
      </c>
      <c r="J262" s="97" t="s">
        <v>199</v>
      </c>
      <c r="K262" s="97"/>
    </row>
    <row r="263">
      <c r="A263" s="117" t="s">
        <v>200</v>
      </c>
      <c r="B263" s="100" t="s">
        <v>201</v>
      </c>
      <c r="C263" s="101">
        <v>4</v>
      </c>
      <c r="D263" s="102">
        <v>3263.11</v>
      </c>
      <c r="E263" s="102">
        <v>0</v>
      </c>
      <c r="F263" s="102">
        <v>0</v>
      </c>
      <c r="G263" s="103">
        <f t="shared" ref="G263:G266" si="60">E263/F263</f>
      </c>
      <c r="H263" s="103">
        <f t="shared" ref="H263:H266" si="91">D263/F263</f>
      </c>
      <c r="I263" s="103">
        <f t="shared" ref="I263:I266" si="122">E263/D263</f>
      </c>
      <c r="J263" s="103">
        <f t="shared" ref="J263:J266" si="29">D263/C263</f>
      </c>
      <c r="K263" s="103"/>
    </row>
    <row r="264">
      <c r="A264" s="117" t="s">
        <v>202</v>
      </c>
      <c r="B264" s="100" t="s">
        <v>203</v>
      </c>
      <c r="C264" s="102">
        <v>4</v>
      </c>
      <c r="D264" s="102">
        <v>5762.97</v>
      </c>
      <c r="E264" s="102">
        <v>10249.8</v>
      </c>
      <c r="F264" s="102">
        <v>5</v>
      </c>
      <c r="G264" s="103">
        <f t="shared" si="60"/>
      </c>
      <c r="H264" s="103">
        <f t="shared" si="91"/>
      </c>
      <c r="I264" s="103">
        <f t="shared" si="122"/>
      </c>
      <c r="J264" s="103">
        <f t="shared" si="29"/>
      </c>
      <c r="K264" s="103"/>
    </row>
    <row r="265">
      <c r="A265" s="117" t="s">
        <v>221</v>
      </c>
      <c r="B265" s="100" t="s">
        <v>205</v>
      </c>
      <c r="C265" s="102">
        <v>4</v>
      </c>
      <c r="D265" s="102">
        <v>4827.39</v>
      </c>
      <c r="E265" s="102">
        <v>7247.2</v>
      </c>
      <c r="F265" s="102">
        <v>5</v>
      </c>
      <c r="G265" s="103">
        <f t="shared" si="60"/>
      </c>
      <c r="H265" s="103">
        <f t="shared" si="91"/>
      </c>
      <c r="I265" s="103">
        <f t="shared" si="122"/>
      </c>
      <c r="J265" s="103">
        <f t="shared" si="29"/>
      </c>
      <c r="K265" s="103"/>
    </row>
    <row r="266">
      <c r="A266" s="97" t="s">
        <v>206</v>
      </c>
      <c r="B266" s="97"/>
      <c r="C266" s="97">
        <f>SUM(C263:C265)</f>
      </c>
      <c r="D266" s="97">
        <f>SUM(D263:D265)</f>
      </c>
      <c r="E266" s="97">
        <f>SUM(E263:E265)</f>
      </c>
      <c r="F266" s="97">
        <f>SUM(F263:F265)</f>
      </c>
      <c r="G266" s="104">
        <f t="shared" si="60"/>
      </c>
      <c r="H266" s="104">
        <f t="shared" si="91"/>
      </c>
      <c r="I266" s="104">
        <f t="shared" si="122"/>
      </c>
      <c r="J266" s="104">
        <f t="shared" si="29"/>
      </c>
      <c r="K266" s="104"/>
    </row>
    <row r="267">
      <c r="A267" s="105" t="s">
        <v>207</v>
      </c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</row>
    <row r="268">
      <c r="A268" s="106" t="s">
        <v>193</v>
      </c>
      <c r="B268" s="106" t="s">
        <v>208</v>
      </c>
      <c r="C268" s="106" t="s">
        <v>209</v>
      </c>
      <c r="D268" s="106" t="s">
        <v>210</v>
      </c>
      <c r="E268" s="106" t="s">
        <v>211</v>
      </c>
      <c r="F268" s="106" t="s">
        <v>212</v>
      </c>
      <c r="G268" s="106" t="s">
        <v>213</v>
      </c>
      <c r="H268" s="107" t="s">
        <v>214</v>
      </c>
      <c r="I268" s="107" t="s">
        <v>215</v>
      </c>
      <c r="J268" s="107" t="s">
        <v>216</v>
      </c>
      <c r="K268" s="107" t="s">
        <v>192</v>
      </c>
    </row>
    <row r="269">
      <c r="A269" s="108">
        <f>SUM(D263:D265)</f>
      </c>
      <c r="B269" s="109">
        <f>SUM(E263:E265)</f>
      </c>
      <c r="C269" s="109">
        <f>B269/((K269*300)+A269)</f>
      </c>
      <c r="D269" s="110">
        <f>A269/J269</f>
      </c>
      <c r="E269" s="109">
        <f>B269/J269</f>
      </c>
      <c r="F269" s="111">
        <f>J269/I269</f>
      </c>
      <c r="G269" s="111">
        <f>H269/J269</f>
      </c>
      <c r="H269" s="112">
        <v>3</v>
      </c>
      <c r="I269" s="112">
        <v>14</v>
      </c>
      <c r="J269" s="112">
        <f>F266</f>
      </c>
      <c r="K269" s="113">
        <f>C266</f>
      </c>
    </row>
    <row r="270">
      <c r="A270" s="96" t="s">
        <v>252</v>
      </c>
      <c r="B270" s="96"/>
      <c r="C270" s="96"/>
      <c r="D270" s="96"/>
      <c r="E270" s="96"/>
      <c r="F270" s="96"/>
      <c r="G270" s="96"/>
      <c r="H270" s="96"/>
      <c r="I270" s="96"/>
      <c r="J270" s="96"/>
      <c r="K270" s="96"/>
    </row>
    <row r="271">
      <c r="A271" s="97" t="s">
        <v>190</v>
      </c>
      <c r="B271" s="97" t="s">
        <v>191</v>
      </c>
      <c r="C271" s="97" t="s">
        <v>192</v>
      </c>
      <c r="D271" s="97" t="s">
        <v>193</v>
      </c>
      <c r="E271" s="98" t="s">
        <v>194</v>
      </c>
      <c r="F271" s="97" t="s">
        <v>195</v>
      </c>
      <c r="G271" s="97" t="s">
        <v>196</v>
      </c>
      <c r="H271" s="97" t="s">
        <v>197</v>
      </c>
      <c r="I271" s="97" t="s">
        <v>198</v>
      </c>
      <c r="J271" s="97" t="s">
        <v>199</v>
      </c>
      <c r="K271" s="97"/>
    </row>
    <row r="272">
      <c r="A272" s="117" t="s">
        <v>200</v>
      </c>
      <c r="B272" s="100" t="s">
        <v>201</v>
      </c>
      <c r="C272" s="101">
        <v>4</v>
      </c>
      <c r="D272" s="102">
        <v>4186.42</v>
      </c>
      <c r="E272" s="102">
        <v>19927.2</v>
      </c>
      <c r="F272" s="102">
        <v>6</v>
      </c>
      <c r="G272" s="103">
        <f t="shared" ref="G272:G275" si="61">E272/F272</f>
      </c>
      <c r="H272" s="103">
        <f t="shared" ref="H272:H275" si="92">D272/F272</f>
      </c>
      <c r="I272" s="103">
        <f t="shared" ref="I272:I275" si="123">E272/D272</f>
      </c>
      <c r="J272" s="103">
        <f t="shared" ref="J272:J275" si="30">D272/C272</f>
      </c>
      <c r="K272" s="103"/>
    </row>
    <row r="273">
      <c r="A273" s="117" t="s">
        <v>202</v>
      </c>
      <c r="B273" s="100" t="s">
        <v>203</v>
      </c>
      <c r="C273" s="102">
        <v>4</v>
      </c>
      <c r="D273" s="102">
        <v>5426.09</v>
      </c>
      <c r="E273" s="102">
        <v>8792.6</v>
      </c>
      <c r="F273" s="102">
        <v>5</v>
      </c>
      <c r="G273" s="103">
        <f t="shared" si="61"/>
      </c>
      <c r="H273" s="103">
        <f t="shared" si="92"/>
      </c>
      <c r="I273" s="103">
        <f t="shared" si="123"/>
      </c>
      <c r="J273" s="103">
        <f t="shared" si="30"/>
      </c>
      <c r="K273" s="103"/>
    </row>
    <row r="274">
      <c r="A274" s="117" t="s">
        <v>221</v>
      </c>
      <c r="B274" s="100" t="s">
        <v>205</v>
      </c>
      <c r="C274" s="102">
        <v>4</v>
      </c>
      <c r="D274" s="102">
        <v>5635.23</v>
      </c>
      <c r="E274" s="102">
        <v>12340.2</v>
      </c>
      <c r="F274" s="102">
        <v>8</v>
      </c>
      <c r="G274" s="103">
        <f t="shared" si="61"/>
      </c>
      <c r="H274" s="103">
        <f t="shared" si="92"/>
      </c>
      <c r="I274" s="103">
        <f t="shared" si="123"/>
      </c>
      <c r="J274" s="103">
        <f t="shared" si="30"/>
      </c>
      <c r="K274" s="103"/>
    </row>
    <row r="275">
      <c r="A275" s="97" t="s">
        <v>206</v>
      </c>
      <c r="B275" s="97"/>
      <c r="C275" s="97">
        <f>SUM(C272:C274)</f>
      </c>
      <c r="D275" s="97">
        <f>SUM(D272:D274)</f>
      </c>
      <c r="E275" s="97">
        <f>SUM(E272:E274)</f>
      </c>
      <c r="F275" s="97">
        <f>SUM(F272:F274)</f>
      </c>
      <c r="G275" s="104">
        <f t="shared" si="61"/>
      </c>
      <c r="H275" s="104">
        <f t="shared" si="92"/>
      </c>
      <c r="I275" s="104">
        <f t="shared" si="123"/>
      </c>
      <c r="J275" s="104">
        <f t="shared" si="30"/>
      </c>
      <c r="K275" s="104"/>
    </row>
    <row r="276">
      <c r="A276" s="105" t="s">
        <v>207</v>
      </c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</row>
    <row r="277">
      <c r="A277" s="106" t="s">
        <v>193</v>
      </c>
      <c r="B277" s="106" t="s">
        <v>208</v>
      </c>
      <c r="C277" s="106" t="s">
        <v>209</v>
      </c>
      <c r="D277" s="106" t="s">
        <v>210</v>
      </c>
      <c r="E277" s="106" t="s">
        <v>211</v>
      </c>
      <c r="F277" s="106" t="s">
        <v>212</v>
      </c>
      <c r="G277" s="106" t="s">
        <v>213</v>
      </c>
      <c r="H277" s="107" t="s">
        <v>214</v>
      </c>
      <c r="I277" s="107" t="s">
        <v>215</v>
      </c>
      <c r="J277" s="107" t="s">
        <v>216</v>
      </c>
      <c r="K277" s="107" t="s">
        <v>192</v>
      </c>
    </row>
    <row r="278">
      <c r="A278" s="108">
        <f>SUM(D272:D274)</f>
      </c>
      <c r="B278" s="109">
        <f>SUM(E272:E274)</f>
      </c>
      <c r="C278" s="109">
        <f>B278/((K278*300)+A278)</f>
      </c>
      <c r="D278" s="110">
        <f>A278/J278</f>
      </c>
      <c r="E278" s="109">
        <f>B278/J278</f>
      </c>
      <c r="F278" s="111">
        <f>J278/I278</f>
      </c>
      <c r="G278" s="111">
        <f>H278/J278</f>
      </c>
      <c r="H278" s="112">
        <v>3</v>
      </c>
      <c r="I278" s="112">
        <v>26</v>
      </c>
      <c r="J278" s="112">
        <f>F275</f>
      </c>
      <c r="K278" s="113">
        <f>C275</f>
      </c>
    </row>
    <row r="279">
      <c r="A279">
        <f>A280-A278</f>
      </c>
      <c r="B279">
        <f>B280-B278</f>
      </c>
      <c r="D279" s="118"/>
      <c r="E279" s="118"/>
    </row>
    <row r="280">
      <c r="A280" s="118">
        <v>15247.74</v>
      </c>
      <c r="B280" s="118">
        <v>41060</v>
      </c>
      <c r="D280" s="118"/>
      <c r="E280" s="118"/>
    </row>
    <row r="281">
      <c r="D281" s="119"/>
      <c r="E281" s="119">
        <f>E275+E266+E257+E248+E239+E230+E221+E212+E203+E194+E185+E176+E167+E159+E150+E141+E132+E114+E123+E105+E96+E87+E78+E69+E60+E51+E42+E33+E24+E15+E6</f>
      </c>
    </row>
    <row r="282">
      <c r="D282" s="118"/>
      <c r="E282" s="118"/>
    </row>
    <row r="283">
      <c r="D283" s="118"/>
      <c r="E283" s="118"/>
    </row>
    <row r="284">
      <c r="D284" s="118"/>
      <c r="E284" s="118"/>
    </row>
    <row r="285">
      <c r="D285" s="118"/>
      <c r="E285" s="118"/>
    </row>
    <row r="286">
      <c r="D286" s="118"/>
      <c r="E286" s="118"/>
    </row>
    <row r="287">
      <c r="D287" s="118"/>
      <c r="E287" s="118"/>
    </row>
    <row r="288">
      <c r="D288" s="118"/>
      <c r="E288" s="118"/>
    </row>
    <row r="289">
      <c r="D289" s="118"/>
      <c r="E289" s="118"/>
    </row>
    <row r="290">
      <c r="D290" s="118"/>
      <c r="E290" s="118"/>
    </row>
    <row r="291">
      <c r="D291" s="118"/>
      <c r="E291" s="118"/>
    </row>
    <row r="292">
      <c r="D292" s="118"/>
      <c r="E292" s="118"/>
    </row>
    <row r="293">
      <c r="D293" s="118"/>
      <c r="E293" s="118"/>
    </row>
    <row r="294">
      <c r="D294" s="118"/>
      <c r="E294" s="118"/>
    </row>
    <row r="295">
      <c r="D295" s="118"/>
      <c r="E295" s="118"/>
    </row>
    <row r="296">
      <c r="D296" s="118"/>
      <c r="E296" s="118"/>
    </row>
    <row r="297">
      <c r="D297" s="118"/>
      <c r="E297" s="118"/>
    </row>
    <row r="298">
      <c r="D298" s="118"/>
      <c r="E298" s="118"/>
    </row>
    <row r="299">
      <c r="D299" s="118"/>
      <c r="E299" s="118"/>
    </row>
    <row r="300">
      <c r="D300" s="118"/>
      <c r="E300" s="118"/>
    </row>
    <row r="301">
      <c r="D301" s="118"/>
      <c r="E301" s="118"/>
    </row>
    <row r="302">
      <c r="D302" s="118"/>
      <c r="E302" s="118"/>
    </row>
    <row r="303">
      <c r="D303" s="118"/>
      <c r="E303" s="118"/>
    </row>
    <row r="304">
      <c r="D304" s="118"/>
      <c r="E304" s="118"/>
    </row>
    <row r="305">
      <c r="D305" s="118"/>
      <c r="E305" s="118"/>
    </row>
    <row r="306">
      <c r="D306" s="118"/>
      <c r="E306" s="118"/>
    </row>
    <row r="307">
      <c r="D307" s="118"/>
      <c r="E307" s="118"/>
    </row>
    <row r="308">
      <c r="D308" s="118"/>
      <c r="E308" s="118"/>
    </row>
    <row r="309">
      <c r="D309" s="118"/>
      <c r="E309" s="118"/>
    </row>
    <row r="310">
      <c r="D310" s="118"/>
      <c r="E310" s="118"/>
    </row>
    <row r="311">
      <c r="D311" s="118"/>
      <c r="E311" s="118"/>
    </row>
    <row r="312">
      <c r="D312" s="118"/>
      <c r="E312" s="118"/>
    </row>
    <row r="313">
      <c r="D313" s="118"/>
      <c r="E313" s="118"/>
    </row>
    <row r="314">
      <c r="D314" s="118"/>
      <c r="E314" s="118"/>
    </row>
    <row r="315">
      <c r="D315" s="118"/>
      <c r="E315" s="118"/>
    </row>
    <row r="316">
      <c r="D316" s="118"/>
      <c r="E316" s="118"/>
    </row>
    <row r="317">
      <c r="D317" s="118"/>
      <c r="E317" s="118"/>
    </row>
    <row r="318">
      <c r="D318" s="118"/>
      <c r="E318" s="118"/>
    </row>
    <row r="319">
      <c r="D319" s="118"/>
      <c r="E319" s="118"/>
    </row>
    <row r="320">
      <c r="D320" s="118"/>
      <c r="E320" s="118"/>
    </row>
    <row r="321">
      <c r="D321" s="118"/>
      <c r="E321" s="118"/>
    </row>
    <row r="322">
      <c r="D322" s="118"/>
      <c r="E322" s="118"/>
    </row>
    <row r="323">
      <c r="D323" s="118"/>
      <c r="E323" s="118"/>
    </row>
    <row r="324">
      <c r="D324" s="118"/>
      <c r="E324" s="118"/>
    </row>
    <row r="325">
      <c r="D325" s="118"/>
      <c r="E325" s="118"/>
    </row>
    <row r="326">
      <c r="D326" s="118"/>
      <c r="E326" s="118"/>
    </row>
    <row r="327">
      <c r="D327" s="118"/>
      <c r="E327" s="118"/>
    </row>
    <row r="328">
      <c r="D328" s="118"/>
      <c r="E328" s="118"/>
    </row>
    <row r="329">
      <c r="D329" s="118"/>
      <c r="E329" s="118"/>
    </row>
    <row r="330">
      <c r="D330" s="118"/>
      <c r="E330" s="118"/>
    </row>
    <row r="331">
      <c r="D331" s="118"/>
      <c r="E331" s="118"/>
    </row>
    <row r="332">
      <c r="D332" s="118"/>
      <c r="E332" s="118"/>
    </row>
    <row r="333">
      <c r="D333" s="118"/>
      <c r="E333" s="118"/>
    </row>
    <row r="334">
      <c r="D334" s="118"/>
      <c r="E334" s="118"/>
    </row>
    <row r="335">
      <c r="D335" s="118"/>
      <c r="E335" s="118"/>
    </row>
    <row r="336">
      <c r="D336" s="118"/>
      <c r="E336" s="118"/>
    </row>
    <row r="337">
      <c r="D337" s="118"/>
      <c r="E337" s="118"/>
    </row>
    <row r="338">
      <c r="D338" s="118"/>
      <c r="E338" s="118"/>
    </row>
    <row r="339">
      <c r="D339" s="118"/>
      <c r="E339" s="118"/>
    </row>
    <row r="340">
      <c r="D340" s="118"/>
      <c r="E340" s="118"/>
    </row>
    <row r="341">
      <c r="D341" s="118"/>
      <c r="E341" s="118"/>
    </row>
    <row r="342">
      <c r="D342" s="118"/>
      <c r="E342" s="118"/>
    </row>
    <row r="343">
      <c r="D343" s="118"/>
      <c r="E343" s="118"/>
    </row>
    <row r="344">
      <c r="D344" s="118"/>
      <c r="E344" s="118"/>
    </row>
    <row r="345">
      <c r="D345" s="118"/>
      <c r="E345" s="118"/>
    </row>
    <row r="346">
      <c r="D346" s="118"/>
      <c r="E346" s="118"/>
    </row>
    <row r="347">
      <c r="D347" s="118"/>
      <c r="E347" s="118"/>
    </row>
    <row r="348">
      <c r="D348" s="118"/>
      <c r="E348" s="118"/>
    </row>
    <row r="349">
      <c r="D349" s="118"/>
      <c r="E349" s="118"/>
    </row>
    <row r="350">
      <c r="D350" s="118"/>
      <c r="E350" s="118"/>
    </row>
    <row r="351">
      <c r="D351" s="118"/>
      <c r="E351" s="118"/>
    </row>
    <row r="352">
      <c r="D352" s="118"/>
      <c r="E352" s="118"/>
    </row>
    <row r="353">
      <c r="D353" s="118"/>
      <c r="E353" s="118"/>
    </row>
    <row r="354">
      <c r="D354" s="118"/>
      <c r="E354" s="118"/>
    </row>
    <row r="355">
      <c r="D355" s="118"/>
      <c r="E355" s="118"/>
    </row>
    <row r="356">
      <c r="D356" s="118"/>
      <c r="E356" s="118"/>
    </row>
    <row r="357">
      <c r="D357" s="118"/>
      <c r="E357" s="118"/>
    </row>
    <row r="358">
      <c r="D358" s="118"/>
      <c r="E358" s="118"/>
    </row>
    <row r="359">
      <c r="D359" s="118"/>
      <c r="E359" s="118"/>
    </row>
    <row r="360">
      <c r="D360" s="118"/>
      <c r="E360" s="118"/>
    </row>
    <row r="361">
      <c r="D361" s="118"/>
      <c r="E361" s="118"/>
    </row>
    <row r="362">
      <c r="D362" s="118"/>
      <c r="E362" s="118"/>
    </row>
    <row r="363">
      <c r="D363" s="118"/>
      <c r="E363" s="118"/>
    </row>
    <row r="364">
      <c r="D364" s="118"/>
      <c r="E364" s="118"/>
    </row>
    <row r="365">
      <c r="D365" s="118"/>
      <c r="E365" s="118"/>
    </row>
    <row r="366">
      <c r="D366" s="118"/>
      <c r="E366" s="118"/>
    </row>
    <row r="367">
      <c r="D367" s="118"/>
      <c r="E367" s="118"/>
    </row>
    <row r="368">
      <c r="D368" s="118"/>
      <c r="E368" s="118"/>
    </row>
    <row r="369">
      <c r="D369" s="118"/>
      <c r="E369" s="118"/>
    </row>
    <row r="370">
      <c r="D370" s="118"/>
      <c r="E370" s="118"/>
    </row>
    <row r="371">
      <c r="D371" s="118"/>
      <c r="E371" s="118"/>
    </row>
    <row r="372">
      <c r="D372" s="118"/>
      <c r="E372" s="118"/>
    </row>
    <row r="373">
      <c r="D373" s="118"/>
      <c r="E373" s="118"/>
    </row>
    <row r="374">
      <c r="D374" s="118"/>
      <c r="E374" s="118"/>
    </row>
    <row r="375">
      <c r="D375" s="118"/>
      <c r="E375" s="118"/>
    </row>
    <row r="376">
      <c r="D376" s="118"/>
      <c r="E376" s="118"/>
    </row>
    <row r="377">
      <c r="D377" s="118"/>
      <c r="E377" s="118"/>
    </row>
    <row r="378">
      <c r="D378" s="118"/>
      <c r="E378" s="118"/>
    </row>
    <row r="379">
      <c r="D379" s="118"/>
      <c r="E379" s="118"/>
    </row>
    <row r="380">
      <c r="D380" s="118"/>
      <c r="E380" s="118"/>
    </row>
    <row r="381">
      <c r="D381" s="118"/>
      <c r="E381" s="118"/>
    </row>
    <row r="382">
      <c r="D382" s="118"/>
      <c r="E382" s="118"/>
    </row>
    <row r="383">
      <c r="D383" s="118"/>
      <c r="E383" s="118"/>
    </row>
    <row r="384">
      <c r="D384" s="118"/>
      <c r="E384" s="118"/>
    </row>
    <row r="385">
      <c r="D385" s="118"/>
      <c r="E385" s="118"/>
    </row>
    <row r="386">
      <c r="D386" s="118"/>
      <c r="E386" s="118"/>
    </row>
    <row r="387">
      <c r="D387" s="118"/>
      <c r="E387" s="118"/>
    </row>
    <row r="388">
      <c r="D388" s="118"/>
      <c r="E388" s="118"/>
    </row>
    <row r="389">
      <c r="D389" s="118"/>
      <c r="E389" s="118"/>
    </row>
    <row r="390">
      <c r="D390" s="118"/>
      <c r="E390" s="118"/>
    </row>
    <row r="391">
      <c r="D391" s="118"/>
      <c r="E391" s="118"/>
    </row>
    <row r="392">
      <c r="D392" s="118"/>
      <c r="E392" s="118"/>
    </row>
    <row r="393">
      <c r="D393" s="118"/>
      <c r="E393" s="118"/>
    </row>
    <row r="394">
      <c r="D394" s="118"/>
      <c r="E394" s="118"/>
    </row>
    <row r="395">
      <c r="D395" s="118"/>
      <c r="E395" s="118"/>
    </row>
    <row r="396">
      <c r="D396" s="118"/>
      <c r="E396" s="118"/>
    </row>
    <row r="397">
      <c r="D397" s="118"/>
      <c r="E397" s="118"/>
    </row>
    <row r="398">
      <c r="D398" s="118"/>
      <c r="E398" s="118"/>
    </row>
    <row r="399">
      <c r="D399" s="118"/>
      <c r="E399" s="118"/>
    </row>
    <row r="400">
      <c r="D400" s="118"/>
      <c r="E400" s="118"/>
    </row>
    <row r="401">
      <c r="D401" s="118"/>
      <c r="E401" s="118"/>
    </row>
    <row r="402">
      <c r="D402" s="118"/>
      <c r="E402" s="118"/>
    </row>
    <row r="403">
      <c r="D403" s="118"/>
      <c r="E403" s="118"/>
    </row>
    <row r="404">
      <c r="D404" s="118"/>
      <c r="E404" s="118"/>
    </row>
    <row r="405">
      <c r="D405" s="118"/>
      <c r="E405" s="118"/>
    </row>
    <row r="406">
      <c r="D406" s="118"/>
      <c r="E406" s="118"/>
    </row>
    <row r="407">
      <c r="D407" s="118"/>
      <c r="E407" s="118"/>
    </row>
    <row r="408">
      <c r="D408" s="118"/>
      <c r="E408" s="118"/>
    </row>
    <row r="409">
      <c r="D409" s="118"/>
      <c r="E409" s="118"/>
    </row>
    <row r="410">
      <c r="D410" s="118"/>
      <c r="E410" s="118"/>
    </row>
    <row r="411">
      <c r="D411" s="118"/>
      <c r="E411" s="118"/>
    </row>
    <row r="412">
      <c r="D412" s="118"/>
      <c r="E412" s="118"/>
    </row>
    <row r="413">
      <c r="D413" s="118"/>
      <c r="E413" s="118"/>
    </row>
    <row r="414">
      <c r="D414" s="118"/>
      <c r="E414" s="118"/>
    </row>
    <row r="415">
      <c r="D415" s="118"/>
      <c r="E415" s="118"/>
    </row>
    <row r="416">
      <c r="D416" s="118"/>
      <c r="E416" s="118"/>
    </row>
    <row r="417">
      <c r="D417" s="118"/>
      <c r="E417" s="118"/>
    </row>
    <row r="418">
      <c r="D418" s="118"/>
      <c r="E418" s="118"/>
    </row>
    <row r="419">
      <c r="D419" s="118"/>
      <c r="E419" s="118"/>
    </row>
    <row r="420">
      <c r="D420" s="118"/>
      <c r="E420" s="118"/>
    </row>
    <row r="421">
      <c r="D421" s="118"/>
      <c r="E421" s="118"/>
    </row>
    <row r="422">
      <c r="D422" s="118"/>
      <c r="E422" s="118"/>
    </row>
    <row r="423">
      <c r="D423" s="118"/>
      <c r="E423" s="118"/>
    </row>
    <row r="424">
      <c r="D424" s="118"/>
      <c r="E424" s="118"/>
    </row>
    <row r="425">
      <c r="D425" s="118"/>
      <c r="E425" s="118"/>
    </row>
    <row r="426">
      <c r="D426" s="118"/>
      <c r="E426" s="118"/>
    </row>
    <row r="427">
      <c r="D427" s="118"/>
      <c r="E427" s="118"/>
    </row>
    <row r="428">
      <c r="D428" s="118"/>
      <c r="E428" s="118"/>
    </row>
    <row r="429">
      <c r="D429" s="118"/>
      <c r="E429" s="118"/>
    </row>
    <row r="430">
      <c r="D430" s="118"/>
      <c r="E430" s="118"/>
    </row>
    <row r="431">
      <c r="D431" s="118"/>
      <c r="E431" s="118"/>
    </row>
    <row r="432">
      <c r="D432" s="118"/>
      <c r="E432" s="118"/>
    </row>
    <row r="433">
      <c r="D433" s="118"/>
      <c r="E433" s="118"/>
    </row>
    <row r="434">
      <c r="D434" s="118"/>
      <c r="E434" s="118"/>
    </row>
    <row r="435">
      <c r="D435" s="118"/>
      <c r="E435" s="118"/>
    </row>
    <row r="436">
      <c r="D436" s="118"/>
      <c r="E436" s="118"/>
    </row>
    <row r="437">
      <c r="D437" s="118"/>
      <c r="E437" s="118"/>
    </row>
    <row r="438">
      <c r="D438" s="118"/>
      <c r="E438" s="118"/>
    </row>
    <row r="439">
      <c r="D439" s="118"/>
      <c r="E439" s="118"/>
    </row>
    <row r="440">
      <c r="D440" s="118"/>
      <c r="E440" s="118"/>
    </row>
    <row r="441">
      <c r="D441" s="118"/>
      <c r="E441" s="118"/>
    </row>
    <row r="442">
      <c r="D442" s="118"/>
      <c r="E442" s="118"/>
    </row>
    <row r="443">
      <c r="D443" s="118"/>
      <c r="E443" s="118"/>
    </row>
    <row r="444">
      <c r="D444" s="118"/>
      <c r="E444" s="118"/>
    </row>
    <row r="445">
      <c r="D445" s="118"/>
      <c r="E445" s="118"/>
    </row>
    <row r="446">
      <c r="D446" s="118"/>
      <c r="E446" s="118"/>
    </row>
    <row r="447">
      <c r="D447" s="118"/>
      <c r="E447" s="118"/>
    </row>
    <row r="448">
      <c r="D448" s="118"/>
      <c r="E448" s="118"/>
    </row>
    <row r="449">
      <c r="D449" s="118"/>
      <c r="E449" s="118"/>
    </row>
    <row r="450">
      <c r="D450" s="118"/>
      <c r="E450" s="118"/>
    </row>
    <row r="451">
      <c r="D451" s="118"/>
      <c r="E451" s="118"/>
    </row>
    <row r="452">
      <c r="D452" s="118"/>
      <c r="E452" s="118"/>
    </row>
    <row r="453">
      <c r="D453" s="118"/>
      <c r="E453" s="118"/>
    </row>
    <row r="454">
      <c r="D454" s="118"/>
      <c r="E454" s="118"/>
    </row>
    <row r="455">
      <c r="D455" s="118"/>
      <c r="E455" s="118"/>
    </row>
    <row r="456">
      <c r="D456" s="118"/>
      <c r="E456" s="118"/>
    </row>
    <row r="457">
      <c r="D457" s="118"/>
      <c r="E457" s="118"/>
    </row>
    <row r="458">
      <c r="D458" s="118"/>
      <c r="E458" s="118"/>
    </row>
    <row r="459">
      <c r="D459" s="118"/>
      <c r="E459" s="118"/>
    </row>
    <row r="460">
      <c r="D460" s="118"/>
      <c r="E460" s="118"/>
    </row>
    <row r="461">
      <c r="D461" s="118"/>
      <c r="E461" s="118"/>
    </row>
    <row r="462">
      <c r="D462" s="118"/>
      <c r="E462" s="118"/>
    </row>
    <row r="463">
      <c r="D463" s="118"/>
      <c r="E463" s="118"/>
    </row>
    <row r="464">
      <c r="D464" s="118"/>
      <c r="E464" s="118"/>
    </row>
    <row r="465">
      <c r="D465" s="118"/>
      <c r="E465" s="118"/>
    </row>
    <row r="466">
      <c r="D466" s="118"/>
      <c r="E466" s="118"/>
    </row>
    <row r="467">
      <c r="D467" s="118"/>
      <c r="E467" s="118"/>
    </row>
    <row r="468">
      <c r="D468" s="118"/>
      <c r="E468" s="118"/>
    </row>
    <row r="469">
      <c r="D469" s="118"/>
      <c r="E469" s="118"/>
    </row>
    <row r="470">
      <c r="D470" s="118"/>
      <c r="E470" s="118"/>
    </row>
    <row r="471">
      <c r="D471" s="118"/>
      <c r="E471" s="118"/>
    </row>
    <row r="472">
      <c r="D472" s="118"/>
      <c r="E472" s="118"/>
    </row>
    <row r="473">
      <c r="D473" s="118"/>
      <c r="E473" s="118"/>
    </row>
    <row r="474">
      <c r="D474" s="118"/>
      <c r="E474" s="118"/>
    </row>
    <row r="475">
      <c r="D475" s="118"/>
      <c r="E475" s="118"/>
    </row>
    <row r="476">
      <c r="D476" s="118"/>
      <c r="E476" s="118"/>
    </row>
    <row r="477">
      <c r="D477" s="118"/>
      <c r="E477" s="118"/>
    </row>
    <row r="478">
      <c r="D478" s="118"/>
      <c r="E478" s="118"/>
    </row>
    <row r="479">
      <c r="D479" s="118"/>
      <c r="E479" s="118"/>
    </row>
    <row r="480">
      <c r="D480" s="118"/>
      <c r="E480" s="118"/>
    </row>
    <row r="481">
      <c r="D481" s="118"/>
      <c r="E481" s="118"/>
    </row>
    <row r="482">
      <c r="D482" s="118"/>
      <c r="E482" s="118"/>
    </row>
    <row r="483">
      <c r="D483" s="118"/>
      <c r="E483" s="118"/>
    </row>
    <row r="484">
      <c r="D484" s="118"/>
      <c r="E484" s="118"/>
    </row>
    <row r="485">
      <c r="D485" s="118"/>
      <c r="E485" s="118"/>
    </row>
    <row r="486">
      <c r="D486" s="118"/>
      <c r="E486" s="118"/>
    </row>
    <row r="487">
      <c r="D487" s="118"/>
      <c r="E487" s="118"/>
    </row>
    <row r="488">
      <c r="D488" s="118"/>
      <c r="E488" s="118"/>
    </row>
    <row r="489">
      <c r="D489" s="118"/>
      <c r="E489" s="118"/>
    </row>
    <row r="490">
      <c r="D490" s="118"/>
      <c r="E490" s="118"/>
    </row>
    <row r="491">
      <c r="D491" s="118"/>
      <c r="E491" s="118"/>
    </row>
    <row r="492">
      <c r="D492" s="118"/>
      <c r="E492" s="118"/>
    </row>
    <row r="493">
      <c r="D493" s="118"/>
      <c r="E493" s="118"/>
    </row>
    <row r="494">
      <c r="D494" s="118"/>
      <c r="E494" s="118"/>
    </row>
    <row r="495">
      <c r="D495" s="118"/>
      <c r="E495" s="118"/>
    </row>
    <row r="496">
      <c r="D496" s="118"/>
      <c r="E496" s="118"/>
    </row>
    <row r="497">
      <c r="D497" s="118"/>
      <c r="E497" s="118"/>
    </row>
    <row r="498">
      <c r="D498" s="118"/>
      <c r="E498" s="118"/>
    </row>
    <row r="499">
      <c r="D499" s="118"/>
      <c r="E499" s="118"/>
    </row>
    <row r="500">
      <c r="D500" s="118"/>
      <c r="E500" s="118"/>
    </row>
    <row r="501">
      <c r="D501" s="118"/>
      <c r="E501" s="118"/>
    </row>
    <row r="502">
      <c r="D502" s="118"/>
      <c r="E502" s="118"/>
    </row>
    <row r="503">
      <c r="D503" s="118"/>
      <c r="E503" s="118"/>
    </row>
    <row r="504">
      <c r="D504" s="118"/>
      <c r="E504" s="118"/>
    </row>
    <row r="505">
      <c r="D505" s="118"/>
      <c r="E505" s="118"/>
    </row>
    <row r="506">
      <c r="D506" s="118"/>
      <c r="E506" s="118"/>
    </row>
    <row r="507">
      <c r="D507" s="118"/>
      <c r="E507" s="118"/>
    </row>
    <row r="508">
      <c r="D508" s="118"/>
      <c r="E508" s="118"/>
    </row>
    <row r="509">
      <c r="D509" s="118"/>
      <c r="E509" s="118"/>
    </row>
    <row r="510">
      <c r="D510" s="118"/>
      <c r="E510" s="118"/>
    </row>
    <row r="511">
      <c r="D511" s="118"/>
      <c r="E511" s="118"/>
    </row>
    <row r="512">
      <c r="D512" s="118"/>
      <c r="E512" s="118"/>
    </row>
    <row r="513">
      <c r="D513" s="118"/>
      <c r="E513" s="118"/>
    </row>
    <row r="514">
      <c r="D514" s="118"/>
      <c r="E514" s="118"/>
    </row>
    <row r="515">
      <c r="D515" s="118"/>
      <c r="E515" s="118"/>
    </row>
    <row r="516">
      <c r="D516" s="118"/>
      <c r="E516" s="118"/>
    </row>
    <row r="517">
      <c r="D517" s="118"/>
      <c r="E517" s="118"/>
    </row>
    <row r="518">
      <c r="D518" s="118"/>
      <c r="E518" s="118"/>
    </row>
    <row r="519">
      <c r="D519" s="118"/>
      <c r="E519" s="118"/>
    </row>
    <row r="520">
      <c r="D520" s="118"/>
      <c r="E520" s="118"/>
    </row>
    <row r="521">
      <c r="D521" s="118"/>
      <c r="E521" s="118"/>
    </row>
    <row r="522">
      <c r="D522" s="118"/>
      <c r="E522" s="118"/>
    </row>
    <row r="523">
      <c r="D523" s="118"/>
      <c r="E523" s="118"/>
    </row>
    <row r="524">
      <c r="D524" s="118"/>
      <c r="E524" s="118"/>
    </row>
    <row r="525">
      <c r="D525" s="118"/>
      <c r="E525" s="118"/>
    </row>
    <row r="526">
      <c r="D526" s="118"/>
      <c r="E526" s="118"/>
    </row>
    <row r="527">
      <c r="D527" s="118"/>
      <c r="E527" s="118"/>
    </row>
    <row r="528">
      <c r="D528" s="118"/>
      <c r="E528" s="118"/>
    </row>
    <row r="529">
      <c r="D529" s="118"/>
      <c r="E529" s="118"/>
    </row>
    <row r="530">
      <c r="D530" s="118"/>
      <c r="E530" s="118"/>
    </row>
    <row r="531">
      <c r="D531" s="118"/>
      <c r="E531" s="118"/>
    </row>
    <row r="532">
      <c r="D532" s="118"/>
      <c r="E532" s="118"/>
    </row>
    <row r="533">
      <c r="D533" s="118"/>
      <c r="E533" s="118"/>
    </row>
    <row r="534">
      <c r="D534" s="118"/>
      <c r="E534" s="118"/>
    </row>
    <row r="535">
      <c r="D535" s="118"/>
      <c r="E535" s="118"/>
    </row>
    <row r="536">
      <c r="D536" s="118"/>
      <c r="E536" s="118"/>
    </row>
    <row r="537">
      <c r="D537" s="118"/>
      <c r="E537" s="118"/>
    </row>
    <row r="538">
      <c r="D538" s="118"/>
      <c r="E538" s="118"/>
    </row>
    <row r="539">
      <c r="D539" s="118"/>
      <c r="E539" s="118"/>
    </row>
    <row r="540">
      <c r="D540" s="118"/>
      <c r="E540" s="118"/>
    </row>
    <row r="541">
      <c r="D541" s="118"/>
      <c r="E541" s="118"/>
    </row>
    <row r="542">
      <c r="D542" s="118"/>
      <c r="E542" s="118"/>
    </row>
    <row r="543">
      <c r="D543" s="118"/>
      <c r="E543" s="118"/>
    </row>
    <row r="544">
      <c r="D544" s="118"/>
      <c r="E544" s="118"/>
    </row>
    <row r="545">
      <c r="D545" s="118"/>
      <c r="E545" s="118"/>
    </row>
    <row r="546">
      <c r="D546" s="118"/>
      <c r="E546" s="118"/>
    </row>
    <row r="547">
      <c r="D547" s="118"/>
      <c r="E547" s="118"/>
    </row>
    <row r="548">
      <c r="D548" s="118"/>
      <c r="E548" s="118"/>
    </row>
    <row r="549">
      <c r="D549" s="118"/>
      <c r="E549" s="118"/>
    </row>
    <row r="550">
      <c r="D550" s="118"/>
      <c r="E550" s="118"/>
    </row>
    <row r="551">
      <c r="D551" s="118"/>
      <c r="E551" s="118"/>
    </row>
    <row r="552">
      <c r="D552" s="118"/>
      <c r="E552" s="118"/>
    </row>
    <row r="553">
      <c r="D553" s="118"/>
      <c r="E553" s="118"/>
    </row>
    <row r="554">
      <c r="D554" s="118"/>
      <c r="E554" s="118"/>
    </row>
    <row r="555">
      <c r="D555" s="118"/>
      <c r="E555" s="118"/>
    </row>
    <row r="556">
      <c r="D556" s="118"/>
      <c r="E556" s="118"/>
    </row>
    <row r="557">
      <c r="D557" s="118"/>
      <c r="E557" s="118"/>
    </row>
    <row r="558">
      <c r="D558" s="118"/>
      <c r="E558" s="118"/>
    </row>
    <row r="559">
      <c r="D559" s="118"/>
      <c r="E559" s="118"/>
    </row>
    <row r="560">
      <c r="D560" s="118"/>
      <c r="E560" s="118"/>
    </row>
    <row r="561">
      <c r="D561" s="118"/>
      <c r="E561" s="118"/>
    </row>
    <row r="562">
      <c r="D562" s="118"/>
      <c r="E562" s="118"/>
    </row>
    <row r="563">
      <c r="D563" s="118"/>
      <c r="E563" s="118"/>
    </row>
    <row r="564">
      <c r="D564" s="118"/>
      <c r="E564" s="118"/>
    </row>
    <row r="565">
      <c r="D565" s="118"/>
      <c r="E565" s="118"/>
    </row>
    <row r="566">
      <c r="D566" s="118"/>
      <c r="E566" s="118"/>
    </row>
    <row r="567">
      <c r="D567" s="118"/>
      <c r="E567" s="118"/>
    </row>
    <row r="568">
      <c r="D568" s="118"/>
      <c r="E568" s="118"/>
    </row>
    <row r="569">
      <c r="D569" s="118"/>
      <c r="E569" s="118"/>
    </row>
    <row r="570">
      <c r="D570" s="118"/>
      <c r="E570" s="118"/>
    </row>
    <row r="571">
      <c r="D571" s="118"/>
      <c r="E571" s="118"/>
    </row>
    <row r="572">
      <c r="D572" s="118"/>
      <c r="E572" s="118"/>
    </row>
    <row r="573">
      <c r="D573" s="118"/>
      <c r="E573" s="118"/>
    </row>
    <row r="574">
      <c r="D574" s="118"/>
      <c r="E574" s="118"/>
    </row>
    <row r="575">
      <c r="D575" s="118"/>
      <c r="E575" s="118"/>
    </row>
    <row r="576">
      <c r="D576" s="118"/>
      <c r="E576" s="118"/>
    </row>
    <row r="577">
      <c r="D577" s="118"/>
      <c r="E577" s="118"/>
    </row>
    <row r="578">
      <c r="D578" s="118"/>
      <c r="E578" s="118"/>
    </row>
    <row r="579">
      <c r="D579" s="118"/>
      <c r="E579" s="118"/>
    </row>
    <row r="580">
      <c r="D580" s="118"/>
      <c r="E580" s="118"/>
    </row>
    <row r="581">
      <c r="D581" s="118"/>
      <c r="E581" s="118"/>
    </row>
    <row r="582">
      <c r="D582" s="118"/>
      <c r="E582" s="118"/>
    </row>
    <row r="583">
      <c r="D583" s="118"/>
      <c r="E583" s="118"/>
    </row>
    <row r="584">
      <c r="D584" s="118"/>
      <c r="E584" s="118"/>
    </row>
    <row r="585">
      <c r="D585" s="118"/>
      <c r="E585" s="118"/>
    </row>
    <row r="586">
      <c r="D586" s="118"/>
      <c r="E586" s="118"/>
    </row>
    <row r="587">
      <c r="D587" s="118"/>
      <c r="E587" s="118"/>
    </row>
    <row r="588">
      <c r="D588" s="118"/>
      <c r="E588" s="118"/>
    </row>
    <row r="589">
      <c r="D589" s="118"/>
      <c r="E589" s="118"/>
    </row>
    <row r="590">
      <c r="D590" s="118"/>
      <c r="E590" s="118"/>
    </row>
    <row r="591">
      <c r="D591" s="118"/>
      <c r="E591" s="118"/>
    </row>
    <row r="592">
      <c r="D592" s="118"/>
      <c r="E592" s="118"/>
    </row>
    <row r="593">
      <c r="D593" s="118"/>
      <c r="E593" s="118"/>
    </row>
    <row r="594">
      <c r="D594" s="118"/>
      <c r="E594" s="118"/>
    </row>
    <row r="595">
      <c r="D595" s="118"/>
      <c r="E595" s="118"/>
    </row>
    <row r="596">
      <c r="D596" s="118"/>
      <c r="E596" s="118"/>
    </row>
    <row r="597">
      <c r="D597" s="118"/>
      <c r="E597" s="118"/>
    </row>
    <row r="598">
      <c r="D598" s="118"/>
      <c r="E598" s="118"/>
    </row>
    <row r="599">
      <c r="D599" s="118"/>
      <c r="E599" s="118"/>
    </row>
    <row r="600">
      <c r="D600" s="118"/>
      <c r="E600" s="118"/>
    </row>
    <row r="601">
      <c r="D601" s="118"/>
      <c r="E601" s="118"/>
    </row>
    <row r="602">
      <c r="D602" s="118"/>
      <c r="E602" s="118"/>
    </row>
    <row r="603">
      <c r="D603" s="118"/>
      <c r="E603" s="118"/>
    </row>
    <row r="604">
      <c r="D604" s="118"/>
      <c r="E604" s="118"/>
    </row>
    <row r="605">
      <c r="D605" s="118"/>
      <c r="E605" s="118"/>
    </row>
    <row r="606">
      <c r="D606" s="118"/>
      <c r="E606" s="118"/>
    </row>
    <row r="607">
      <c r="D607" s="118"/>
      <c r="E607" s="118"/>
    </row>
    <row r="608">
      <c r="D608" s="118"/>
      <c r="E608" s="118"/>
    </row>
    <row r="609">
      <c r="D609" s="118"/>
      <c r="E609" s="118"/>
    </row>
    <row r="610">
      <c r="D610" s="118"/>
      <c r="E610" s="118"/>
    </row>
    <row r="611">
      <c r="D611" s="118"/>
      <c r="E611" s="118"/>
    </row>
    <row r="612">
      <c r="D612" s="118"/>
      <c r="E612" s="118"/>
    </row>
    <row r="613">
      <c r="D613" s="118"/>
      <c r="E613" s="118"/>
    </row>
    <row r="614">
      <c r="D614" s="118"/>
      <c r="E614" s="118"/>
    </row>
    <row r="615">
      <c r="D615" s="118"/>
      <c r="E615" s="118"/>
    </row>
    <row r="616">
      <c r="D616" s="118"/>
      <c r="E616" s="118"/>
    </row>
    <row r="617">
      <c r="D617" s="118"/>
      <c r="E617" s="118"/>
    </row>
    <row r="618">
      <c r="D618" s="118"/>
      <c r="E618" s="118"/>
    </row>
    <row r="619">
      <c r="D619" s="118"/>
      <c r="E619" s="118"/>
    </row>
    <row r="620">
      <c r="D620" s="118"/>
      <c r="E620" s="118"/>
    </row>
    <row r="621">
      <c r="D621" s="118"/>
      <c r="E621" s="118"/>
    </row>
    <row r="622">
      <c r="D622" s="118"/>
      <c r="E622" s="118"/>
    </row>
    <row r="623">
      <c r="D623" s="118"/>
      <c r="E623" s="118"/>
    </row>
    <row r="624">
      <c r="D624" s="118"/>
      <c r="E624" s="118"/>
    </row>
    <row r="625">
      <c r="D625" s="118"/>
      <c r="E625" s="118"/>
    </row>
    <row r="626">
      <c r="D626" s="118"/>
      <c r="E626" s="118"/>
    </row>
    <row r="627">
      <c r="D627" s="118"/>
      <c r="E627" s="118"/>
    </row>
    <row r="628">
      <c r="D628" s="118"/>
      <c r="E628" s="118"/>
    </row>
    <row r="629">
      <c r="D629" s="118"/>
      <c r="E629" s="118"/>
    </row>
    <row r="630">
      <c r="D630" s="118"/>
      <c r="E630" s="118"/>
    </row>
    <row r="631">
      <c r="D631" s="118"/>
      <c r="E631" s="118"/>
    </row>
    <row r="632">
      <c r="D632" s="118"/>
      <c r="E632" s="118"/>
    </row>
    <row r="633">
      <c r="D633" s="118"/>
      <c r="E633" s="118"/>
    </row>
    <row r="634">
      <c r="D634" s="118"/>
      <c r="E634" s="118"/>
    </row>
    <row r="635">
      <c r="D635" s="118"/>
      <c r="E635" s="118"/>
    </row>
    <row r="636">
      <c r="D636" s="118"/>
      <c r="E636" s="118"/>
    </row>
    <row r="637">
      <c r="D637" s="118"/>
      <c r="E637" s="118"/>
    </row>
    <row r="638">
      <c r="D638" s="118"/>
      <c r="E638" s="118"/>
    </row>
    <row r="639">
      <c r="D639" s="118"/>
      <c r="E639" s="118"/>
    </row>
    <row r="640">
      <c r="D640" s="118"/>
      <c r="E640" s="118"/>
    </row>
    <row r="641">
      <c r="D641" s="118"/>
      <c r="E641" s="118"/>
    </row>
    <row r="642">
      <c r="D642" s="118"/>
      <c r="E642" s="118"/>
    </row>
    <row r="643">
      <c r="D643" s="118"/>
      <c r="E643" s="118"/>
    </row>
    <row r="644">
      <c r="D644" s="118"/>
      <c r="E644" s="118"/>
    </row>
    <row r="645">
      <c r="D645" s="118"/>
      <c r="E645" s="118"/>
    </row>
    <row r="646">
      <c r="D646" s="118"/>
      <c r="E646" s="118"/>
    </row>
    <row r="647">
      <c r="D647" s="118"/>
      <c r="E647" s="118"/>
    </row>
    <row r="648">
      <c r="D648" s="118"/>
      <c r="E648" s="118"/>
    </row>
    <row r="649">
      <c r="D649" s="118"/>
      <c r="E649" s="118"/>
    </row>
    <row r="650">
      <c r="D650" s="118"/>
      <c r="E650" s="118"/>
    </row>
    <row r="651">
      <c r="D651" s="118"/>
      <c r="E651" s="118"/>
    </row>
    <row r="652">
      <c r="D652" s="118"/>
      <c r="E652" s="118"/>
    </row>
    <row r="653">
      <c r="D653" s="118"/>
      <c r="E653" s="118"/>
    </row>
    <row r="654">
      <c r="D654" s="118"/>
      <c r="E654" s="118"/>
    </row>
    <row r="655">
      <c r="D655" s="118"/>
      <c r="E655" s="118"/>
    </row>
    <row r="656">
      <c r="D656" s="118"/>
      <c r="E656" s="118"/>
    </row>
    <row r="657">
      <c r="D657" s="118"/>
      <c r="E657" s="118"/>
    </row>
    <row r="658">
      <c r="D658" s="118"/>
      <c r="E658" s="118"/>
    </row>
    <row r="659">
      <c r="D659" s="118"/>
      <c r="E659" s="118"/>
    </row>
    <row r="660">
      <c r="D660" s="118"/>
      <c r="E660" s="118"/>
    </row>
    <row r="661">
      <c r="D661" s="118"/>
      <c r="E661" s="118"/>
    </row>
    <row r="662">
      <c r="D662" s="118"/>
      <c r="E662" s="118"/>
    </row>
    <row r="663">
      <c r="D663" s="118"/>
      <c r="E663" s="118"/>
    </row>
    <row r="664">
      <c r="D664" s="118"/>
      <c r="E664" s="118"/>
    </row>
    <row r="665">
      <c r="D665" s="118"/>
      <c r="E665" s="118"/>
    </row>
    <row r="666">
      <c r="D666" s="118"/>
      <c r="E666" s="118"/>
    </row>
    <row r="667">
      <c r="D667" s="118"/>
      <c r="E667" s="118"/>
    </row>
    <row r="668">
      <c r="D668" s="118"/>
      <c r="E668" s="118"/>
    </row>
    <row r="669">
      <c r="D669" s="118"/>
      <c r="E669" s="118"/>
    </row>
    <row r="670">
      <c r="D670" s="118"/>
      <c r="E670" s="118"/>
    </row>
    <row r="671">
      <c r="D671" s="118"/>
      <c r="E671" s="118"/>
    </row>
    <row r="672">
      <c r="D672" s="118"/>
      <c r="E672" s="118"/>
    </row>
    <row r="673">
      <c r="D673" s="118"/>
      <c r="E673" s="118"/>
    </row>
    <row r="674">
      <c r="D674" s="118"/>
      <c r="E674" s="118"/>
    </row>
    <row r="675">
      <c r="D675" s="118"/>
      <c r="E675" s="118"/>
    </row>
    <row r="676">
      <c r="D676" s="118"/>
      <c r="E676" s="118"/>
    </row>
    <row r="677">
      <c r="D677" s="118"/>
      <c r="E677" s="118"/>
    </row>
    <row r="678">
      <c r="D678" s="118"/>
      <c r="E678" s="118"/>
    </row>
    <row r="679">
      <c r="D679" s="118"/>
      <c r="E679" s="118"/>
    </row>
    <row r="680">
      <c r="D680" s="118"/>
      <c r="E680" s="118"/>
    </row>
    <row r="681">
      <c r="D681" s="118"/>
      <c r="E681" s="118"/>
    </row>
    <row r="682">
      <c r="D682" s="118"/>
      <c r="E682" s="118"/>
    </row>
    <row r="683">
      <c r="D683" s="118"/>
      <c r="E683" s="118"/>
    </row>
    <row r="684">
      <c r="D684" s="118"/>
      <c r="E684" s="118"/>
    </row>
    <row r="685">
      <c r="D685" s="118"/>
      <c r="E685" s="118"/>
    </row>
    <row r="686">
      <c r="D686" s="118"/>
      <c r="E686" s="118"/>
    </row>
    <row r="687">
      <c r="D687" s="118"/>
      <c r="E687" s="118"/>
    </row>
    <row r="688">
      <c r="D688" s="118"/>
      <c r="E688" s="118"/>
    </row>
    <row r="689">
      <c r="D689" s="118"/>
      <c r="E689" s="118"/>
    </row>
    <row r="690">
      <c r="D690" s="118"/>
      <c r="E690" s="118"/>
    </row>
    <row r="691">
      <c r="D691" s="118"/>
      <c r="E691" s="118"/>
    </row>
    <row r="692">
      <c r="D692" s="118"/>
      <c r="E692" s="118"/>
    </row>
    <row r="693">
      <c r="D693" s="118"/>
      <c r="E693" s="118"/>
    </row>
    <row r="694">
      <c r="D694" s="118"/>
      <c r="E694" s="118"/>
    </row>
    <row r="695">
      <c r="D695" s="118"/>
      <c r="E695" s="118"/>
    </row>
    <row r="696">
      <c r="D696" s="118"/>
      <c r="E696" s="118"/>
    </row>
    <row r="697">
      <c r="D697" s="118"/>
      <c r="E697" s="118"/>
    </row>
    <row r="698">
      <c r="D698" s="118"/>
      <c r="E698" s="118"/>
    </row>
    <row r="699">
      <c r="D699" s="118"/>
      <c r="E699" s="118"/>
    </row>
    <row r="700">
      <c r="D700" s="118"/>
      <c r="E700" s="118"/>
    </row>
    <row r="701">
      <c r="D701" s="118"/>
      <c r="E701" s="118"/>
    </row>
    <row r="702">
      <c r="D702" s="118"/>
      <c r="E702" s="118"/>
    </row>
    <row r="703">
      <c r="D703" s="118"/>
      <c r="E703" s="118"/>
    </row>
    <row r="704">
      <c r="D704" s="118"/>
      <c r="E704" s="118"/>
    </row>
    <row r="705">
      <c r="D705" s="118"/>
      <c r="E705" s="118"/>
    </row>
    <row r="706">
      <c r="D706" s="118"/>
      <c r="E706" s="118"/>
    </row>
    <row r="707">
      <c r="D707" s="118"/>
      <c r="E707" s="118"/>
    </row>
    <row r="708">
      <c r="D708" s="118"/>
      <c r="E708" s="118"/>
    </row>
    <row r="709">
      <c r="D709" s="118"/>
      <c r="E709" s="118"/>
    </row>
    <row r="710">
      <c r="D710" s="118"/>
      <c r="E710" s="118"/>
    </row>
    <row r="711">
      <c r="D711" s="118"/>
      <c r="E711" s="118"/>
    </row>
    <row r="712">
      <c r="D712" s="118"/>
      <c r="E712" s="118"/>
    </row>
    <row r="713">
      <c r="D713" s="118"/>
      <c r="E713" s="118"/>
    </row>
    <row r="714">
      <c r="D714" s="118"/>
      <c r="E714" s="118"/>
    </row>
    <row r="715">
      <c r="D715" s="118"/>
      <c r="E715" s="118"/>
    </row>
    <row r="716">
      <c r="D716" s="118"/>
      <c r="E716" s="118"/>
    </row>
    <row r="717">
      <c r="D717" s="118"/>
      <c r="E717" s="118"/>
    </row>
    <row r="718">
      <c r="D718" s="118"/>
      <c r="E718" s="118"/>
    </row>
    <row r="719">
      <c r="D719" s="118"/>
      <c r="E719" s="118"/>
    </row>
    <row r="720">
      <c r="D720" s="118"/>
      <c r="E720" s="118"/>
    </row>
    <row r="721">
      <c r="D721" s="118"/>
      <c r="E721" s="118"/>
    </row>
    <row r="722">
      <c r="D722" s="118"/>
      <c r="E722" s="118"/>
    </row>
    <row r="723">
      <c r="D723" s="118"/>
      <c r="E723" s="118"/>
    </row>
    <row r="724">
      <c r="D724" s="118"/>
      <c r="E724" s="118"/>
    </row>
    <row r="725">
      <c r="D725" s="118"/>
      <c r="E725" s="118"/>
    </row>
    <row r="726">
      <c r="D726" s="118"/>
      <c r="E726" s="118"/>
    </row>
    <row r="727">
      <c r="D727" s="118"/>
      <c r="E727" s="118"/>
    </row>
    <row r="728">
      <c r="D728" s="118"/>
      <c r="E728" s="118"/>
    </row>
    <row r="729">
      <c r="D729" s="118"/>
      <c r="E729" s="118"/>
    </row>
    <row r="730">
      <c r="D730" s="118"/>
      <c r="E730" s="118"/>
    </row>
    <row r="731">
      <c r="D731" s="118"/>
      <c r="E731" s="118"/>
    </row>
    <row r="732">
      <c r="D732" s="118"/>
      <c r="E732" s="118"/>
    </row>
    <row r="733">
      <c r="D733" s="118"/>
      <c r="E733" s="118"/>
    </row>
    <row r="734">
      <c r="D734" s="118"/>
      <c r="E734" s="118"/>
    </row>
    <row r="735">
      <c r="D735" s="118"/>
      <c r="E735" s="118"/>
    </row>
    <row r="736">
      <c r="D736" s="118"/>
      <c r="E736" s="118"/>
    </row>
    <row r="737">
      <c r="D737" s="118"/>
      <c r="E737" s="118"/>
    </row>
    <row r="738">
      <c r="D738" s="118"/>
      <c r="E738" s="118"/>
    </row>
    <row r="739">
      <c r="D739" s="118"/>
      <c r="E739" s="118"/>
    </row>
    <row r="740">
      <c r="D740" s="118"/>
      <c r="E740" s="118"/>
    </row>
    <row r="741">
      <c r="D741" s="118"/>
      <c r="E741" s="118"/>
    </row>
    <row r="742">
      <c r="D742" s="118"/>
      <c r="E742" s="118"/>
    </row>
    <row r="743">
      <c r="D743" s="118"/>
      <c r="E743" s="118"/>
    </row>
    <row r="744">
      <c r="D744" s="118"/>
      <c r="E744" s="118"/>
    </row>
    <row r="745">
      <c r="D745" s="118"/>
      <c r="E745" s="118"/>
    </row>
    <row r="746">
      <c r="D746" s="118"/>
      <c r="E746" s="118"/>
    </row>
    <row r="747">
      <c r="D747" s="118"/>
      <c r="E747" s="118"/>
    </row>
    <row r="748">
      <c r="D748" s="118"/>
      <c r="E748" s="118"/>
    </row>
    <row r="749">
      <c r="D749" s="118"/>
      <c r="E749" s="118"/>
    </row>
    <row r="750">
      <c r="D750" s="118"/>
      <c r="E750" s="118"/>
    </row>
    <row r="751">
      <c r="D751" s="118"/>
      <c r="E751" s="118"/>
    </row>
    <row r="752">
      <c r="D752" s="118"/>
      <c r="E752" s="118"/>
    </row>
    <row r="753">
      <c r="D753" s="118"/>
      <c r="E753" s="118"/>
    </row>
    <row r="754">
      <c r="D754" s="118"/>
      <c r="E754" s="118"/>
    </row>
    <row r="755">
      <c r="D755" s="118"/>
      <c r="E755" s="118"/>
    </row>
    <row r="756">
      <c r="D756" s="118"/>
      <c r="E756" s="118"/>
    </row>
    <row r="757">
      <c r="D757" s="118"/>
      <c r="E757" s="118"/>
    </row>
    <row r="758">
      <c r="D758" s="118"/>
      <c r="E758" s="118"/>
    </row>
    <row r="759">
      <c r="D759" s="118"/>
      <c r="E759" s="118"/>
    </row>
    <row r="760">
      <c r="D760" s="118"/>
      <c r="E760" s="118"/>
    </row>
    <row r="761">
      <c r="D761" s="118"/>
      <c r="E761" s="118"/>
    </row>
    <row r="762">
      <c r="D762" s="118"/>
      <c r="E762" s="118"/>
    </row>
    <row r="763">
      <c r="D763" s="118"/>
      <c r="E763" s="118"/>
    </row>
    <row r="764">
      <c r="D764" s="118"/>
      <c r="E764" s="118"/>
    </row>
    <row r="765">
      <c r="D765" s="118"/>
      <c r="E765" s="118"/>
    </row>
    <row r="766">
      <c r="D766" s="118"/>
      <c r="E766" s="118"/>
    </row>
    <row r="767">
      <c r="D767" s="118"/>
      <c r="E767" s="118"/>
    </row>
    <row r="768">
      <c r="D768" s="118"/>
      <c r="E768" s="118"/>
    </row>
    <row r="769">
      <c r="D769" s="118"/>
      <c r="E769" s="118"/>
    </row>
    <row r="770">
      <c r="D770" s="118"/>
      <c r="E770" s="118"/>
    </row>
    <row r="771">
      <c r="D771" s="118"/>
      <c r="E771" s="118"/>
    </row>
    <row r="772">
      <c r="D772" s="118"/>
      <c r="E772" s="118"/>
    </row>
    <row r="773">
      <c r="D773" s="118"/>
      <c r="E773" s="118"/>
    </row>
    <row r="774">
      <c r="D774" s="118"/>
      <c r="E774" s="118"/>
    </row>
    <row r="775">
      <c r="D775" s="118"/>
      <c r="E775" s="118"/>
    </row>
    <row r="776">
      <c r="D776" s="118"/>
      <c r="E776" s="118"/>
    </row>
    <row r="777">
      <c r="D777" s="118"/>
      <c r="E777" s="118"/>
    </row>
    <row r="778">
      <c r="D778" s="118"/>
      <c r="E778" s="118"/>
    </row>
    <row r="779">
      <c r="D779" s="118"/>
      <c r="E779" s="118"/>
    </row>
    <row r="780">
      <c r="D780" s="118"/>
      <c r="E780" s="118"/>
    </row>
    <row r="781">
      <c r="D781" s="118"/>
      <c r="E781" s="118"/>
    </row>
    <row r="782">
      <c r="D782" s="118"/>
      <c r="E782" s="118"/>
    </row>
    <row r="783">
      <c r="D783" s="118"/>
      <c r="E783" s="118"/>
    </row>
    <row r="784">
      <c r="D784" s="118"/>
      <c r="E784" s="118"/>
    </row>
    <row r="785">
      <c r="D785" s="118"/>
      <c r="E785" s="118"/>
    </row>
    <row r="786">
      <c r="D786" s="118"/>
      <c r="E786" s="118"/>
    </row>
    <row r="787">
      <c r="D787" s="118"/>
      <c r="E787" s="118"/>
    </row>
    <row r="788">
      <c r="D788" s="118"/>
      <c r="E788" s="118"/>
    </row>
    <row r="789">
      <c r="D789" s="118"/>
      <c r="E789" s="118"/>
    </row>
    <row r="790">
      <c r="D790" s="118"/>
      <c r="E790" s="118"/>
    </row>
    <row r="791">
      <c r="D791" s="118"/>
      <c r="E791" s="118"/>
    </row>
    <row r="792">
      <c r="D792" s="118"/>
      <c r="E792" s="118"/>
    </row>
    <row r="793">
      <c r="D793" s="118"/>
      <c r="E793" s="118"/>
    </row>
    <row r="794">
      <c r="D794" s="118"/>
      <c r="E794" s="118"/>
    </row>
    <row r="795">
      <c r="D795" s="118"/>
      <c r="E795" s="118"/>
    </row>
    <row r="796">
      <c r="D796" s="118"/>
      <c r="E796" s="118"/>
    </row>
    <row r="797">
      <c r="D797" s="118"/>
      <c r="E797" s="118"/>
    </row>
    <row r="798">
      <c r="D798" s="118"/>
      <c r="E798" s="118"/>
    </row>
    <row r="799">
      <c r="D799" s="118"/>
      <c r="E799" s="118"/>
    </row>
    <row r="800">
      <c r="D800" s="118"/>
      <c r="E800" s="118"/>
    </row>
    <row r="801">
      <c r="D801" s="118"/>
      <c r="E801" s="118"/>
    </row>
    <row r="802">
      <c r="D802" s="118"/>
      <c r="E802" s="118"/>
    </row>
    <row r="803">
      <c r="D803" s="118"/>
      <c r="E803" s="118"/>
    </row>
    <row r="804">
      <c r="D804" s="118"/>
      <c r="E804" s="118"/>
    </row>
    <row r="805">
      <c r="D805" s="118"/>
      <c r="E805" s="118"/>
    </row>
    <row r="806">
      <c r="D806" s="118"/>
      <c r="E806" s="118"/>
    </row>
    <row r="807">
      <c r="D807" s="118"/>
      <c r="E807" s="118"/>
    </row>
    <row r="808">
      <c r="D808" s="118"/>
      <c r="E808" s="118"/>
    </row>
    <row r="809">
      <c r="D809" s="118"/>
      <c r="E809" s="118"/>
    </row>
    <row r="810">
      <c r="D810" s="118"/>
      <c r="E810" s="118"/>
    </row>
    <row r="811">
      <c r="D811" s="118"/>
      <c r="E811" s="118"/>
    </row>
    <row r="812">
      <c r="D812" s="118"/>
      <c r="E812" s="118"/>
    </row>
    <row r="813">
      <c r="D813" s="118"/>
      <c r="E813" s="118"/>
    </row>
    <row r="814">
      <c r="D814" s="118"/>
      <c r="E814" s="118"/>
    </row>
    <row r="815">
      <c r="D815" s="118"/>
      <c r="E815" s="118"/>
    </row>
    <row r="816">
      <c r="D816" s="118"/>
      <c r="E816" s="118"/>
    </row>
    <row r="817">
      <c r="D817" s="118"/>
      <c r="E817" s="118"/>
    </row>
    <row r="818">
      <c r="D818" s="118"/>
      <c r="E818" s="118"/>
    </row>
    <row r="819">
      <c r="D819" s="118"/>
      <c r="E819" s="118"/>
    </row>
    <row r="820">
      <c r="D820" s="118"/>
      <c r="E820" s="118"/>
    </row>
    <row r="821">
      <c r="D821" s="118"/>
      <c r="E821" s="118"/>
    </row>
    <row r="822">
      <c r="D822" s="118"/>
      <c r="E822" s="118"/>
    </row>
    <row r="823">
      <c r="D823" s="118"/>
      <c r="E823" s="118"/>
    </row>
    <row r="824">
      <c r="D824" s="118"/>
      <c r="E824" s="118"/>
    </row>
    <row r="825">
      <c r="D825" s="118"/>
      <c r="E825" s="118"/>
    </row>
    <row r="826">
      <c r="D826" s="118"/>
      <c r="E826" s="118"/>
    </row>
    <row r="827">
      <c r="D827" s="118"/>
      <c r="E827" s="118"/>
    </row>
    <row r="828">
      <c r="D828" s="118"/>
      <c r="E828" s="118"/>
    </row>
    <row r="829">
      <c r="D829" s="118"/>
      <c r="E829" s="118"/>
    </row>
    <row r="830">
      <c r="D830" s="118"/>
      <c r="E830" s="118"/>
    </row>
    <row r="831">
      <c r="D831" s="118"/>
      <c r="E831" s="118"/>
    </row>
    <row r="832">
      <c r="D832" s="118"/>
      <c r="E832" s="118"/>
    </row>
    <row r="833">
      <c r="D833" s="118"/>
      <c r="E833" s="118"/>
    </row>
    <row r="834">
      <c r="D834" s="118"/>
      <c r="E834" s="118"/>
    </row>
    <row r="835">
      <c r="D835" s="118"/>
      <c r="E835" s="118"/>
    </row>
    <row r="836">
      <c r="D836" s="118"/>
      <c r="E836" s="118"/>
    </row>
    <row r="837">
      <c r="D837" s="118"/>
      <c r="E837" s="118"/>
    </row>
    <row r="838">
      <c r="D838" s="118"/>
      <c r="E838" s="118"/>
    </row>
    <row r="839">
      <c r="D839" s="118"/>
      <c r="E839" s="118"/>
    </row>
    <row r="840">
      <c r="D840" s="118"/>
      <c r="E840" s="118"/>
    </row>
    <row r="841">
      <c r="D841" s="118"/>
      <c r="E841" s="118"/>
    </row>
    <row r="842">
      <c r="D842" s="118"/>
      <c r="E842" s="118"/>
    </row>
    <row r="843">
      <c r="D843" s="118"/>
      <c r="E843" s="118"/>
    </row>
    <row r="844">
      <c r="D844" s="118"/>
      <c r="E844" s="118"/>
    </row>
    <row r="845">
      <c r="D845" s="118"/>
      <c r="E845" s="118"/>
    </row>
    <row r="846">
      <c r="D846" s="118"/>
      <c r="E846" s="118"/>
    </row>
    <row r="847">
      <c r="D847" s="118"/>
      <c r="E847" s="118"/>
    </row>
    <row r="848">
      <c r="D848" s="118"/>
      <c r="E848" s="118"/>
    </row>
    <row r="849">
      <c r="D849" s="118"/>
      <c r="E849" s="118"/>
    </row>
    <row r="850">
      <c r="D850" s="118"/>
      <c r="E850" s="118"/>
    </row>
    <row r="851">
      <c r="D851" s="118"/>
      <c r="E851" s="118"/>
    </row>
    <row r="852">
      <c r="D852" s="118"/>
      <c r="E852" s="118"/>
    </row>
    <row r="853">
      <c r="D853" s="118"/>
      <c r="E853" s="118"/>
    </row>
    <row r="854">
      <c r="D854" s="118"/>
      <c r="E854" s="118"/>
    </row>
    <row r="855">
      <c r="D855" s="118"/>
      <c r="E855" s="118"/>
    </row>
    <row r="856">
      <c r="D856" s="118"/>
      <c r="E856" s="118"/>
    </row>
    <row r="857">
      <c r="D857" s="118"/>
      <c r="E857" s="118"/>
    </row>
    <row r="858">
      <c r="D858" s="118"/>
      <c r="E858" s="118"/>
    </row>
    <row r="859">
      <c r="D859" s="118"/>
      <c r="E859" s="118"/>
    </row>
    <row r="860">
      <c r="D860" s="118"/>
      <c r="E860" s="118"/>
    </row>
    <row r="861">
      <c r="D861" s="118"/>
      <c r="E861" s="118"/>
    </row>
    <row r="862">
      <c r="D862" s="118"/>
      <c r="E862" s="118"/>
    </row>
    <row r="863">
      <c r="D863" s="118"/>
      <c r="E863" s="118"/>
    </row>
    <row r="864">
      <c r="D864" s="118"/>
      <c r="E864" s="118"/>
    </row>
    <row r="865">
      <c r="D865" s="118"/>
      <c r="E865" s="118"/>
    </row>
    <row r="866">
      <c r="D866" s="118"/>
      <c r="E866" s="118"/>
    </row>
    <row r="867">
      <c r="D867" s="118"/>
      <c r="E867" s="118"/>
    </row>
    <row r="868">
      <c r="D868" s="118"/>
      <c r="E868" s="118"/>
    </row>
    <row r="869">
      <c r="D869" s="118"/>
      <c r="E869" s="118"/>
    </row>
    <row r="870">
      <c r="D870" s="118"/>
      <c r="E870" s="118"/>
    </row>
    <row r="871">
      <c r="D871" s="118"/>
      <c r="E871" s="118"/>
    </row>
    <row r="872">
      <c r="D872" s="118"/>
      <c r="E872" s="118"/>
    </row>
    <row r="873">
      <c r="D873" s="118"/>
      <c r="E873" s="118"/>
    </row>
    <row r="874">
      <c r="D874" s="118"/>
      <c r="E874" s="118"/>
    </row>
    <row r="875">
      <c r="D875" s="118"/>
      <c r="E875" s="118"/>
    </row>
    <row r="876">
      <c r="D876" s="118"/>
      <c r="E876" s="118"/>
    </row>
    <row r="877">
      <c r="D877" s="118"/>
      <c r="E877" s="118"/>
    </row>
    <row r="878">
      <c r="D878" s="118"/>
      <c r="E878" s="118"/>
    </row>
    <row r="879">
      <c r="D879" s="118"/>
      <c r="E879" s="118"/>
    </row>
    <row r="880">
      <c r="D880" s="118"/>
      <c r="E880" s="118"/>
    </row>
    <row r="881">
      <c r="D881" s="118"/>
      <c r="E881" s="118"/>
    </row>
    <row r="882">
      <c r="D882" s="118"/>
      <c r="E882" s="118"/>
    </row>
    <row r="883">
      <c r="D883" s="118"/>
      <c r="E883" s="118"/>
    </row>
    <row r="884">
      <c r="D884" s="118"/>
      <c r="E884" s="118"/>
    </row>
    <row r="885">
      <c r="D885" s="118"/>
      <c r="E885" s="118"/>
    </row>
    <row r="886">
      <c r="D886" s="118"/>
      <c r="E886" s="118"/>
    </row>
    <row r="887">
      <c r="D887" s="118"/>
      <c r="E887" s="118"/>
    </row>
    <row r="888">
      <c r="D888" s="118"/>
      <c r="E888" s="118"/>
    </row>
    <row r="889">
      <c r="D889" s="118"/>
      <c r="E889" s="118"/>
    </row>
    <row r="890">
      <c r="D890" s="118"/>
      <c r="E890" s="118"/>
    </row>
    <row r="891">
      <c r="D891" s="118"/>
      <c r="E891" s="118"/>
    </row>
    <row r="892">
      <c r="D892" s="118"/>
      <c r="E892" s="118"/>
    </row>
    <row r="893">
      <c r="D893" s="118"/>
      <c r="E893" s="118"/>
    </row>
    <row r="894">
      <c r="D894" s="118"/>
      <c r="E894" s="118"/>
    </row>
    <row r="895">
      <c r="D895" s="118"/>
      <c r="E895" s="118"/>
    </row>
    <row r="896">
      <c r="D896" s="118"/>
      <c r="E896" s="118"/>
    </row>
    <row r="897">
      <c r="D897" s="118"/>
      <c r="E897" s="118"/>
    </row>
    <row r="898">
      <c r="D898" s="118"/>
      <c r="E898" s="118"/>
    </row>
    <row r="899">
      <c r="D899" s="118"/>
      <c r="E899" s="118"/>
    </row>
    <row r="900">
      <c r="D900" s="118"/>
      <c r="E900" s="118"/>
    </row>
    <row r="901">
      <c r="D901" s="118"/>
      <c r="E901" s="118"/>
    </row>
    <row r="902">
      <c r="D902" s="118"/>
      <c r="E902" s="118"/>
    </row>
    <row r="903">
      <c r="D903" s="118"/>
      <c r="E903" s="118"/>
    </row>
    <row r="904">
      <c r="D904" s="118"/>
      <c r="E904" s="118"/>
    </row>
    <row r="905">
      <c r="D905" s="118"/>
      <c r="E905" s="118"/>
    </row>
    <row r="906">
      <c r="D906" s="118"/>
      <c r="E906" s="118"/>
    </row>
    <row r="907">
      <c r="D907" s="118"/>
      <c r="E907" s="118"/>
    </row>
    <row r="908">
      <c r="D908" s="118"/>
      <c r="E908" s="118"/>
    </row>
    <row r="909">
      <c r="D909" s="118"/>
      <c r="E909" s="118"/>
    </row>
    <row r="910">
      <c r="D910" s="118"/>
      <c r="E910" s="118"/>
    </row>
    <row r="911">
      <c r="D911" s="118"/>
      <c r="E911" s="118"/>
    </row>
    <row r="912">
      <c r="D912" s="118"/>
      <c r="E912" s="118"/>
    </row>
    <row r="913">
      <c r="D913" s="118"/>
      <c r="E913" s="118"/>
    </row>
    <row r="914">
      <c r="D914" s="118"/>
      <c r="E914" s="118"/>
    </row>
    <row r="915">
      <c r="D915" s="118"/>
      <c r="E915" s="118"/>
    </row>
    <row r="916">
      <c r="D916" s="118"/>
      <c r="E916" s="118"/>
    </row>
    <row r="917">
      <c r="D917" s="118"/>
      <c r="E917" s="118"/>
    </row>
    <row r="918">
      <c r="D918" s="118"/>
      <c r="E918" s="118"/>
    </row>
    <row r="919">
      <c r="D919" s="118"/>
      <c r="E919" s="118"/>
    </row>
    <row r="920">
      <c r="D920" s="118"/>
      <c r="E920" s="118"/>
    </row>
    <row r="921">
      <c r="D921" s="118"/>
      <c r="E921" s="118"/>
    </row>
    <row r="922">
      <c r="D922" s="118"/>
      <c r="E922" s="118"/>
    </row>
    <row r="923">
      <c r="D923" s="118"/>
      <c r="E923" s="118"/>
    </row>
    <row r="924">
      <c r="D924" s="118"/>
      <c r="E924" s="118"/>
    </row>
    <row r="925">
      <c r="D925" s="118"/>
      <c r="E925" s="118"/>
    </row>
    <row r="926">
      <c r="D926" s="118"/>
      <c r="E926" s="118"/>
    </row>
    <row r="927">
      <c r="D927" s="118"/>
      <c r="E927" s="118"/>
    </row>
    <row r="928">
      <c r="D928" s="118"/>
      <c r="E928" s="118"/>
    </row>
    <row r="929">
      <c r="D929" s="118"/>
      <c r="E929" s="118"/>
    </row>
    <row r="930">
      <c r="D930" s="118"/>
      <c r="E930" s="118"/>
    </row>
    <row r="931">
      <c r="D931" s="118"/>
      <c r="E931" s="118"/>
    </row>
    <row r="932">
      <c r="D932" s="118"/>
      <c r="E932" s="118"/>
    </row>
    <row r="933">
      <c r="D933" s="118"/>
      <c r="E933" s="118"/>
    </row>
    <row r="934">
      <c r="D934" s="118"/>
      <c r="E934" s="118"/>
    </row>
    <row r="935">
      <c r="D935" s="118"/>
      <c r="E935" s="118"/>
    </row>
    <row r="936">
      <c r="D936" s="118"/>
      <c r="E936" s="118"/>
    </row>
    <row r="937">
      <c r="D937" s="118"/>
      <c r="E937" s="118"/>
    </row>
    <row r="938">
      <c r="D938" s="118"/>
      <c r="E938" s="118"/>
    </row>
    <row r="939">
      <c r="D939" s="118"/>
      <c r="E939" s="118"/>
    </row>
    <row r="940">
      <c r="D940" s="118"/>
      <c r="E940" s="118"/>
    </row>
    <row r="941">
      <c r="D941" s="118"/>
      <c r="E941" s="118"/>
    </row>
    <row r="942">
      <c r="D942" s="118"/>
      <c r="E942" s="118"/>
    </row>
    <row r="943">
      <c r="D943" s="118"/>
      <c r="E943" s="118"/>
    </row>
    <row r="944">
      <c r="D944" s="118"/>
      <c r="E944" s="118"/>
    </row>
    <row r="945">
      <c r="D945" s="118"/>
      <c r="E945" s="118"/>
    </row>
    <row r="946">
      <c r="D946" s="118"/>
      <c r="E946" s="118"/>
    </row>
    <row r="947">
      <c r="D947" s="118"/>
      <c r="E947" s="118"/>
    </row>
    <row r="948">
      <c r="D948" s="118"/>
      <c r="E948" s="118"/>
    </row>
    <row r="949">
      <c r="D949" s="118"/>
      <c r="E949" s="118"/>
    </row>
    <row r="950">
      <c r="D950" s="118"/>
      <c r="E950" s="118"/>
    </row>
    <row r="951">
      <c r="D951" s="118"/>
      <c r="E951" s="118"/>
    </row>
    <row r="952">
      <c r="D952" s="118"/>
      <c r="E952" s="118"/>
    </row>
    <row r="953">
      <c r="D953" s="118"/>
      <c r="E953" s="118"/>
    </row>
    <row r="954">
      <c r="D954" s="118"/>
      <c r="E954" s="118"/>
    </row>
    <row r="955">
      <c r="D955" s="118"/>
      <c r="E955" s="118"/>
    </row>
    <row r="956">
      <c r="D956" s="118"/>
      <c r="E956" s="118"/>
    </row>
    <row r="957">
      <c r="D957" s="118"/>
      <c r="E957" s="118"/>
    </row>
    <row r="958">
      <c r="D958" s="118"/>
      <c r="E958" s="118"/>
    </row>
    <row r="959">
      <c r="D959" s="118"/>
      <c r="E959" s="118"/>
    </row>
    <row r="960">
      <c r="D960" s="118"/>
      <c r="E960" s="118"/>
    </row>
    <row r="961">
      <c r="D961" s="118"/>
      <c r="E961" s="118"/>
    </row>
    <row r="962">
      <c r="D962" s="118"/>
      <c r="E962" s="118"/>
    </row>
    <row r="963">
      <c r="D963" s="118"/>
      <c r="E963" s="118"/>
    </row>
    <row r="964">
      <c r="D964" s="118"/>
      <c r="E964" s="118"/>
    </row>
    <row r="965">
      <c r="D965" s="118"/>
      <c r="E965" s="118"/>
    </row>
    <row r="966">
      <c r="D966" s="118"/>
      <c r="E966" s="118"/>
    </row>
    <row r="967">
      <c r="D967" s="118"/>
      <c r="E967" s="118"/>
    </row>
    <row r="968">
      <c r="D968" s="118"/>
      <c r="E968" s="118"/>
    </row>
    <row r="969">
      <c r="D969" s="118"/>
      <c r="E969" s="118"/>
    </row>
    <row r="970">
      <c r="D970" s="118"/>
      <c r="E970" s="118"/>
    </row>
    <row r="971">
      <c r="D971" s="118"/>
      <c r="E971" s="118"/>
    </row>
    <row r="972">
      <c r="D972" s="118"/>
      <c r="E972" s="118"/>
    </row>
    <row r="973">
      <c r="D973" s="118"/>
      <c r="E973" s="118"/>
    </row>
    <row r="974">
      <c r="D974" s="118"/>
      <c r="E974" s="118"/>
    </row>
    <row r="975">
      <c r="D975" s="118"/>
      <c r="E975" s="118"/>
    </row>
    <row r="976">
      <c r="D976" s="118"/>
      <c r="E976" s="118"/>
    </row>
    <row r="977">
      <c r="D977" s="118"/>
      <c r="E977" s="118"/>
    </row>
    <row r="978">
      <c r="D978" s="118"/>
      <c r="E978" s="118"/>
    </row>
    <row r="979">
      <c r="D979" s="118"/>
      <c r="E979" s="118"/>
    </row>
    <row r="980">
      <c r="D980" s="118"/>
      <c r="E980" s="118"/>
    </row>
    <row r="981">
      <c r="D981" s="118"/>
      <c r="E981" s="118"/>
    </row>
    <row r="982">
      <c r="D982" s="118"/>
      <c r="E982" s="118"/>
    </row>
    <row r="983">
      <c r="D983" s="118"/>
      <c r="E983" s="118"/>
    </row>
    <row r="984">
      <c r="D984" s="118"/>
      <c r="E984" s="118"/>
    </row>
    <row r="985">
      <c r="D985" s="118"/>
      <c r="E985" s="118"/>
    </row>
    <row r="986">
      <c r="D986" s="118"/>
      <c r="E986" s="118"/>
    </row>
    <row r="987">
      <c r="D987" s="118"/>
      <c r="E987" s="118"/>
    </row>
    <row r="988">
      <c r="D988" s="118"/>
      <c r="E988" s="118"/>
    </row>
    <row r="989">
      <c r="D989" s="118"/>
      <c r="E989" s="118"/>
    </row>
    <row r="990">
      <c r="D990" s="118"/>
      <c r="E990" s="118"/>
    </row>
    <row r="991">
      <c r="D991" s="118"/>
      <c r="E991" s="118"/>
    </row>
    <row r="992">
      <c r="D992" s="118"/>
      <c r="E992" s="118"/>
    </row>
    <row r="993">
      <c r="D993" s="118"/>
      <c r="E993" s="118"/>
    </row>
    <row r="994">
      <c r="D994" s="118"/>
      <c r="E994" s="118"/>
    </row>
    <row r="995">
      <c r="D995" s="118"/>
      <c r="E995" s="118"/>
    </row>
    <row r="996">
      <c r="D996" s="118"/>
      <c r="E996" s="118"/>
    </row>
    <row r="997">
      <c r="D997" s="118"/>
      <c r="E997" s="118"/>
    </row>
    <row r="998">
      <c r="D998" s="118"/>
      <c r="E998" s="118"/>
    </row>
    <row r="999">
      <c r="D999" s="118"/>
      <c r="E999" s="118"/>
    </row>
    <row r="1000">
      <c r="D1000" s="118"/>
      <c r="E1000" s="118"/>
    </row>
    <row r="1001">
      <c r="D1001" s="118"/>
      <c r="E1001" s="118"/>
    </row>
    <row r="1002">
      <c r="D1002" s="118"/>
      <c r="E1002" s="118"/>
    </row>
    <row r="1003">
      <c r="D1003" s="118"/>
      <c r="E1003" s="118"/>
    </row>
    <row r="1004">
      <c r="D1004" s="118"/>
      <c r="E1004" s="118"/>
    </row>
    <row r="1005">
      <c r="D1005" s="118"/>
      <c r="E1005" s="118"/>
    </row>
    <row r="1006">
      <c r="D1006" s="118"/>
      <c r="E1006" s="118"/>
    </row>
    <row r="1007">
      <c r="D1007" s="118"/>
      <c r="E1007" s="118"/>
    </row>
    <row r="1008">
      <c r="D1008" s="118"/>
      <c r="E1008" s="118"/>
    </row>
    <row r="1009">
      <c r="D1009" s="118"/>
      <c r="E1009" s="118"/>
    </row>
    <row r="1010">
      <c r="D1010" s="118"/>
      <c r="E1010" s="118"/>
    </row>
    <row r="1011">
      <c r="D1011" s="118"/>
      <c r="E1011" s="118"/>
    </row>
    <row r="1012">
      <c r="D1012" s="118"/>
      <c r="E1012" s="118"/>
    </row>
    <row r="1013">
      <c r="D1013" s="118"/>
      <c r="E1013" s="118"/>
    </row>
    <row r="1014">
      <c r="D1014" s="118"/>
      <c r="E1014" s="118"/>
    </row>
    <row r="1015">
      <c r="D1015" s="118"/>
      <c r="E1015" s="118"/>
    </row>
    <row r="1016">
      <c r="D1016" s="118"/>
      <c r="E1016" s="118"/>
    </row>
    <row r="1017">
      <c r="D1017" s="118"/>
      <c r="E1017" s="118"/>
    </row>
    <row r="1018">
      <c r="D1018" s="118"/>
      <c r="E1018" s="118"/>
    </row>
    <row r="1019">
      <c r="D1019" s="118"/>
      <c r="E1019" s="118"/>
    </row>
    <row r="1020">
      <c r="D1020" s="118"/>
      <c r="E1020" s="118"/>
    </row>
    <row r="1021">
      <c r="D1021" s="118"/>
      <c r="E1021" s="118"/>
    </row>
    <row r="1022">
      <c r="D1022" s="118"/>
      <c r="E1022" s="118"/>
    </row>
    <row r="1023">
      <c r="D1023" s="118"/>
      <c r="E1023" s="118"/>
    </row>
    <row r="1024">
      <c r="D1024" s="118"/>
      <c r="E1024" s="118"/>
    </row>
    <row r="1025">
      <c r="D1025" s="118"/>
      <c r="E1025" s="118"/>
    </row>
    <row r="1026">
      <c r="D1026" s="118"/>
      <c r="E1026" s="118"/>
    </row>
    <row r="1027">
      <c r="D1027" s="118"/>
      <c r="E1027" s="118"/>
    </row>
    <row r="1028">
      <c r="D1028" s="118"/>
      <c r="E1028" s="118"/>
    </row>
    <row r="1029">
      <c r="D1029" s="118"/>
      <c r="E1029" s="118"/>
    </row>
    <row r="1030">
      <c r="D1030" s="118"/>
      <c r="E1030" s="118"/>
    </row>
    <row r="1031">
      <c r="D1031" s="118"/>
      <c r="E1031" s="118"/>
    </row>
    <row r="1032">
      <c r="D1032" s="118"/>
      <c r="E1032" s="118"/>
    </row>
    <row r="1033">
      <c r="D1033" s="118"/>
      <c r="E1033" s="118"/>
    </row>
    <row r="1034">
      <c r="D1034" s="118"/>
      <c r="E1034" s="118"/>
    </row>
    <row r="1035">
      <c r="D1035" s="118"/>
      <c r="E1035" s="118"/>
    </row>
    <row r="1036">
      <c r="D1036" s="118"/>
      <c r="E1036" s="118"/>
    </row>
    <row r="1037">
      <c r="D1037" s="118"/>
      <c r="E1037" s="118"/>
    </row>
    <row r="1038">
      <c r="D1038" s="118"/>
      <c r="E1038" s="118"/>
    </row>
    <row r="1039">
      <c r="D1039" s="118"/>
      <c r="E1039" s="118"/>
    </row>
    <row r="1040">
      <c r="D1040" s="118"/>
      <c r="E1040" s="118"/>
    </row>
    <row r="1041">
      <c r="D1041" s="118"/>
      <c r="E1041" s="118"/>
    </row>
    <row r="1042">
      <c r="D1042" s="118"/>
      <c r="E1042" s="118"/>
    </row>
    <row r="1043">
      <c r="D1043" s="118"/>
      <c r="E1043" s="118"/>
    </row>
    <row r="1044">
      <c r="D1044" s="118"/>
      <c r="E1044" s="118"/>
    </row>
    <row r="1045">
      <c r="D1045" s="118"/>
      <c r="E1045" s="118"/>
    </row>
    <row r="1046">
      <c r="D1046" s="118"/>
      <c r="E1046" s="118"/>
    </row>
    <row r="1047">
      <c r="D1047" s="118"/>
      <c r="E1047" s="118"/>
    </row>
    <row r="1048">
      <c r="D1048" s="118"/>
      <c r="E1048" s="118"/>
    </row>
    <row r="1049">
      <c r="D1049" s="118"/>
      <c r="E1049" s="118"/>
    </row>
    <row r="1050">
      <c r="D1050" s="118"/>
      <c r="E1050" s="118"/>
    </row>
    <row r="1051">
      <c r="D1051" s="118"/>
      <c r="E1051" s="118"/>
    </row>
    <row r="1052">
      <c r="D1052" s="118"/>
      <c r="E1052" s="118"/>
    </row>
    <row r="1053">
      <c r="D1053" s="118"/>
      <c r="E1053" s="118"/>
    </row>
    <row r="1054">
      <c r="D1054" s="118"/>
      <c r="E1054" s="118"/>
    </row>
    <row r="1055">
      <c r="D1055" s="118"/>
      <c r="E1055" s="118"/>
    </row>
    <row r="1056">
      <c r="D1056" s="118"/>
      <c r="E1056" s="118"/>
    </row>
    <row r="1057">
      <c r="D1057" s="118"/>
      <c r="E1057" s="118"/>
    </row>
    <row r="1058">
      <c r="D1058" s="118"/>
      <c r="E1058" s="118"/>
    </row>
    <row r="1059">
      <c r="D1059" s="118"/>
      <c r="E1059" s="118"/>
    </row>
    <row r="1060">
      <c r="D1060" s="118"/>
      <c r="E1060" s="118"/>
    </row>
    <row r="1061">
      <c r="D1061" s="118"/>
      <c r="E1061" s="118"/>
    </row>
    <row r="1062">
      <c r="D1062" s="118"/>
      <c r="E1062" s="118"/>
    </row>
    <row r="1063">
      <c r="D1063" s="118"/>
      <c r="E1063" s="118"/>
    </row>
    <row r="1064">
      <c r="D1064" s="118"/>
      <c r="E1064" s="118"/>
    </row>
    <row r="1065">
      <c r="D1065" s="118"/>
      <c r="E1065" s="118"/>
    </row>
    <row r="1066">
      <c r="D1066" s="118"/>
      <c r="E1066" s="118"/>
    </row>
    <row r="1067">
      <c r="D1067" s="118"/>
      <c r="E1067" s="118"/>
    </row>
    <row r="1068">
      <c r="D1068" s="118"/>
      <c r="E1068" s="118"/>
    </row>
    <row r="1069">
      <c r="D1069" s="118"/>
      <c r="E1069" s="118"/>
    </row>
    <row r="1070">
      <c r="D1070" s="118"/>
      <c r="E1070" s="118"/>
    </row>
    <row r="1071">
      <c r="D1071" s="118"/>
      <c r="E1071" s="118"/>
    </row>
    <row r="1072">
      <c r="D1072" s="118"/>
      <c r="E1072" s="118"/>
    </row>
    <row r="1073">
      <c r="D1073" s="118"/>
      <c r="E1073" s="118"/>
    </row>
    <row r="1074">
      <c r="D1074" s="118"/>
      <c r="E1074" s="118"/>
    </row>
    <row r="1075">
      <c r="D1075" s="118"/>
      <c r="E1075" s="118"/>
    </row>
    <row r="1076">
      <c r="D1076" s="118"/>
      <c r="E1076" s="118"/>
    </row>
    <row r="1077">
      <c r="D1077" s="118"/>
      <c r="E1077" s="118"/>
    </row>
    <row r="1078">
      <c r="D1078" s="118"/>
      <c r="E1078" s="118"/>
    </row>
    <row r="1079">
      <c r="D1079" s="118"/>
      <c r="E1079" s="118"/>
    </row>
    <row r="1080">
      <c r="D1080" s="118"/>
      <c r="E1080" s="118"/>
    </row>
    <row r="1081">
      <c r="D1081" s="118"/>
      <c r="E1081" s="118"/>
    </row>
    <row r="1082">
      <c r="D1082" s="118"/>
      <c r="E1082" s="118"/>
    </row>
    <row r="1083">
      <c r="D1083" s="118"/>
      <c r="E1083" s="118"/>
    </row>
    <row r="1084">
      <c r="D1084" s="118"/>
      <c r="E1084" s="118"/>
    </row>
    <row r="1085">
      <c r="D1085" s="118"/>
      <c r="E1085" s="118"/>
    </row>
    <row r="1086">
      <c r="D1086" s="118"/>
      <c r="E1086" s="118"/>
    </row>
    <row r="1087">
      <c r="D1087" s="118"/>
      <c r="E1087" s="118"/>
    </row>
    <row r="1088">
      <c r="D1088" s="118"/>
      <c r="E1088" s="118"/>
    </row>
    <row r="1089">
      <c r="D1089" s="118"/>
      <c r="E1089" s="118"/>
    </row>
    <row r="1090">
      <c r="D1090" s="118"/>
      <c r="E1090" s="118"/>
    </row>
    <row r="1091">
      <c r="D1091" s="118"/>
      <c r="E1091" s="118"/>
    </row>
    <row r="1092">
      <c r="D1092" s="118"/>
      <c r="E1092" s="118"/>
    </row>
    <row r="1093">
      <c r="D1093" s="118"/>
      <c r="E1093" s="118"/>
    </row>
    <row r="1094">
      <c r="D1094" s="118"/>
      <c r="E1094" s="118"/>
    </row>
    <row r="1095">
      <c r="D1095" s="118"/>
      <c r="E1095" s="118"/>
    </row>
    <row r="1096">
      <c r="D1096" s="118"/>
      <c r="E1096" s="118"/>
    </row>
    <row r="1097">
      <c r="D1097" s="118"/>
      <c r="E1097" s="118"/>
    </row>
    <row r="1098">
      <c r="D1098" s="118"/>
      <c r="E1098" s="118"/>
    </row>
    <row r="1099">
      <c r="D1099" s="118"/>
      <c r="E1099" s="118"/>
    </row>
    <row r="1100">
      <c r="D1100" s="118"/>
      <c r="E1100" s="118"/>
    </row>
    <row r="1101">
      <c r="D1101" s="118"/>
      <c r="E1101" s="118"/>
    </row>
    <row r="1102">
      <c r="D1102" s="118"/>
      <c r="E1102" s="118"/>
    </row>
    <row r="1103">
      <c r="D1103" s="118"/>
      <c r="E1103" s="118"/>
    </row>
    <row r="1104">
      <c r="D1104" s="118"/>
      <c r="E1104" s="118"/>
    </row>
    <row r="1105">
      <c r="D1105" s="118"/>
      <c r="E1105" s="118"/>
    </row>
    <row r="1106">
      <c r="D1106" s="118"/>
      <c r="E1106" s="118"/>
    </row>
    <row r="1107">
      <c r="D1107" s="118"/>
      <c r="E1107" s="118"/>
    </row>
    <row r="1108">
      <c r="D1108" s="118"/>
      <c r="E1108" s="118"/>
    </row>
    <row r="1109">
      <c r="D1109" s="118"/>
      <c r="E1109" s="118"/>
    </row>
    <row r="1110">
      <c r="D1110" s="118"/>
      <c r="E1110" s="118"/>
    </row>
    <row r="1111">
      <c r="D1111" s="118"/>
      <c r="E1111" s="118"/>
    </row>
    <row r="1112">
      <c r="D1112" s="118"/>
      <c r="E1112" s="118"/>
    </row>
    <row r="1113">
      <c r="D1113" s="118"/>
      <c r="E1113" s="118"/>
    </row>
    <row r="1114">
      <c r="D1114" s="118"/>
      <c r="E1114" s="118"/>
    </row>
    <row r="1115">
      <c r="D1115" s="118"/>
      <c r="E1115" s="118"/>
    </row>
    <row r="1116">
      <c r="D1116" s="118"/>
      <c r="E1116" s="118"/>
    </row>
    <row r="1117">
      <c r="D1117" s="118"/>
      <c r="E1117" s="118"/>
    </row>
    <row r="1118">
      <c r="D1118" s="118"/>
      <c r="E1118" s="118"/>
    </row>
    <row r="1119">
      <c r="D1119" s="118"/>
      <c r="E1119" s="118"/>
    </row>
    <row r="1120">
      <c r="D1120" s="118"/>
      <c r="E1120" s="118"/>
    </row>
    <row r="1121">
      <c r="D1121" s="118"/>
      <c r="E1121" s="118"/>
    </row>
    <row r="1122">
      <c r="D1122" s="118"/>
      <c r="E1122" s="118"/>
    </row>
    <row r="1123">
      <c r="D1123" s="118"/>
      <c r="E1123" s="118"/>
    </row>
    <row r="1124">
      <c r="D1124" s="118"/>
      <c r="E1124" s="118"/>
    </row>
    <row r="1125">
      <c r="D1125" s="118"/>
      <c r="E1125" s="118"/>
    </row>
    <row r="1126">
      <c r="D1126" s="118"/>
      <c r="E1126" s="118"/>
    </row>
    <row r="1127">
      <c r="D1127" s="118"/>
      <c r="E1127" s="118"/>
    </row>
    <row r="1128">
      <c r="D1128" s="118"/>
      <c r="E1128" s="118"/>
    </row>
    <row r="1129">
      <c r="D1129" s="118"/>
      <c r="E1129" s="118"/>
    </row>
    <row r="1130">
      <c r="D1130" s="118"/>
      <c r="E1130" s="118"/>
    </row>
    <row r="1131">
      <c r="D1131" s="118"/>
      <c r="E1131" s="118"/>
    </row>
    <row r="1132">
      <c r="D1132" s="118"/>
      <c r="E1132" s="118"/>
    </row>
    <row r="1133">
      <c r="D1133" s="118"/>
      <c r="E1133" s="118"/>
    </row>
    <row r="1134">
      <c r="D1134" s="118"/>
      <c r="E1134" s="118"/>
    </row>
    <row r="1135">
      <c r="D1135" s="118"/>
      <c r="E1135" s="118"/>
    </row>
    <row r="1136">
      <c r="D1136" s="118"/>
      <c r="E1136" s="118"/>
    </row>
    <row r="1137">
      <c r="D1137" s="118"/>
      <c r="E1137" s="118"/>
    </row>
    <row r="1138">
      <c r="D1138" s="118"/>
      <c r="E1138" s="118"/>
    </row>
    <row r="1139">
      <c r="D1139" s="118"/>
      <c r="E1139" s="118"/>
    </row>
    <row r="1140">
      <c r="D1140" s="118"/>
      <c r="E1140" s="118"/>
    </row>
    <row r="1141">
      <c r="D1141" s="118"/>
      <c r="E1141" s="118"/>
    </row>
    <row r="1142">
      <c r="D1142" s="118"/>
      <c r="E1142" s="118"/>
    </row>
    <row r="1143">
      <c r="D1143" s="118"/>
      <c r="E1143" s="118"/>
    </row>
    <row r="1144">
      <c r="D1144" s="118"/>
      <c r="E1144" s="118"/>
    </row>
    <row r="1145">
      <c r="D1145" s="118"/>
      <c r="E1145" s="118"/>
    </row>
    <row r="1146">
      <c r="D1146" s="118"/>
      <c r="E1146" s="118"/>
    </row>
    <row r="1147">
      <c r="D1147" s="118"/>
      <c r="E1147" s="118"/>
    </row>
    <row r="1148">
      <c r="D1148" s="118"/>
      <c r="E1148" s="118"/>
    </row>
    <row r="1149">
      <c r="D1149" s="118"/>
      <c r="E1149" s="118"/>
    </row>
    <row r="1150">
      <c r="D1150" s="118"/>
      <c r="E1150" s="118"/>
    </row>
    <row r="1151">
      <c r="D1151" s="118"/>
      <c r="E1151" s="118"/>
    </row>
    <row r="1152">
      <c r="D1152" s="118"/>
      <c r="E1152" s="118"/>
    </row>
    <row r="1153">
      <c r="D1153" s="118"/>
      <c r="E1153" s="118"/>
    </row>
    <row r="1154">
      <c r="D1154" s="118"/>
      <c r="E1154" s="118"/>
    </row>
    <row r="1155">
      <c r="D1155" s="118"/>
      <c r="E1155" s="118"/>
    </row>
    <row r="1156">
      <c r="D1156" s="118"/>
      <c r="E1156" s="118"/>
    </row>
    <row r="1157">
      <c r="D1157" s="118"/>
      <c r="E1157" s="118"/>
    </row>
    <row r="1158">
      <c r="D1158" s="118"/>
      <c r="E1158" s="118"/>
    </row>
    <row r="1159">
      <c r="D1159" s="118"/>
      <c r="E1159" s="118"/>
    </row>
    <row r="1160">
      <c r="D1160" s="118"/>
      <c r="E1160" s="118"/>
    </row>
    <row r="1161">
      <c r="D1161" s="118"/>
      <c r="E1161" s="118"/>
    </row>
    <row r="1162">
      <c r="D1162" s="118"/>
      <c r="E1162" s="118"/>
    </row>
    <row r="1163">
      <c r="D1163" s="118"/>
      <c r="E1163" s="118"/>
    </row>
    <row r="1164">
      <c r="D1164" s="118"/>
      <c r="E1164" s="118"/>
    </row>
    <row r="1165">
      <c r="D1165" s="118"/>
      <c r="E1165" s="118"/>
    </row>
    <row r="1166">
      <c r="D1166" s="118"/>
      <c r="E1166" s="118"/>
    </row>
    <row r="1167">
      <c r="D1167" s="118"/>
      <c r="E1167" s="118"/>
    </row>
    <row r="1168">
      <c r="D1168" s="118"/>
      <c r="E1168" s="118"/>
    </row>
    <row r="1169">
      <c r="D1169" s="118"/>
      <c r="E1169" s="118"/>
    </row>
    <row r="1170">
      <c r="D1170" s="118"/>
      <c r="E1170" s="118"/>
    </row>
    <row r="1171">
      <c r="D1171" s="118"/>
      <c r="E1171" s="118"/>
    </row>
    <row r="1172">
      <c r="D1172" s="118"/>
      <c r="E1172" s="118"/>
    </row>
    <row r="1173">
      <c r="D1173" s="118"/>
      <c r="E1173" s="118"/>
    </row>
    <row r="1174">
      <c r="D1174" s="118"/>
      <c r="E1174" s="118"/>
    </row>
    <row r="1175">
      <c r="D1175" s="118"/>
      <c r="E1175" s="118"/>
    </row>
    <row r="1176">
      <c r="D1176" s="118"/>
      <c r="E1176" s="118"/>
    </row>
    <row r="1177">
      <c r="D1177" s="118"/>
      <c r="E1177" s="118"/>
    </row>
    <row r="1178">
      <c r="D1178" s="118"/>
      <c r="E1178" s="118"/>
    </row>
    <row r="1179">
      <c r="D1179" s="118"/>
      <c r="E1179" s="118"/>
    </row>
    <row r="1180">
      <c r="D1180" s="118"/>
      <c r="E1180" s="118"/>
    </row>
    <row r="1181">
      <c r="D1181" s="118"/>
      <c r="E1181" s="118"/>
    </row>
    <row r="1182">
      <c r="D1182" s="118"/>
      <c r="E1182" s="118"/>
    </row>
    <row r="1183">
      <c r="D1183" s="118"/>
      <c r="E1183" s="118"/>
    </row>
    <row r="1184">
      <c r="D1184" s="118"/>
      <c r="E1184" s="118"/>
    </row>
    <row r="1185">
      <c r="D1185" s="118"/>
      <c r="E1185" s="118"/>
    </row>
    <row r="1186">
      <c r="D1186" s="118"/>
      <c r="E1186" s="118"/>
    </row>
    <row r="1187">
      <c r="D1187" s="118"/>
      <c r="E1187" s="118"/>
    </row>
    <row r="1188">
      <c r="D1188" s="118"/>
      <c r="E1188" s="118"/>
    </row>
    <row r="1189">
      <c r="D1189" s="118"/>
      <c r="E1189" s="118"/>
    </row>
    <row r="1190">
      <c r="D1190" s="118"/>
      <c r="E1190" s="118"/>
    </row>
    <row r="1191">
      <c r="D1191" s="118"/>
      <c r="E1191" s="118"/>
    </row>
    <row r="1192">
      <c r="D1192" s="118"/>
      <c r="E1192" s="118"/>
    </row>
    <row r="1193">
      <c r="D1193" s="118"/>
      <c r="E1193" s="118"/>
    </row>
    <row r="1194">
      <c r="D1194" s="118"/>
      <c r="E1194" s="118"/>
    </row>
    <row r="1195">
      <c r="D1195" s="118"/>
      <c r="E1195" s="118"/>
    </row>
    <row r="1196">
      <c r="D1196" s="118"/>
      <c r="E1196" s="118"/>
    </row>
    <row r="1197">
      <c r="D1197" s="118"/>
      <c r="E1197" s="118"/>
    </row>
    <row r="1198">
      <c r="D1198" s="118"/>
      <c r="E1198" s="118"/>
    </row>
    <row r="1199">
      <c r="D1199" s="118"/>
      <c r="E1199" s="118"/>
    </row>
    <row r="1200">
      <c r="D1200" s="118"/>
      <c r="E1200" s="118"/>
    </row>
    <row r="1201">
      <c r="D1201" s="118"/>
      <c r="E1201" s="118"/>
    </row>
    <row r="1202">
      <c r="D1202" s="118"/>
      <c r="E1202" s="118"/>
    </row>
    <row r="1203">
      <c r="D1203" s="118"/>
      <c r="E1203" s="118"/>
    </row>
    <row r="1204">
      <c r="D1204" s="118"/>
      <c r="E1204" s="118"/>
    </row>
    <row r="1205">
      <c r="D1205" s="118"/>
      <c r="E1205" s="118"/>
    </row>
    <row r="1206">
      <c r="D1206" s="118"/>
      <c r="E1206" s="118"/>
    </row>
    <row r="1207">
      <c r="D1207" s="118"/>
      <c r="E1207" s="118"/>
    </row>
    <row r="1208">
      <c r="D1208" s="118"/>
      <c r="E1208" s="118"/>
    </row>
    <row r="1209">
      <c r="D1209" s="118"/>
      <c r="E1209" s="118"/>
    </row>
    <row r="1210">
      <c r="D1210" s="118"/>
      <c r="E1210" s="118"/>
    </row>
    <row r="1211">
      <c r="D1211" s="118"/>
      <c r="E1211" s="118"/>
    </row>
    <row r="1212">
      <c r="D1212" s="118"/>
      <c r="E1212" s="118"/>
    </row>
    <row r="1213">
      <c r="D1213" s="118"/>
      <c r="E1213" s="118"/>
    </row>
    <row r="1214">
      <c r="D1214" s="118"/>
      <c r="E1214" s="118"/>
    </row>
    <row r="1215">
      <c r="D1215" s="118"/>
      <c r="E1215" s="118"/>
    </row>
    <row r="1216">
      <c r="D1216" s="118"/>
      <c r="E1216" s="118"/>
    </row>
    <row r="1217">
      <c r="D1217" s="118"/>
      <c r="E1217" s="118"/>
    </row>
    <row r="1218">
      <c r="D1218" s="118"/>
      <c r="E1218" s="118"/>
    </row>
    <row r="1219">
      <c r="D1219" s="118"/>
      <c r="E1219" s="118"/>
    </row>
    <row r="1220">
      <c r="D1220" s="118"/>
      <c r="E1220" s="118"/>
    </row>
    <row r="1221">
      <c r="D1221" s="118"/>
      <c r="E1221" s="118"/>
    </row>
    <row r="1222">
      <c r="D1222" s="118"/>
      <c r="E1222" s="118"/>
    </row>
    <row r="1223">
      <c r="D1223" s="118"/>
      <c r="E1223" s="118"/>
    </row>
    <row r="1224">
      <c r="D1224" s="118"/>
      <c r="E1224" s="118"/>
    </row>
    <row r="1225">
      <c r="D1225" s="118"/>
      <c r="E1225" s="118"/>
    </row>
    <row r="1226">
      <c r="D1226" s="118"/>
      <c r="E1226" s="118"/>
    </row>
    <row r="1227">
      <c r="D1227" s="118"/>
      <c r="E1227" s="118"/>
    </row>
    <row r="1228">
      <c r="D1228" s="118"/>
      <c r="E1228" s="118"/>
    </row>
    <row r="1229">
      <c r="D1229" s="118"/>
      <c r="E1229" s="118"/>
    </row>
    <row r="1230">
      <c r="D1230" s="118"/>
      <c r="E1230" s="118"/>
    </row>
    <row r="1231">
      <c r="D1231" s="118"/>
      <c r="E1231" s="118"/>
    </row>
    <row r="1232">
      <c r="D1232" s="118"/>
      <c r="E1232" s="118"/>
    </row>
    <row r="1233">
      <c r="D1233" s="118"/>
      <c r="E1233" s="118"/>
    </row>
    <row r="1234">
      <c r="D1234" s="118"/>
      <c r="E1234" s="118"/>
    </row>
    <row r="1235">
      <c r="D1235" s="118"/>
      <c r="E1235" s="118"/>
    </row>
    <row r="1236">
      <c r="D1236" s="118"/>
      <c r="E1236" s="118"/>
    </row>
    <row r="1237">
      <c r="D1237" s="118"/>
      <c r="E1237" s="118"/>
    </row>
    <row r="1238">
      <c r="D1238" s="118"/>
      <c r="E1238" s="118"/>
    </row>
    <row r="1239">
      <c r="D1239" s="118"/>
      <c r="E1239" s="118"/>
    </row>
    <row r="1240">
      <c r="D1240" s="118"/>
      <c r="E1240" s="118"/>
    </row>
    <row r="1241">
      <c r="D1241" s="118"/>
      <c r="E1241" s="118"/>
    </row>
    <row r="1242">
      <c r="D1242" s="118"/>
      <c r="E1242" s="118"/>
    </row>
    <row r="1243">
      <c r="D1243" s="118"/>
      <c r="E1243" s="118"/>
    </row>
    <row r="1244">
      <c r="D1244" s="118"/>
      <c r="E1244" s="118"/>
    </row>
    <row r="1245">
      <c r="D1245" s="118"/>
      <c r="E1245" s="118"/>
    </row>
    <row r="1246">
      <c r="D1246" s="118"/>
      <c r="E1246" s="118"/>
    </row>
    <row r="1247">
      <c r="D1247" s="118"/>
      <c r="E1247" s="118"/>
    </row>
    <row r="1248">
      <c r="D1248" s="118"/>
      <c r="E1248" s="118"/>
    </row>
    <row r="1249">
      <c r="D1249" s="118"/>
      <c r="E1249" s="118"/>
    </row>
    <row r="1250">
      <c r="D1250" s="118"/>
      <c r="E1250" s="118"/>
    </row>
    <row r="1251">
      <c r="D1251" s="118"/>
      <c r="E1251" s="118"/>
    </row>
    <row r="1252">
      <c r="D1252" s="118"/>
      <c r="E1252" s="118"/>
    </row>
    <row r="1253">
      <c r="D1253" s="118"/>
      <c r="E1253" s="118"/>
    </row>
    <row r="1254">
      <c r="D1254" s="118"/>
      <c r="E1254" s="118"/>
    </row>
    <row r="1255">
      <c r="D1255" s="118"/>
      <c r="E1255" s="118"/>
    </row>
    <row r="1256">
      <c r="D1256" s="118"/>
      <c r="E1256" s="118"/>
    </row>
    <row r="1257">
      <c r="D1257" s="118"/>
      <c r="E1257" s="118"/>
    </row>
    <row r="1258">
      <c r="D1258" s="118"/>
      <c r="E1258" s="118"/>
    </row>
    <row r="1259">
      <c r="D1259" s="118"/>
      <c r="E1259" s="118"/>
    </row>
    <row r="1260">
      <c r="D1260" s="118"/>
      <c r="E1260" s="118"/>
    </row>
    <row r="1261">
      <c r="D1261" s="118"/>
      <c r="E1261" s="118"/>
    </row>
    <row r="1262">
      <c r="D1262" s="118"/>
      <c r="E1262" s="118"/>
    </row>
    <row r="1263">
      <c r="D1263" s="118"/>
      <c r="E1263" s="118"/>
    </row>
    <row r="1264">
      <c r="D1264" s="118"/>
      <c r="E1264" s="118"/>
    </row>
    <row r="1265">
      <c r="D1265" s="118"/>
      <c r="E1265" s="118"/>
    </row>
    <row r="1266">
      <c r="D1266" s="118"/>
      <c r="E1266" s="118"/>
    </row>
    <row r="1267">
      <c r="D1267" s="118"/>
      <c r="E1267" s="118"/>
    </row>
    <row r="1268">
      <c r="D1268" s="118"/>
      <c r="E1268" s="118"/>
    </row>
    <row r="1269">
      <c r="D1269" s="118"/>
      <c r="E1269" s="118"/>
    </row>
    <row r="1270">
      <c r="D1270" s="118"/>
      <c r="E1270" s="118"/>
    </row>
    <row r="1271">
      <c r="D1271" s="118"/>
      <c r="E1271" s="118"/>
    </row>
    <row r="1272">
      <c r="D1272" s="118"/>
      <c r="E1272" s="118"/>
    </row>
    <row r="1273">
      <c r="D1273" s="118"/>
      <c r="E1273" s="118"/>
    </row>
    <row r="1274">
      <c r="D1274" s="118"/>
      <c r="E1274" s="118"/>
    </row>
    <row r="1275">
      <c r="D1275" s="118"/>
      <c r="E1275" s="118"/>
    </row>
    <row r="1276">
      <c r="D1276" s="118"/>
      <c r="E1276" s="118"/>
    </row>
    <row r="1277">
      <c r="D1277" s="118"/>
      <c r="E1277" s="118"/>
    </row>
    <row r="1278">
      <c r="D1278" s="118"/>
      <c r="E1278" s="118"/>
    </row>
    <row r="1279">
      <c r="D1279" s="118"/>
      <c r="E1279" s="118"/>
    </row>
    <row r="1280">
      <c r="D1280" s="118"/>
      <c r="E1280" s="118"/>
    </row>
    <row r="1281">
      <c r="D1281" s="118"/>
      <c r="E1281" s="118"/>
    </row>
    <row r="1282">
      <c r="D1282" s="118"/>
      <c r="E1282" s="118"/>
    </row>
    <row r="1283">
      <c r="D1283" s="118"/>
      <c r="E1283" s="118"/>
    </row>
    <row r="1284">
      <c r="D1284" s="118"/>
      <c r="E1284" s="118"/>
    </row>
    <row r="1285">
      <c r="D1285" s="118"/>
      <c r="E1285" s="118"/>
    </row>
    <row r="1286">
      <c r="D1286" s="118"/>
      <c r="E1286" s="118"/>
    </row>
    <row r="1287">
      <c r="D1287" s="118"/>
      <c r="E1287" s="118"/>
    </row>
    <row r="1288">
      <c r="D1288" s="118"/>
      <c r="E1288" s="118"/>
    </row>
    <row r="1289">
      <c r="D1289" s="118"/>
      <c r="E1289" s="118"/>
    </row>
    <row r="1290">
      <c r="D1290" s="118"/>
      <c r="E1290" s="118"/>
    </row>
    <row r="1291">
      <c r="D1291" s="118"/>
      <c r="E1291" s="118"/>
    </row>
    <row r="1292">
      <c r="D1292" s="118"/>
      <c r="E1292" s="118"/>
    </row>
    <row r="1293">
      <c r="D1293" s="118"/>
      <c r="E1293" s="118"/>
    </row>
    <row r="1294">
      <c r="D1294" s="118"/>
      <c r="E1294" s="118"/>
    </row>
    <row r="1295">
      <c r="D1295" s="118"/>
      <c r="E1295" s="118"/>
    </row>
    <row r="1296">
      <c r="D1296" s="118"/>
      <c r="E1296" s="118"/>
    </row>
    <row r="1297">
      <c r="D1297" s="118"/>
      <c r="E1297" s="118"/>
    </row>
    <row r="1298">
      <c r="D1298" s="118"/>
      <c r="E1298" s="118"/>
    </row>
    <row r="1299">
      <c r="D1299" s="118"/>
      <c r="E1299" s="118"/>
    </row>
    <row r="1300">
      <c r="D1300" s="118"/>
      <c r="E1300" s="118"/>
    </row>
    <row r="1301">
      <c r="D1301" s="118"/>
      <c r="E1301" s="118"/>
    </row>
    <row r="1302">
      <c r="D1302" s="118"/>
      <c r="E1302" s="118"/>
    </row>
    <row r="1303">
      <c r="D1303" s="118"/>
      <c r="E1303" s="118"/>
    </row>
    <row r="1304">
      <c r="D1304" s="118"/>
      <c r="E1304" s="118"/>
    </row>
    <row r="1305">
      <c r="D1305" s="118"/>
      <c r="E1305" s="118"/>
    </row>
    <row r="1306">
      <c r="D1306" s="118"/>
      <c r="E1306" s="118"/>
    </row>
    <row r="1307">
      <c r="D1307" s="118"/>
      <c r="E1307" s="118"/>
    </row>
    <row r="1308">
      <c r="D1308" s="118"/>
      <c r="E1308" s="118"/>
    </row>
    <row r="1309">
      <c r="D1309" s="118"/>
      <c r="E1309" s="118"/>
    </row>
    <row r="1310">
      <c r="D1310" s="118"/>
      <c r="E1310" s="118"/>
    </row>
    <row r="1311">
      <c r="D1311" s="118"/>
      <c r="E1311" s="118"/>
    </row>
    <row r="1312">
      <c r="D1312" s="118"/>
      <c r="E1312" s="118"/>
    </row>
    <row r="1313">
      <c r="D1313" s="118"/>
      <c r="E1313" s="118"/>
    </row>
    <row r="1314">
      <c r="D1314" s="118"/>
      <c r="E1314" s="118"/>
    </row>
    <row r="1315">
      <c r="D1315" s="118"/>
      <c r="E1315" s="118"/>
    </row>
    <row r="1316">
      <c r="D1316" s="118"/>
      <c r="E1316" s="118"/>
    </row>
    <row r="1317">
      <c r="D1317" s="118"/>
      <c r="E1317" s="118"/>
    </row>
    <row r="1318">
      <c r="D1318" s="118"/>
      <c r="E1318" s="118"/>
    </row>
    <row r="1319">
      <c r="D1319" s="118"/>
      <c r="E1319" s="118"/>
    </row>
    <row r="1320">
      <c r="D1320" s="118"/>
      <c r="E1320" s="118"/>
    </row>
    <row r="1321">
      <c r="D1321" s="118"/>
      <c r="E1321" s="118"/>
    </row>
    <row r="1322">
      <c r="D1322" s="118"/>
      <c r="E1322" s="118"/>
    </row>
    <row r="1323">
      <c r="D1323" s="118"/>
      <c r="E1323" s="118"/>
    </row>
    <row r="1324">
      <c r="D1324" s="118"/>
      <c r="E1324" s="118"/>
    </row>
    <row r="1325">
      <c r="D1325" s="118"/>
      <c r="E1325" s="118"/>
    </row>
    <row r="1326">
      <c r="D1326" s="118"/>
      <c r="E1326" s="118"/>
    </row>
    <row r="1327">
      <c r="D1327" s="118"/>
      <c r="E1327" s="118"/>
    </row>
    <row r="1328">
      <c r="D1328" s="118"/>
      <c r="E1328" s="118"/>
    </row>
    <row r="1329">
      <c r="D1329" s="118"/>
      <c r="E1329" s="118"/>
    </row>
    <row r="1330">
      <c r="D1330" s="118"/>
      <c r="E1330" s="118"/>
    </row>
    <row r="1331">
      <c r="D1331" s="118"/>
      <c r="E1331" s="118"/>
    </row>
    <row r="1332">
      <c r="D1332" s="118"/>
      <c r="E1332" s="118"/>
    </row>
    <row r="1333">
      <c r="D1333" s="118"/>
      <c r="E1333" s="118"/>
    </row>
    <row r="1334">
      <c r="D1334" s="118"/>
      <c r="E1334" s="118"/>
    </row>
    <row r="1335">
      <c r="D1335" s="118"/>
      <c r="E1335" s="118"/>
    </row>
    <row r="1336">
      <c r="D1336" s="118"/>
      <c r="E1336" s="118"/>
    </row>
    <row r="1337">
      <c r="D1337" s="118"/>
      <c r="E1337" s="118"/>
    </row>
    <row r="1338">
      <c r="D1338" s="118"/>
      <c r="E1338" s="118"/>
    </row>
    <row r="1339">
      <c r="D1339" s="118"/>
      <c r="E1339" s="118"/>
    </row>
    <row r="1340">
      <c r="D1340" s="118"/>
      <c r="E1340" s="118"/>
    </row>
    <row r="1341">
      <c r="D1341" s="118"/>
      <c r="E1341" s="118"/>
    </row>
    <row r="1342">
      <c r="D1342" s="118"/>
      <c r="E1342" s="118"/>
    </row>
    <row r="1343">
      <c r="D1343" s="118"/>
      <c r="E1343" s="118"/>
    </row>
    <row r="1344">
      <c r="D1344" s="118"/>
      <c r="E1344" s="118"/>
    </row>
    <row r="1345">
      <c r="D1345" s="118"/>
      <c r="E1345" s="118"/>
    </row>
    <row r="1346">
      <c r="D1346" s="118"/>
      <c r="E1346" s="118"/>
    </row>
    <row r="1347">
      <c r="D1347" s="118"/>
      <c r="E1347" s="118"/>
    </row>
    <row r="1348">
      <c r="D1348" s="118"/>
      <c r="E1348" s="118"/>
    </row>
    <row r="1349">
      <c r="D1349" s="118"/>
      <c r="E1349" s="118"/>
    </row>
    <row r="1350">
      <c r="D1350" s="118"/>
      <c r="E1350" s="118"/>
    </row>
    <row r="1351">
      <c r="D1351" s="118"/>
      <c r="E1351" s="118"/>
    </row>
    <row r="1352">
      <c r="D1352" s="118"/>
      <c r="E1352" s="118"/>
    </row>
    <row r="1353">
      <c r="D1353" s="118"/>
      <c r="E1353" s="118"/>
    </row>
    <row r="1354">
      <c r="D1354" s="118"/>
      <c r="E1354" s="118"/>
    </row>
    <row r="1355">
      <c r="D1355" s="118"/>
      <c r="E1355" s="118"/>
    </row>
    <row r="1356">
      <c r="D1356" s="118"/>
      <c r="E1356" s="118"/>
    </row>
    <row r="1357">
      <c r="D1357" s="118"/>
      <c r="E1357" s="118"/>
    </row>
    <row r="1358">
      <c r="D1358" s="118"/>
      <c r="E1358" s="118"/>
    </row>
    <row r="1359">
      <c r="D1359" s="118"/>
      <c r="E1359" s="118"/>
    </row>
    <row r="1360">
      <c r="D1360" s="118"/>
      <c r="E1360" s="118"/>
    </row>
    <row r="1361">
      <c r="D1361" s="118"/>
      <c r="E1361" s="118"/>
    </row>
    <row r="1362">
      <c r="D1362" s="118"/>
      <c r="E1362" s="118"/>
    </row>
    <row r="1363">
      <c r="D1363" s="118"/>
      <c r="E1363" s="118"/>
    </row>
    <row r="1364">
      <c r="D1364" s="118"/>
      <c r="E1364" s="118"/>
    </row>
    <row r="1365">
      <c r="D1365" s="118"/>
      <c r="E1365" s="118"/>
    </row>
    <row r="1366">
      <c r="D1366" s="118"/>
      <c r="E1366" s="118"/>
    </row>
    <row r="1367">
      <c r="D1367" s="118"/>
      <c r="E1367" s="118"/>
    </row>
    <row r="1368">
      <c r="D1368" s="118"/>
      <c r="E1368" s="118"/>
    </row>
    <row r="1369">
      <c r="D1369" s="118"/>
      <c r="E1369" s="118"/>
    </row>
    <row r="1370">
      <c r="D1370" s="118"/>
      <c r="E1370" s="118"/>
    </row>
    <row r="1371">
      <c r="D1371" s="118"/>
      <c r="E1371" s="118"/>
    </row>
    <row r="1372">
      <c r="D1372" s="118"/>
      <c r="E1372" s="118"/>
    </row>
    <row r="1373">
      <c r="D1373" s="118"/>
      <c r="E1373" s="118"/>
    </row>
    <row r="1374">
      <c r="D1374" s="118"/>
      <c r="E1374" s="118"/>
    </row>
    <row r="1375">
      <c r="D1375" s="118"/>
      <c r="E1375" s="118"/>
    </row>
    <row r="1376">
      <c r="D1376" s="118"/>
      <c r="E1376" s="118"/>
    </row>
    <row r="1377">
      <c r="D1377" s="118"/>
      <c r="E1377" s="118"/>
    </row>
    <row r="1378">
      <c r="D1378" s="118"/>
      <c r="E1378" s="118"/>
    </row>
    <row r="1379">
      <c r="D1379" s="118"/>
      <c r="E1379" s="118"/>
    </row>
    <row r="1380">
      <c r="D1380" s="118"/>
      <c r="E1380" s="118"/>
    </row>
    <row r="1381">
      <c r="D1381" s="118"/>
      <c r="E1381" s="118"/>
    </row>
    <row r="1382">
      <c r="D1382" s="118"/>
      <c r="E1382" s="118"/>
    </row>
    <row r="1383">
      <c r="D1383" s="118"/>
      <c r="E1383" s="118"/>
    </row>
    <row r="1384">
      <c r="D1384" s="118"/>
      <c r="E1384" s="118"/>
    </row>
    <row r="1385">
      <c r="D1385" s="118"/>
      <c r="E1385" s="118"/>
    </row>
    <row r="1386">
      <c r="D1386" s="118"/>
      <c r="E1386" s="118"/>
    </row>
    <row r="1387">
      <c r="D1387" s="118"/>
      <c r="E1387" s="118"/>
    </row>
    <row r="1388">
      <c r="D1388" s="118"/>
      <c r="E1388" s="118"/>
    </row>
    <row r="1389">
      <c r="D1389" s="118"/>
      <c r="E1389" s="118"/>
    </row>
    <row r="1390">
      <c r="D1390" s="118"/>
      <c r="E1390" s="118"/>
    </row>
    <row r="1391">
      <c r="D1391" s="118"/>
      <c r="E1391" s="118"/>
    </row>
    <row r="1392">
      <c r="D1392" s="118"/>
      <c r="E1392" s="118"/>
    </row>
    <row r="1393">
      <c r="D1393" s="118"/>
      <c r="E1393" s="118"/>
    </row>
    <row r="1394">
      <c r="D1394" s="118"/>
      <c r="E1394" s="118"/>
    </row>
    <row r="1395">
      <c r="D1395" s="118"/>
      <c r="E1395" s="118"/>
    </row>
    <row r="1396">
      <c r="D1396" s="118"/>
      <c r="E1396" s="118"/>
    </row>
    <row r="1397">
      <c r="D1397" s="118"/>
      <c r="E1397" s="118"/>
    </row>
    <row r="1398">
      <c r="D1398" s="118"/>
      <c r="E1398" s="118"/>
    </row>
    <row r="1399">
      <c r="D1399" s="118"/>
      <c r="E1399" s="118"/>
    </row>
    <row r="1400">
      <c r="D1400" s="118"/>
      <c r="E1400" s="118"/>
    </row>
    <row r="1401">
      <c r="D1401" s="118"/>
      <c r="E1401" s="118"/>
    </row>
    <row r="1402">
      <c r="D1402" s="118"/>
      <c r="E1402" s="118"/>
    </row>
    <row r="1403">
      <c r="D1403" s="118"/>
      <c r="E1403" s="118"/>
    </row>
    <row r="1404">
      <c r="D1404" s="118"/>
      <c r="E1404" s="118"/>
    </row>
    <row r="1405">
      <c r="D1405" s="118"/>
      <c r="E1405" s="118"/>
    </row>
    <row r="1406">
      <c r="D1406" s="118"/>
      <c r="E1406" s="118"/>
    </row>
    <row r="1407">
      <c r="D1407" s="118"/>
      <c r="E1407" s="118"/>
    </row>
    <row r="1408">
      <c r="D1408" s="118"/>
      <c r="E1408" s="118"/>
    </row>
    <row r="1409">
      <c r="D1409" s="118"/>
      <c r="E1409" s="118"/>
    </row>
    <row r="1410">
      <c r="D1410" s="118"/>
      <c r="E1410" s="118"/>
    </row>
    <row r="1411">
      <c r="D1411" s="118"/>
      <c r="E1411" s="118"/>
    </row>
    <row r="1412">
      <c r="D1412" s="118"/>
      <c r="E1412" s="118"/>
    </row>
    <row r="1413">
      <c r="D1413" s="118"/>
      <c r="E1413" s="118"/>
    </row>
    <row r="1414">
      <c r="D1414" s="118"/>
      <c r="E1414" s="118"/>
    </row>
    <row r="1415">
      <c r="D1415" s="118"/>
      <c r="E1415" s="118"/>
    </row>
    <row r="1416">
      <c r="D1416" s="118"/>
      <c r="E1416" s="118"/>
    </row>
    <row r="1417">
      <c r="D1417" s="118"/>
      <c r="E1417" s="118"/>
    </row>
    <row r="1418">
      <c r="D1418" s="118"/>
      <c r="E1418" s="118"/>
    </row>
    <row r="1419">
      <c r="D1419" s="118"/>
      <c r="E1419" s="118"/>
    </row>
    <row r="1420">
      <c r="D1420" s="118"/>
      <c r="E1420" s="118"/>
    </row>
    <row r="1421">
      <c r="D1421" s="118"/>
      <c r="E1421" s="118"/>
    </row>
    <row r="1422">
      <c r="D1422" s="118"/>
      <c r="E1422" s="118"/>
    </row>
    <row r="1423">
      <c r="D1423" s="118"/>
      <c r="E1423" s="118"/>
    </row>
    <row r="1424">
      <c r="D1424" s="118"/>
      <c r="E1424" s="118"/>
    </row>
    <row r="1425">
      <c r="D1425" s="118"/>
      <c r="E1425" s="118"/>
    </row>
    <row r="1426">
      <c r="D1426" s="118"/>
      <c r="E1426" s="118"/>
    </row>
    <row r="1427">
      <c r="D1427" s="118"/>
      <c r="E1427" s="118"/>
    </row>
    <row r="1428">
      <c r="D1428" s="118"/>
      <c r="E1428" s="118"/>
    </row>
    <row r="1429">
      <c r="D1429" s="118"/>
      <c r="E1429" s="118"/>
    </row>
    <row r="1430">
      <c r="D1430" s="118"/>
      <c r="E1430" s="118"/>
    </row>
    <row r="1431">
      <c r="D1431" s="118"/>
      <c r="E1431" s="118"/>
    </row>
    <row r="1432">
      <c r="D1432" s="118"/>
      <c r="E1432" s="118"/>
    </row>
    <row r="1433">
      <c r="D1433" s="118"/>
      <c r="E1433" s="118"/>
    </row>
    <row r="1434">
      <c r="D1434" s="118"/>
      <c r="E1434" s="118"/>
    </row>
    <row r="1435">
      <c r="D1435" s="118"/>
      <c r="E1435" s="118"/>
    </row>
    <row r="1436">
      <c r="D1436" s="118"/>
      <c r="E1436" s="118"/>
    </row>
    <row r="1437">
      <c r="D1437" s="118"/>
      <c r="E1437" s="118"/>
    </row>
    <row r="1438">
      <c r="D1438" s="118"/>
      <c r="E1438" s="118"/>
    </row>
    <row r="1439">
      <c r="D1439" s="118"/>
      <c r="E1439" s="118"/>
    </row>
    <row r="1440">
      <c r="D1440" s="118"/>
      <c r="E1440" s="118"/>
    </row>
    <row r="1441">
      <c r="D1441" s="118"/>
      <c r="E1441" s="118"/>
    </row>
    <row r="1442">
      <c r="D1442" s="118"/>
      <c r="E1442" s="118"/>
    </row>
    <row r="1443">
      <c r="D1443" s="118"/>
      <c r="E1443" s="118"/>
    </row>
    <row r="1444">
      <c r="D1444" s="118"/>
      <c r="E1444" s="118"/>
    </row>
    <row r="1445">
      <c r="D1445" s="118"/>
      <c r="E1445" s="118"/>
    </row>
    <row r="1446">
      <c r="D1446" s="118"/>
      <c r="E1446" s="118"/>
    </row>
    <row r="1447">
      <c r="D1447" s="118"/>
      <c r="E1447" s="118"/>
    </row>
    <row r="1448">
      <c r="D1448" s="118"/>
      <c r="E1448" s="118"/>
    </row>
    <row r="1449">
      <c r="D1449" s="118"/>
      <c r="E1449" s="118"/>
    </row>
    <row r="1450">
      <c r="D1450" s="118"/>
      <c r="E1450" s="118"/>
    </row>
    <row r="1451">
      <c r="D1451" s="118"/>
      <c r="E1451" s="118"/>
    </row>
    <row r="1452">
      <c r="D1452" s="118"/>
      <c r="E1452" s="118"/>
    </row>
    <row r="1453">
      <c r="D1453" s="118"/>
      <c r="E1453" s="118"/>
    </row>
    <row r="1454">
      <c r="D1454" s="118"/>
      <c r="E1454" s="118"/>
    </row>
    <row r="1455">
      <c r="D1455" s="118"/>
      <c r="E1455" s="118"/>
    </row>
    <row r="1456">
      <c r="D1456" s="118"/>
      <c r="E1456" s="118"/>
    </row>
    <row r="1457">
      <c r="D1457" s="118"/>
      <c r="E1457" s="118"/>
    </row>
    <row r="1458">
      <c r="D1458" s="118"/>
      <c r="E1458" s="118"/>
    </row>
    <row r="1459">
      <c r="D1459" s="118"/>
      <c r="E1459" s="118"/>
    </row>
    <row r="1460">
      <c r="D1460" s="118"/>
      <c r="E1460" s="118"/>
    </row>
    <row r="1461">
      <c r="D1461" s="118"/>
      <c r="E1461" s="118"/>
    </row>
    <row r="1462">
      <c r="D1462" s="118"/>
      <c r="E1462" s="118"/>
    </row>
    <row r="1463">
      <c r="D1463" s="118"/>
      <c r="E1463" s="118"/>
    </row>
    <row r="1464">
      <c r="D1464" s="118"/>
      <c r="E1464" s="118"/>
    </row>
    <row r="1465">
      <c r="D1465" s="118"/>
      <c r="E1465" s="118"/>
    </row>
    <row r="1466">
      <c r="D1466" s="118"/>
      <c r="E1466" s="118"/>
    </row>
    <row r="1467">
      <c r="D1467" s="118"/>
      <c r="E1467" s="118"/>
    </row>
    <row r="1468">
      <c r="D1468" s="118"/>
      <c r="E1468" s="118"/>
    </row>
    <row r="1469">
      <c r="D1469" s="118"/>
      <c r="E1469" s="118"/>
    </row>
    <row r="1470">
      <c r="D1470" s="118"/>
      <c r="E1470" s="118"/>
    </row>
    <row r="1471">
      <c r="D1471" s="118"/>
      <c r="E1471" s="118"/>
    </row>
    <row r="1472">
      <c r="D1472" s="118"/>
      <c r="E1472" s="118"/>
    </row>
    <row r="1473">
      <c r="D1473" s="118"/>
      <c r="E1473" s="118"/>
    </row>
    <row r="1474">
      <c r="D1474" s="118"/>
      <c r="E1474" s="118"/>
    </row>
    <row r="1475">
      <c r="D1475" s="118"/>
      <c r="E1475" s="118"/>
    </row>
    <row r="1476">
      <c r="D1476" s="118"/>
      <c r="E1476" s="118"/>
    </row>
    <row r="1477">
      <c r="D1477" s="118"/>
      <c r="E1477" s="118"/>
    </row>
    <row r="1478">
      <c r="D1478" s="118"/>
      <c r="E1478" s="118"/>
    </row>
    <row r="1479">
      <c r="D1479" s="118"/>
      <c r="E1479" s="118"/>
    </row>
    <row r="1480">
      <c r="D1480" s="118"/>
      <c r="E1480" s="118"/>
    </row>
    <row r="1481">
      <c r="D1481" s="118"/>
      <c r="E1481" s="118"/>
    </row>
    <row r="1482">
      <c r="D1482" s="118"/>
      <c r="E1482" s="118"/>
    </row>
    <row r="1483">
      <c r="D1483" s="118"/>
      <c r="E1483" s="118"/>
    </row>
    <row r="1484">
      <c r="D1484" s="118"/>
      <c r="E1484" s="118"/>
    </row>
    <row r="1485">
      <c r="D1485" s="118"/>
      <c r="E1485" s="118"/>
    </row>
    <row r="1486">
      <c r="D1486" s="118"/>
      <c r="E1486" s="118"/>
    </row>
    <row r="1487">
      <c r="D1487" s="118"/>
      <c r="E1487" s="118"/>
    </row>
    <row r="1488">
      <c r="D1488" s="118"/>
      <c r="E1488" s="118"/>
    </row>
    <row r="1489">
      <c r="D1489" s="118"/>
      <c r="E1489" s="118"/>
    </row>
    <row r="1490">
      <c r="D1490" s="118"/>
      <c r="E1490" s="118"/>
    </row>
    <row r="1491">
      <c r="D1491" s="118"/>
      <c r="E1491" s="118"/>
    </row>
    <row r="1492">
      <c r="D1492" s="118"/>
      <c r="E1492" s="118"/>
    </row>
    <row r="1493">
      <c r="D1493" s="118"/>
      <c r="E1493" s="118"/>
    </row>
    <row r="1494">
      <c r="D1494" s="118"/>
      <c r="E1494" s="118"/>
    </row>
    <row r="1495">
      <c r="D1495" s="118"/>
      <c r="E1495" s="118"/>
    </row>
    <row r="1496">
      <c r="D1496" s="118"/>
      <c r="E1496" s="118"/>
    </row>
    <row r="1497">
      <c r="D1497" s="118"/>
      <c r="E1497" s="118"/>
    </row>
    <row r="1498">
      <c r="D1498" s="118"/>
      <c r="E1498" s="118"/>
    </row>
    <row r="1499">
      <c r="D1499" s="118"/>
      <c r="E1499" s="118"/>
    </row>
    <row r="1500">
      <c r="D1500" s="118"/>
      <c r="E1500" s="118"/>
    </row>
    <row r="1501">
      <c r="D1501" s="118"/>
      <c r="E1501" s="118"/>
    </row>
    <row r="1502">
      <c r="D1502" s="118"/>
      <c r="E1502" s="118"/>
    </row>
    <row r="1503">
      <c r="D1503" s="118"/>
      <c r="E1503" s="118"/>
    </row>
    <row r="1504">
      <c r="D1504" s="118"/>
      <c r="E1504" s="118"/>
    </row>
    <row r="1505">
      <c r="D1505" s="118"/>
      <c r="E1505" s="118"/>
    </row>
    <row r="1506">
      <c r="D1506" s="118"/>
      <c r="E1506" s="118"/>
    </row>
    <row r="1507">
      <c r="D1507" s="118"/>
      <c r="E1507" s="118"/>
    </row>
    <row r="1508">
      <c r="D1508" s="118"/>
      <c r="E1508" s="118"/>
    </row>
    <row r="1509">
      <c r="D1509" s="118"/>
      <c r="E1509" s="118"/>
    </row>
    <row r="1510">
      <c r="D1510" s="118"/>
      <c r="E1510" s="118"/>
    </row>
    <row r="1511">
      <c r="D1511" s="118"/>
      <c r="E1511" s="118"/>
    </row>
    <row r="1512">
      <c r="D1512" s="118"/>
      <c r="E1512" s="118"/>
    </row>
    <row r="1513">
      <c r="D1513" s="118"/>
      <c r="E1513" s="118"/>
    </row>
    <row r="1514">
      <c r="D1514" s="118"/>
      <c r="E1514" s="118"/>
    </row>
    <row r="1515">
      <c r="D1515" s="118"/>
      <c r="E1515" s="118"/>
    </row>
    <row r="1516">
      <c r="D1516" s="118"/>
      <c r="E1516" s="118"/>
    </row>
    <row r="1517">
      <c r="D1517" s="118"/>
      <c r="E1517" s="118"/>
    </row>
    <row r="1518">
      <c r="D1518" s="118"/>
      <c r="E1518" s="118"/>
    </row>
    <row r="1519">
      <c r="D1519" s="118"/>
      <c r="E1519" s="118"/>
    </row>
    <row r="1520">
      <c r="D1520" s="118"/>
      <c r="E1520" s="118"/>
    </row>
    <row r="1521">
      <c r="D1521" s="118"/>
      <c r="E1521" s="118"/>
    </row>
    <row r="1522">
      <c r="D1522" s="118"/>
      <c r="E1522" s="118"/>
    </row>
    <row r="1523">
      <c r="D1523" s="118"/>
      <c r="E1523" s="118"/>
    </row>
    <row r="1524">
      <c r="D1524" s="118"/>
      <c r="E1524" s="118"/>
    </row>
    <row r="1525">
      <c r="D1525" s="118"/>
      <c r="E1525" s="118"/>
    </row>
    <row r="1526">
      <c r="D1526" s="118"/>
      <c r="E1526" s="118"/>
    </row>
    <row r="1527">
      <c r="D1527" s="118"/>
      <c r="E1527" s="118"/>
    </row>
    <row r="1528">
      <c r="D1528" s="118"/>
      <c r="E1528" s="118"/>
    </row>
    <row r="1529">
      <c r="D1529" s="118"/>
      <c r="E1529" s="118"/>
    </row>
    <row r="1530">
      <c r="D1530" s="118"/>
      <c r="E1530" s="118"/>
    </row>
    <row r="1531">
      <c r="D1531" s="118"/>
      <c r="E1531" s="118"/>
    </row>
    <row r="1532">
      <c r="D1532" s="118"/>
      <c r="E1532" s="118"/>
    </row>
    <row r="1533">
      <c r="D1533" s="118"/>
      <c r="E1533" s="118"/>
    </row>
    <row r="1534">
      <c r="D1534" s="118"/>
      <c r="E1534" s="118"/>
    </row>
    <row r="1535">
      <c r="D1535" s="118"/>
      <c r="E1535" s="118"/>
    </row>
    <row r="1536">
      <c r="D1536" s="118"/>
      <c r="E1536" s="118"/>
    </row>
    <row r="1537">
      <c r="D1537" s="118"/>
      <c r="E1537" s="118"/>
    </row>
    <row r="1538">
      <c r="D1538" s="118"/>
      <c r="E1538" s="118"/>
    </row>
    <row r="1539">
      <c r="D1539" s="118"/>
      <c r="E1539" s="118"/>
    </row>
    <row r="1540">
      <c r="D1540" s="118"/>
      <c r="E1540" s="118"/>
    </row>
    <row r="1541">
      <c r="D1541" s="118"/>
      <c r="E1541" s="118"/>
    </row>
    <row r="1542">
      <c r="D1542" s="118"/>
      <c r="E1542" s="118"/>
    </row>
    <row r="1543">
      <c r="D1543" s="118"/>
      <c r="E1543" s="118"/>
    </row>
    <row r="1544">
      <c r="D1544" s="118"/>
      <c r="E1544" s="118"/>
    </row>
    <row r="1545">
      <c r="D1545" s="118"/>
      <c r="E1545" s="118"/>
    </row>
    <row r="1546">
      <c r="D1546" s="118"/>
      <c r="E1546" s="118"/>
    </row>
    <row r="1547">
      <c r="D1547" s="118"/>
      <c r="E1547" s="118"/>
    </row>
    <row r="1548">
      <c r="D1548" s="118"/>
      <c r="E1548" s="118"/>
    </row>
    <row r="1549">
      <c r="D1549" s="118"/>
      <c r="E1549" s="118"/>
    </row>
    <row r="1550">
      <c r="D1550" s="118"/>
      <c r="E1550" s="118"/>
    </row>
    <row r="1551">
      <c r="D1551" s="118"/>
      <c r="E1551" s="118"/>
    </row>
    <row r="1552">
      <c r="D1552" s="118"/>
      <c r="E1552" s="118"/>
    </row>
    <row r="1553">
      <c r="D1553" s="118"/>
      <c r="E1553" s="118"/>
    </row>
    <row r="1554">
      <c r="D1554" s="118"/>
      <c r="E1554" s="118"/>
    </row>
    <row r="1555">
      <c r="D1555" s="118"/>
      <c r="E1555" s="118"/>
    </row>
    <row r="1556">
      <c r="D1556" s="118"/>
      <c r="E1556" s="118"/>
    </row>
    <row r="1557">
      <c r="D1557" s="118"/>
      <c r="E1557" s="118"/>
    </row>
    <row r="1558">
      <c r="D1558" s="118"/>
      <c r="E1558" s="118"/>
    </row>
    <row r="1559">
      <c r="D1559" s="118"/>
      <c r="E1559" s="118"/>
    </row>
    <row r="1560">
      <c r="D1560" s="118"/>
      <c r="E1560" s="118"/>
    </row>
    <row r="1561">
      <c r="D1561" s="118"/>
      <c r="E1561" s="118"/>
    </row>
    <row r="1562">
      <c r="D1562" s="118"/>
      <c r="E1562" s="118"/>
    </row>
    <row r="1563">
      <c r="D1563" s="118"/>
      <c r="E1563" s="118"/>
    </row>
    <row r="1564">
      <c r="D1564" s="118"/>
      <c r="E1564" s="118"/>
    </row>
    <row r="1565">
      <c r="D1565" s="118"/>
      <c r="E1565" s="118"/>
    </row>
    <row r="1566">
      <c r="D1566" s="118"/>
      <c r="E1566" s="118"/>
    </row>
    <row r="1567">
      <c r="D1567" s="118"/>
      <c r="E1567" s="118"/>
    </row>
    <row r="1568">
      <c r="D1568" s="118"/>
      <c r="E1568" s="118"/>
    </row>
    <row r="1569">
      <c r="D1569" s="118"/>
      <c r="E1569" s="118"/>
    </row>
    <row r="1570">
      <c r="D1570" s="118"/>
      <c r="E1570" s="118"/>
    </row>
    <row r="1571">
      <c r="D1571" s="118"/>
      <c r="E1571" s="118"/>
    </row>
    <row r="1572">
      <c r="D1572" s="118"/>
      <c r="E1572" s="118"/>
    </row>
    <row r="1573">
      <c r="D1573" s="118"/>
      <c r="E1573" s="118"/>
    </row>
    <row r="1574">
      <c r="D1574" s="118"/>
      <c r="E1574" s="118"/>
    </row>
    <row r="1575">
      <c r="D1575" s="118"/>
      <c r="E1575" s="118"/>
    </row>
    <row r="1576">
      <c r="D1576" s="118"/>
      <c r="E1576" s="118"/>
    </row>
    <row r="1577">
      <c r="D1577" s="118"/>
      <c r="E1577" s="118"/>
    </row>
    <row r="1578">
      <c r="D1578" s="118"/>
      <c r="E1578" s="118"/>
    </row>
    <row r="1579">
      <c r="D1579" s="118"/>
      <c r="E1579" s="118"/>
    </row>
    <row r="1580">
      <c r="D1580" s="118"/>
      <c r="E1580" s="118"/>
    </row>
    <row r="1581">
      <c r="D1581" s="118"/>
      <c r="E1581" s="118"/>
    </row>
    <row r="1582">
      <c r="D1582" s="118"/>
      <c r="E1582" s="118"/>
    </row>
    <row r="1583">
      <c r="D1583" s="118"/>
      <c r="E1583" s="118"/>
    </row>
    <row r="1584">
      <c r="D1584" s="118"/>
      <c r="E1584" s="118"/>
    </row>
    <row r="1585">
      <c r="D1585" s="118"/>
      <c r="E1585" s="118"/>
    </row>
    <row r="1586">
      <c r="D1586" s="118"/>
      <c r="E1586" s="118"/>
    </row>
    <row r="1587">
      <c r="D1587" s="118"/>
      <c r="E1587" s="118"/>
    </row>
    <row r="1588">
      <c r="D1588" s="118"/>
      <c r="E1588" s="118"/>
    </row>
    <row r="1589">
      <c r="D1589" s="118"/>
      <c r="E1589" s="118"/>
    </row>
    <row r="1590">
      <c r="D1590" s="118"/>
      <c r="E1590" s="118"/>
    </row>
    <row r="1591">
      <c r="D1591" s="118"/>
      <c r="E1591" s="118"/>
    </row>
    <row r="1592">
      <c r="D1592" s="118"/>
      <c r="E1592" s="118"/>
    </row>
    <row r="1593">
      <c r="D1593" s="118"/>
      <c r="E1593" s="118"/>
    </row>
    <row r="1594">
      <c r="D1594" s="118"/>
      <c r="E1594" s="118"/>
    </row>
    <row r="1595">
      <c r="D1595" s="118"/>
      <c r="E1595" s="118"/>
    </row>
    <row r="1596">
      <c r="D1596" s="118"/>
      <c r="E1596" s="118"/>
    </row>
    <row r="1597">
      <c r="D1597" s="118"/>
      <c r="E1597" s="118"/>
    </row>
    <row r="1598">
      <c r="D1598" s="118"/>
      <c r="E1598" s="118"/>
    </row>
    <row r="1599">
      <c r="D1599" s="118"/>
      <c r="E1599" s="118"/>
    </row>
    <row r="1600">
      <c r="D1600" s="118"/>
      <c r="E1600" s="118"/>
    </row>
    <row r="1601">
      <c r="D1601" s="118"/>
      <c r="E1601" s="118"/>
    </row>
    <row r="1602">
      <c r="D1602" s="118"/>
      <c r="E1602" s="118"/>
    </row>
    <row r="1603">
      <c r="D1603" s="118"/>
      <c r="E1603" s="118"/>
    </row>
    <row r="1604">
      <c r="D1604" s="118"/>
      <c r="E1604" s="118"/>
    </row>
    <row r="1605">
      <c r="D1605" s="118"/>
      <c r="E1605" s="118"/>
    </row>
    <row r="1606">
      <c r="D1606" s="118"/>
      <c r="E1606" s="118"/>
    </row>
    <row r="1607">
      <c r="D1607" s="118"/>
      <c r="E1607" s="118"/>
    </row>
    <row r="1608">
      <c r="D1608" s="118"/>
      <c r="E1608" s="118"/>
    </row>
    <row r="1609">
      <c r="D1609" s="118"/>
      <c r="E1609" s="118"/>
    </row>
    <row r="1610">
      <c r="D1610" s="118"/>
      <c r="E1610" s="118"/>
    </row>
    <row r="1611">
      <c r="D1611" s="118"/>
      <c r="E1611" s="118"/>
    </row>
    <row r="1612">
      <c r="D1612" s="118"/>
      <c r="E1612" s="118"/>
    </row>
    <row r="1613">
      <c r="D1613" s="118"/>
      <c r="E1613" s="118"/>
    </row>
    <row r="1614">
      <c r="D1614" s="118"/>
      <c r="E1614" s="118"/>
    </row>
    <row r="1615">
      <c r="D1615" s="118"/>
      <c r="E1615" s="118"/>
    </row>
    <row r="1616">
      <c r="D1616" s="118"/>
      <c r="E1616" s="118"/>
    </row>
    <row r="1617">
      <c r="D1617" s="118"/>
      <c r="E1617" s="118"/>
    </row>
    <row r="1618">
      <c r="D1618" s="118"/>
      <c r="E1618" s="118"/>
    </row>
    <row r="1619">
      <c r="D1619" s="118"/>
      <c r="E1619" s="118"/>
    </row>
    <row r="1620">
      <c r="D1620" s="118"/>
      <c r="E1620" s="118"/>
    </row>
    <row r="1621">
      <c r="D1621" s="118"/>
      <c r="E1621" s="118"/>
    </row>
    <row r="1622">
      <c r="D1622" s="118"/>
      <c r="E1622" s="118"/>
    </row>
    <row r="1623">
      <c r="D1623" s="118"/>
      <c r="E1623" s="118"/>
    </row>
    <row r="1624">
      <c r="D1624" s="118"/>
      <c r="E1624" s="118"/>
    </row>
    <row r="1625">
      <c r="D1625" s="118"/>
      <c r="E1625" s="118"/>
    </row>
    <row r="1626">
      <c r="D1626" s="118"/>
      <c r="E1626" s="118"/>
    </row>
    <row r="1627">
      <c r="D1627" s="118"/>
      <c r="E1627" s="118"/>
    </row>
    <row r="1628">
      <c r="D1628" s="118"/>
      <c r="E1628" s="118"/>
    </row>
    <row r="1629">
      <c r="D1629" s="118"/>
      <c r="E1629" s="118"/>
    </row>
    <row r="1630">
      <c r="D1630" s="118"/>
      <c r="E1630" s="118"/>
    </row>
    <row r="1631">
      <c r="D1631" s="118"/>
      <c r="E1631" s="118"/>
    </row>
    <row r="1632">
      <c r="D1632" s="118"/>
      <c r="E1632" s="118"/>
    </row>
    <row r="1633">
      <c r="D1633" s="118"/>
      <c r="E1633" s="118"/>
    </row>
    <row r="1634">
      <c r="D1634" s="118"/>
      <c r="E1634" s="118"/>
    </row>
    <row r="1635">
      <c r="D1635" s="118"/>
      <c r="E1635" s="118"/>
    </row>
    <row r="1636">
      <c r="D1636" s="118"/>
      <c r="E1636" s="118"/>
    </row>
    <row r="1637">
      <c r="D1637" s="118"/>
      <c r="E1637" s="118"/>
    </row>
    <row r="1638">
      <c r="D1638" s="118"/>
      <c r="E1638" s="118"/>
    </row>
    <row r="1639">
      <c r="D1639" s="118"/>
      <c r="E1639" s="118"/>
    </row>
    <row r="1640">
      <c r="D1640" s="118"/>
      <c r="E1640" s="118"/>
    </row>
    <row r="1641">
      <c r="D1641" s="118"/>
      <c r="E1641" s="118"/>
    </row>
    <row r="1642">
      <c r="D1642" s="118"/>
      <c r="E1642" s="118"/>
    </row>
    <row r="1643">
      <c r="D1643" s="118"/>
      <c r="E1643" s="118"/>
    </row>
    <row r="1644">
      <c r="D1644" s="118"/>
      <c r="E1644" s="118"/>
    </row>
    <row r="1645">
      <c r="D1645" s="118"/>
      <c r="E1645" s="118"/>
    </row>
    <row r="1646">
      <c r="D1646" s="118"/>
      <c r="E1646" s="118"/>
    </row>
    <row r="1647">
      <c r="D1647" s="118"/>
      <c r="E1647" s="118"/>
    </row>
    <row r="1648">
      <c r="D1648" s="118"/>
      <c r="E1648" s="118"/>
    </row>
    <row r="1649">
      <c r="D1649" s="118"/>
      <c r="E1649" s="118"/>
    </row>
    <row r="1650">
      <c r="D1650" s="118"/>
      <c r="E1650" s="118"/>
    </row>
    <row r="1651">
      <c r="D1651" s="118"/>
      <c r="E1651" s="118"/>
    </row>
    <row r="1652">
      <c r="D1652" s="118"/>
      <c r="E1652" s="118"/>
    </row>
    <row r="1653">
      <c r="D1653" s="118"/>
      <c r="E1653" s="118"/>
    </row>
    <row r="1654">
      <c r="D1654" s="118"/>
      <c r="E1654" s="118"/>
    </row>
    <row r="1655">
      <c r="D1655" s="118"/>
      <c r="E1655" s="118"/>
    </row>
    <row r="1656">
      <c r="D1656" s="118"/>
      <c r="E1656" s="118"/>
    </row>
    <row r="1657">
      <c r="D1657" s="118"/>
      <c r="E1657" s="118"/>
    </row>
    <row r="1658">
      <c r="D1658" s="118"/>
      <c r="E1658" s="118"/>
    </row>
    <row r="1659">
      <c r="D1659" s="118"/>
      <c r="E1659" s="118"/>
    </row>
    <row r="1660">
      <c r="D1660" s="118"/>
      <c r="E1660" s="118"/>
    </row>
    <row r="1661">
      <c r="D1661" s="118"/>
      <c r="E1661" s="118"/>
    </row>
    <row r="1662">
      <c r="D1662" s="118"/>
      <c r="E1662" s="118"/>
    </row>
    <row r="1663">
      <c r="D1663" s="118"/>
      <c r="E1663" s="118"/>
    </row>
    <row r="1664">
      <c r="D1664" s="118"/>
      <c r="E1664" s="118"/>
    </row>
    <row r="1665">
      <c r="D1665" s="118"/>
      <c r="E1665" s="118"/>
    </row>
    <row r="1666">
      <c r="D1666" s="118"/>
      <c r="E1666" s="118"/>
    </row>
    <row r="1667">
      <c r="D1667" s="118"/>
      <c r="E1667" s="118"/>
    </row>
    <row r="1668">
      <c r="D1668" s="118"/>
      <c r="E1668" s="118"/>
    </row>
    <row r="1669">
      <c r="D1669" s="118"/>
      <c r="E1669" s="118"/>
    </row>
    <row r="1670">
      <c r="D1670" s="118"/>
      <c r="E1670" s="118"/>
    </row>
    <row r="1671">
      <c r="D1671" s="118"/>
      <c r="E1671" s="118"/>
    </row>
    <row r="1672">
      <c r="D1672" s="118"/>
      <c r="E1672" s="118"/>
    </row>
    <row r="1673">
      <c r="D1673" s="118"/>
      <c r="E1673" s="118"/>
    </row>
    <row r="1674">
      <c r="D1674" s="118"/>
      <c r="E1674" s="118"/>
    </row>
    <row r="1675">
      <c r="D1675" s="118"/>
      <c r="E1675" s="118"/>
    </row>
    <row r="1676">
      <c r="D1676" s="118"/>
      <c r="E1676" s="118"/>
    </row>
    <row r="1677">
      <c r="D1677" s="118"/>
      <c r="E1677" s="118"/>
    </row>
    <row r="1678">
      <c r="D1678" s="118"/>
      <c r="E1678" s="118"/>
    </row>
    <row r="1679">
      <c r="D1679" s="118"/>
      <c r="E1679" s="118"/>
    </row>
    <row r="1680">
      <c r="D1680" s="118"/>
      <c r="E1680" s="118"/>
    </row>
    <row r="1681">
      <c r="D1681" s="118"/>
      <c r="E1681" s="118"/>
    </row>
    <row r="1682">
      <c r="D1682" s="118"/>
      <c r="E1682" s="118"/>
    </row>
    <row r="1683">
      <c r="D1683" s="118"/>
      <c r="E1683" s="118"/>
    </row>
    <row r="1684">
      <c r="D1684" s="118"/>
      <c r="E1684" s="118"/>
    </row>
    <row r="1685">
      <c r="D1685" s="118"/>
      <c r="E1685" s="118"/>
    </row>
    <row r="1686">
      <c r="D1686" s="118"/>
      <c r="E1686" s="118"/>
    </row>
    <row r="1687">
      <c r="D1687" s="118"/>
      <c r="E1687" s="118"/>
    </row>
    <row r="1688">
      <c r="D1688" s="118"/>
      <c r="E1688" s="118"/>
    </row>
    <row r="1689">
      <c r="D1689" s="118"/>
      <c r="E1689" s="118"/>
    </row>
    <row r="1690">
      <c r="D1690" s="118"/>
      <c r="E1690" s="118"/>
    </row>
    <row r="1691">
      <c r="D1691" s="118"/>
      <c r="E1691" s="118"/>
    </row>
    <row r="1692">
      <c r="D1692" s="118"/>
      <c r="E1692" s="118"/>
    </row>
    <row r="1693">
      <c r="D1693" s="118"/>
      <c r="E1693" s="118"/>
    </row>
    <row r="1694">
      <c r="D1694" s="118"/>
      <c r="E1694" s="118"/>
    </row>
    <row r="1695">
      <c r="D1695" s="118"/>
      <c r="E1695" s="118"/>
    </row>
    <row r="1696">
      <c r="D1696" s="118"/>
      <c r="E1696" s="118"/>
    </row>
    <row r="1697">
      <c r="D1697" s="118"/>
      <c r="E1697" s="118"/>
    </row>
    <row r="1698">
      <c r="D1698" s="118"/>
      <c r="E1698" s="118"/>
    </row>
    <row r="1699">
      <c r="D1699" s="118"/>
      <c r="E1699" s="118"/>
    </row>
    <row r="1700">
      <c r="D1700" s="118"/>
      <c r="E1700" s="118"/>
    </row>
    <row r="1701">
      <c r="D1701" s="118"/>
      <c r="E1701" s="118"/>
    </row>
    <row r="1702">
      <c r="D1702" s="118"/>
      <c r="E1702" s="118"/>
    </row>
    <row r="1703">
      <c r="D1703" s="118"/>
      <c r="E1703" s="118"/>
    </row>
    <row r="1704">
      <c r="D1704" s="118"/>
      <c r="E1704" s="118"/>
    </row>
    <row r="1705">
      <c r="D1705" s="118"/>
      <c r="E1705" s="118"/>
    </row>
    <row r="1706">
      <c r="D1706" s="118"/>
      <c r="E1706" s="118"/>
    </row>
    <row r="1707">
      <c r="D1707" s="118"/>
      <c r="E1707" s="118"/>
    </row>
    <row r="1708">
      <c r="D1708" s="118"/>
      <c r="E1708" s="118"/>
    </row>
    <row r="1709">
      <c r="D1709" s="118"/>
      <c r="E1709" s="118"/>
    </row>
    <row r="1710">
      <c r="D1710" s="118"/>
      <c r="E1710" s="118"/>
    </row>
    <row r="1711">
      <c r="D1711" s="118"/>
      <c r="E1711" s="118"/>
    </row>
    <row r="1712">
      <c r="D1712" s="118"/>
      <c r="E1712" s="118"/>
    </row>
    <row r="1713">
      <c r="D1713" s="118"/>
      <c r="E1713" s="118"/>
    </row>
    <row r="1714">
      <c r="D1714" s="118"/>
      <c r="E1714" s="118"/>
    </row>
    <row r="1715">
      <c r="D1715" s="118"/>
      <c r="E1715" s="118"/>
    </row>
    <row r="1716">
      <c r="D1716" s="118"/>
      <c r="E1716" s="118"/>
    </row>
    <row r="1717">
      <c r="D1717" s="118"/>
      <c r="E1717" s="118"/>
    </row>
    <row r="1718">
      <c r="D1718" s="118"/>
      <c r="E1718" s="118"/>
    </row>
    <row r="1719">
      <c r="D1719" s="118"/>
      <c r="E1719" s="118"/>
    </row>
    <row r="1720">
      <c r="D1720" s="118"/>
      <c r="E1720" s="118"/>
    </row>
    <row r="1721">
      <c r="D1721" s="118"/>
      <c r="E1721" s="118"/>
    </row>
    <row r="1722">
      <c r="D1722" s="118"/>
      <c r="E1722" s="118"/>
    </row>
    <row r="1723">
      <c r="D1723" s="118"/>
      <c r="E1723" s="118"/>
    </row>
    <row r="1724">
      <c r="D1724" s="118"/>
      <c r="E1724" s="118"/>
    </row>
    <row r="1725">
      <c r="D1725" s="118"/>
      <c r="E1725" s="118"/>
    </row>
    <row r="1726">
      <c r="D1726" s="118"/>
      <c r="E1726" s="118"/>
    </row>
    <row r="1727">
      <c r="D1727" s="118"/>
      <c r="E1727" s="118"/>
    </row>
    <row r="1728">
      <c r="D1728" s="118"/>
      <c r="E1728" s="118"/>
    </row>
    <row r="1729">
      <c r="D1729" s="118"/>
      <c r="E1729" s="118"/>
    </row>
    <row r="1730">
      <c r="D1730" s="118"/>
      <c r="E1730" s="118"/>
    </row>
    <row r="1731">
      <c r="D1731" s="118"/>
      <c r="E1731" s="118"/>
    </row>
    <row r="1732">
      <c r="D1732" s="118"/>
      <c r="E1732" s="118"/>
    </row>
    <row r="1733">
      <c r="D1733" s="118"/>
      <c r="E1733" s="118"/>
    </row>
    <row r="1734">
      <c r="D1734" s="118"/>
      <c r="E1734" s="118"/>
    </row>
    <row r="1735">
      <c r="D1735" s="118"/>
      <c r="E1735" s="118"/>
    </row>
    <row r="1736">
      <c r="D1736" s="118"/>
      <c r="E1736" s="118"/>
    </row>
    <row r="1737">
      <c r="D1737" s="118"/>
      <c r="E1737" s="118"/>
    </row>
    <row r="1738">
      <c r="D1738" s="118"/>
      <c r="E1738" s="118"/>
    </row>
    <row r="1739">
      <c r="D1739" s="118"/>
      <c r="E1739" s="118"/>
    </row>
    <row r="1740">
      <c r="D1740" s="118"/>
      <c r="E1740" s="118"/>
    </row>
    <row r="1741">
      <c r="D1741" s="118"/>
      <c r="E1741" s="118"/>
    </row>
    <row r="1742">
      <c r="D1742" s="118"/>
      <c r="E1742" s="118"/>
    </row>
    <row r="1743">
      <c r="D1743" s="118"/>
      <c r="E1743" s="118"/>
    </row>
    <row r="1744">
      <c r="D1744" s="118"/>
      <c r="E1744" s="118"/>
    </row>
    <row r="1745">
      <c r="D1745" s="118"/>
      <c r="E1745" s="118"/>
    </row>
    <row r="1746">
      <c r="D1746" s="118"/>
      <c r="E1746" s="118"/>
    </row>
    <row r="1747">
      <c r="D1747" s="118"/>
      <c r="E1747" s="118"/>
    </row>
    <row r="1748">
      <c r="D1748" s="118"/>
      <c r="E1748" s="118"/>
    </row>
    <row r="1749">
      <c r="D1749" s="118"/>
      <c r="E1749" s="118"/>
    </row>
    <row r="1750">
      <c r="D1750" s="118"/>
      <c r="E1750" s="118"/>
    </row>
    <row r="1751">
      <c r="D1751" s="118"/>
      <c r="E1751" s="118"/>
    </row>
    <row r="1752">
      <c r="D1752" s="118"/>
      <c r="E1752" s="118"/>
    </row>
    <row r="1753">
      <c r="D1753" s="118"/>
      <c r="E1753" s="118"/>
    </row>
    <row r="1754">
      <c r="D1754" s="118"/>
      <c r="E1754" s="118"/>
    </row>
    <row r="1755">
      <c r="D1755" s="118"/>
      <c r="E1755" s="118"/>
    </row>
    <row r="1756">
      <c r="D1756" s="118"/>
      <c r="E1756" s="118"/>
    </row>
    <row r="1757">
      <c r="D1757" s="118"/>
      <c r="E1757" s="118"/>
    </row>
    <row r="1758">
      <c r="D1758" s="118"/>
      <c r="E1758" s="118"/>
    </row>
    <row r="1759">
      <c r="D1759" s="118"/>
      <c r="E1759" s="118"/>
    </row>
    <row r="1760">
      <c r="D1760" s="118"/>
      <c r="E1760" s="118"/>
    </row>
    <row r="1761">
      <c r="D1761" s="118"/>
      <c r="E1761" s="118"/>
    </row>
    <row r="1762">
      <c r="D1762" s="118"/>
      <c r="E1762" s="118"/>
    </row>
    <row r="1763">
      <c r="D1763" s="118"/>
      <c r="E1763" s="118"/>
    </row>
    <row r="1764">
      <c r="D1764" s="118"/>
      <c r="E1764" s="118"/>
    </row>
    <row r="1765">
      <c r="D1765" s="118"/>
      <c r="E1765" s="118"/>
    </row>
    <row r="1766">
      <c r="D1766" s="118"/>
      <c r="E1766" s="118"/>
    </row>
    <row r="1767">
      <c r="D1767" s="118"/>
      <c r="E1767" s="118"/>
    </row>
    <row r="1768">
      <c r="D1768" s="118"/>
      <c r="E1768" s="118"/>
    </row>
    <row r="1769">
      <c r="D1769" s="118"/>
      <c r="E1769" s="118"/>
    </row>
    <row r="1770">
      <c r="D1770" s="118"/>
      <c r="E1770" s="118"/>
    </row>
    <row r="1771">
      <c r="D1771" s="118"/>
      <c r="E1771" s="118"/>
    </row>
    <row r="1772">
      <c r="D1772" s="118"/>
      <c r="E1772" s="118"/>
    </row>
    <row r="1773">
      <c r="D1773" s="118"/>
      <c r="E1773" s="118"/>
    </row>
    <row r="1774">
      <c r="D1774" s="118"/>
      <c r="E1774" s="118"/>
    </row>
    <row r="1775">
      <c r="D1775" s="118"/>
      <c r="E1775" s="118"/>
    </row>
    <row r="1776">
      <c r="D1776" s="118"/>
      <c r="E1776" s="118"/>
    </row>
    <row r="1777">
      <c r="D1777" s="118"/>
      <c r="E1777" s="118"/>
    </row>
    <row r="1778">
      <c r="D1778" s="118"/>
      <c r="E1778" s="118"/>
    </row>
    <row r="1779">
      <c r="D1779" s="118"/>
      <c r="E1779" s="118"/>
    </row>
    <row r="1780">
      <c r="D1780" s="118"/>
      <c r="E1780" s="118"/>
    </row>
    <row r="1781">
      <c r="D1781" s="118"/>
      <c r="E1781" s="118"/>
    </row>
    <row r="1782">
      <c r="D1782" s="118"/>
      <c r="E1782" s="118"/>
    </row>
    <row r="1783">
      <c r="D1783" s="118"/>
      <c r="E1783" s="118"/>
    </row>
    <row r="1784">
      <c r="D1784" s="118"/>
      <c r="E1784" s="118"/>
    </row>
    <row r="1785">
      <c r="D1785" s="118"/>
      <c r="E1785" s="118"/>
    </row>
    <row r="1786">
      <c r="D1786" s="118"/>
      <c r="E1786" s="118"/>
    </row>
    <row r="1787">
      <c r="D1787" s="118"/>
      <c r="E1787" s="118"/>
    </row>
    <row r="1788">
      <c r="D1788" s="118"/>
      <c r="E1788" s="118"/>
    </row>
    <row r="1789">
      <c r="D1789" s="118"/>
      <c r="E1789" s="118"/>
    </row>
    <row r="1790">
      <c r="D1790" s="118"/>
      <c r="E1790" s="118"/>
    </row>
    <row r="1791">
      <c r="D1791" s="118"/>
      <c r="E1791" s="118"/>
    </row>
    <row r="1792">
      <c r="D1792" s="118"/>
      <c r="E1792" s="118"/>
    </row>
    <row r="1793">
      <c r="D1793" s="118"/>
      <c r="E1793" s="118"/>
    </row>
    <row r="1794">
      <c r="D1794" s="118"/>
      <c r="E1794" s="118"/>
    </row>
    <row r="1795">
      <c r="D1795" s="118"/>
      <c r="E1795" s="118"/>
    </row>
    <row r="1796">
      <c r="D1796" s="118"/>
      <c r="E1796" s="118"/>
    </row>
    <row r="1797">
      <c r="D1797" s="118"/>
      <c r="E1797" s="118"/>
    </row>
    <row r="1798">
      <c r="D1798" s="118"/>
      <c r="E1798" s="118"/>
    </row>
    <row r="1799">
      <c r="D1799" s="118"/>
      <c r="E1799" s="118"/>
    </row>
    <row r="1800">
      <c r="D1800" s="118"/>
      <c r="E1800" s="118"/>
    </row>
    <row r="1801">
      <c r="D1801" s="118"/>
      <c r="E1801" s="118"/>
    </row>
    <row r="1802">
      <c r="D1802" s="118"/>
      <c r="E1802" s="118"/>
    </row>
    <row r="1803">
      <c r="D1803" s="118"/>
      <c r="E1803" s="118"/>
    </row>
    <row r="1804">
      <c r="D1804" s="118"/>
      <c r="E1804" s="118"/>
    </row>
    <row r="1805">
      <c r="D1805" s="118"/>
      <c r="E1805" s="118"/>
    </row>
    <row r="1806">
      <c r="D1806" s="118"/>
      <c r="E1806" s="118"/>
    </row>
    <row r="1807">
      <c r="D1807" s="118"/>
      <c r="E1807" s="118"/>
    </row>
    <row r="1808">
      <c r="D1808" s="118"/>
      <c r="E1808" s="118"/>
    </row>
    <row r="1809">
      <c r="D1809" s="118"/>
      <c r="E1809" s="118"/>
    </row>
    <row r="1810">
      <c r="D1810" s="118"/>
      <c r="E1810" s="118"/>
    </row>
    <row r="1811">
      <c r="D1811" s="118"/>
      <c r="E1811" s="118"/>
    </row>
    <row r="1812">
      <c r="D1812" s="118"/>
      <c r="E1812" s="118"/>
    </row>
    <row r="1813">
      <c r="D1813" s="118"/>
      <c r="E1813" s="118"/>
    </row>
    <row r="1814">
      <c r="D1814" s="118"/>
      <c r="E1814" s="118"/>
    </row>
    <row r="1815">
      <c r="D1815" s="118"/>
      <c r="E1815" s="118"/>
    </row>
    <row r="1816">
      <c r="D1816" s="118"/>
      <c r="E1816" s="118"/>
    </row>
    <row r="1817">
      <c r="D1817" s="118"/>
      <c r="E1817" s="118"/>
    </row>
    <row r="1818">
      <c r="D1818" s="118"/>
      <c r="E1818" s="118"/>
    </row>
    <row r="1819">
      <c r="D1819" s="118"/>
      <c r="E1819" s="118"/>
    </row>
    <row r="1820">
      <c r="D1820" s="118"/>
      <c r="E1820" s="118"/>
    </row>
    <row r="1821">
      <c r="D1821" s="118"/>
      <c r="E1821" s="118"/>
    </row>
    <row r="1822">
      <c r="D1822" s="118"/>
      <c r="E1822" s="118"/>
    </row>
    <row r="1823">
      <c r="D1823" s="118"/>
      <c r="E1823" s="118"/>
    </row>
    <row r="1824">
      <c r="D1824" s="118"/>
      <c r="E1824" s="118"/>
    </row>
    <row r="1825">
      <c r="D1825" s="118"/>
      <c r="E1825" s="118"/>
    </row>
    <row r="1826">
      <c r="D1826" s="118"/>
      <c r="E1826" s="118"/>
    </row>
    <row r="1827">
      <c r="D1827" s="118"/>
      <c r="E1827" s="118"/>
    </row>
    <row r="1828">
      <c r="D1828" s="118"/>
      <c r="E1828" s="118"/>
    </row>
    <row r="1829">
      <c r="D1829" s="118"/>
      <c r="E1829" s="118"/>
    </row>
    <row r="1830">
      <c r="D1830" s="118"/>
      <c r="E1830" s="118"/>
    </row>
    <row r="1831">
      <c r="D1831" s="118"/>
      <c r="E1831" s="118"/>
    </row>
    <row r="1832">
      <c r="D1832" s="118"/>
      <c r="E1832" s="118"/>
    </row>
    <row r="1833">
      <c r="D1833" s="118"/>
      <c r="E1833" s="118"/>
    </row>
    <row r="1834">
      <c r="D1834" s="118"/>
      <c r="E1834" s="118"/>
    </row>
    <row r="1835">
      <c r="D1835" s="118"/>
      <c r="E1835" s="118"/>
    </row>
    <row r="1836">
      <c r="D1836" s="118"/>
      <c r="E1836" s="118"/>
    </row>
    <row r="1837">
      <c r="D1837" s="118"/>
      <c r="E1837" s="118"/>
    </row>
    <row r="1838">
      <c r="D1838" s="118"/>
      <c r="E1838" s="118"/>
    </row>
    <row r="1839">
      <c r="D1839" s="118"/>
      <c r="E1839" s="118"/>
    </row>
    <row r="1840">
      <c r="D1840" s="118"/>
      <c r="E1840" s="118"/>
    </row>
    <row r="1841">
      <c r="D1841" s="118"/>
      <c r="E1841" s="118"/>
    </row>
    <row r="1842">
      <c r="D1842" s="118"/>
      <c r="E1842" s="118"/>
    </row>
    <row r="1843">
      <c r="D1843" s="118"/>
      <c r="E1843" s="118"/>
    </row>
    <row r="1844">
      <c r="D1844" s="118"/>
      <c r="E1844" s="118"/>
    </row>
    <row r="1845">
      <c r="D1845" s="118"/>
      <c r="E1845" s="118"/>
    </row>
    <row r="1846">
      <c r="D1846" s="118"/>
      <c r="E1846" s="118"/>
    </row>
    <row r="1847">
      <c r="D1847" s="118"/>
      <c r="E1847" s="118"/>
    </row>
    <row r="1848">
      <c r="D1848" s="118"/>
      <c r="E1848" s="118"/>
    </row>
    <row r="1849">
      <c r="D1849" s="118"/>
      <c r="E1849" s="118"/>
    </row>
    <row r="1850">
      <c r="D1850" s="118"/>
      <c r="E1850" s="118"/>
    </row>
    <row r="1851">
      <c r="D1851" s="118"/>
      <c r="E1851" s="118"/>
    </row>
    <row r="1852">
      <c r="D1852" s="118"/>
      <c r="E1852" s="118"/>
    </row>
    <row r="1853">
      <c r="D1853" s="118"/>
      <c r="E1853" s="118"/>
    </row>
    <row r="1854">
      <c r="D1854" s="118"/>
      <c r="E1854" s="118"/>
    </row>
    <row r="1855">
      <c r="D1855" s="118"/>
      <c r="E1855" s="118"/>
    </row>
    <row r="1856">
      <c r="D1856" s="118"/>
      <c r="E1856" s="118"/>
    </row>
    <row r="1857">
      <c r="D1857" s="118"/>
      <c r="E1857" s="118"/>
    </row>
    <row r="1858">
      <c r="D1858" s="118"/>
      <c r="E1858" s="118"/>
    </row>
    <row r="1859">
      <c r="D1859" s="118"/>
      <c r="E1859" s="118"/>
    </row>
    <row r="1860">
      <c r="D1860" s="118"/>
      <c r="E1860" s="118"/>
    </row>
    <row r="1861">
      <c r="D1861" s="118"/>
      <c r="E1861" s="118"/>
    </row>
    <row r="1862">
      <c r="D1862" s="118"/>
      <c r="E1862" s="118"/>
    </row>
    <row r="1863">
      <c r="D1863" s="118"/>
      <c r="E1863" s="118"/>
    </row>
    <row r="1864">
      <c r="D1864" s="118"/>
      <c r="E1864" s="118"/>
    </row>
    <row r="1865">
      <c r="D1865" s="118"/>
      <c r="E1865" s="118"/>
    </row>
    <row r="1866">
      <c r="D1866" s="118"/>
      <c r="E1866" s="118"/>
    </row>
    <row r="1867">
      <c r="D1867" s="118"/>
      <c r="E1867" s="118"/>
    </row>
    <row r="1868">
      <c r="D1868" s="118"/>
      <c r="E1868" s="118"/>
    </row>
    <row r="1869">
      <c r="D1869" s="118"/>
      <c r="E1869" s="118"/>
    </row>
    <row r="1870">
      <c r="D1870" s="118"/>
      <c r="E1870" s="118"/>
    </row>
    <row r="1871">
      <c r="D1871" s="118"/>
      <c r="E1871" s="118"/>
    </row>
    <row r="1872">
      <c r="D1872" s="118"/>
      <c r="E1872" s="118"/>
    </row>
    <row r="1873">
      <c r="D1873" s="118"/>
      <c r="E1873" s="118"/>
    </row>
    <row r="1874">
      <c r="D1874" s="118"/>
      <c r="E1874" s="118"/>
    </row>
    <row r="1875">
      <c r="D1875" s="118"/>
      <c r="E1875" s="118"/>
    </row>
    <row r="1876">
      <c r="D1876" s="118"/>
      <c r="E1876" s="118"/>
    </row>
    <row r="1877">
      <c r="D1877" s="118"/>
      <c r="E1877" s="118"/>
    </row>
    <row r="1878">
      <c r="D1878" s="118"/>
      <c r="E1878" s="118"/>
    </row>
    <row r="1879">
      <c r="D1879" s="118"/>
      <c r="E1879" s="118"/>
    </row>
    <row r="1880">
      <c r="D1880" s="118"/>
      <c r="E1880" s="118"/>
    </row>
    <row r="1881">
      <c r="D1881" s="118"/>
      <c r="E1881" s="118"/>
    </row>
    <row r="1882">
      <c r="D1882" s="118"/>
      <c r="E1882" s="118"/>
    </row>
    <row r="1883">
      <c r="D1883" s="118"/>
      <c r="E1883" s="118"/>
    </row>
    <row r="1884">
      <c r="D1884" s="118"/>
      <c r="E1884" s="118"/>
    </row>
    <row r="1885">
      <c r="D1885" s="118"/>
      <c r="E1885" s="118"/>
    </row>
    <row r="1886">
      <c r="D1886" s="118"/>
      <c r="E1886" s="118"/>
    </row>
    <row r="1887">
      <c r="D1887" s="118"/>
      <c r="E1887" s="118"/>
    </row>
    <row r="1888">
      <c r="D1888" s="118"/>
      <c r="E1888" s="118"/>
    </row>
    <row r="1889">
      <c r="D1889" s="118"/>
      <c r="E1889" s="118"/>
    </row>
    <row r="1890">
      <c r="D1890" s="118"/>
      <c r="E1890" s="118"/>
    </row>
    <row r="1891">
      <c r="D1891" s="118"/>
      <c r="E1891" s="118"/>
    </row>
    <row r="1892">
      <c r="D1892" s="118"/>
      <c r="E1892" s="118"/>
    </row>
    <row r="1893">
      <c r="D1893" s="118"/>
      <c r="E1893" s="118"/>
    </row>
    <row r="1894">
      <c r="D1894" s="118"/>
      <c r="E1894" s="118"/>
    </row>
    <row r="1895">
      <c r="D1895" s="118"/>
      <c r="E1895" s="118"/>
    </row>
    <row r="1896">
      <c r="D1896" s="118"/>
      <c r="E1896" s="118"/>
    </row>
    <row r="1897">
      <c r="D1897" s="118"/>
      <c r="E1897" s="118"/>
    </row>
    <row r="1898">
      <c r="D1898" s="118"/>
      <c r="E1898" s="118"/>
    </row>
    <row r="1899">
      <c r="D1899" s="118"/>
      <c r="E1899" s="118"/>
    </row>
    <row r="1900">
      <c r="D1900" s="118"/>
      <c r="E1900" s="118"/>
    </row>
    <row r="1901">
      <c r="D1901" s="118"/>
      <c r="E1901" s="118"/>
    </row>
    <row r="1902">
      <c r="D1902" s="118"/>
      <c r="E1902" s="118"/>
    </row>
    <row r="1903">
      <c r="D1903" s="118"/>
      <c r="E1903" s="118"/>
    </row>
    <row r="1904">
      <c r="D1904" s="118"/>
      <c r="E1904" s="118"/>
    </row>
    <row r="1905">
      <c r="D1905" s="118"/>
      <c r="E1905" s="118"/>
    </row>
    <row r="1906">
      <c r="D1906" s="118"/>
      <c r="E1906" s="118"/>
    </row>
    <row r="1907">
      <c r="D1907" s="118"/>
      <c r="E1907" s="118"/>
    </row>
    <row r="1908">
      <c r="D1908" s="118"/>
      <c r="E1908" s="118"/>
    </row>
    <row r="1909">
      <c r="D1909" s="118"/>
      <c r="E1909" s="118"/>
    </row>
    <row r="1910">
      <c r="D1910" s="118"/>
      <c r="E1910" s="118"/>
    </row>
    <row r="1911">
      <c r="D1911" s="118"/>
      <c r="E1911" s="118"/>
    </row>
    <row r="1912">
      <c r="D1912" s="118"/>
      <c r="E1912" s="118"/>
    </row>
    <row r="1913">
      <c r="D1913" s="118"/>
      <c r="E1913" s="118"/>
    </row>
    <row r="1914">
      <c r="D1914" s="118"/>
      <c r="E1914" s="118"/>
    </row>
    <row r="1915">
      <c r="D1915" s="118"/>
      <c r="E1915" s="118"/>
    </row>
    <row r="1916">
      <c r="D1916" s="118"/>
      <c r="E1916" s="118"/>
    </row>
    <row r="1917">
      <c r="D1917" s="118"/>
      <c r="E1917" s="118"/>
    </row>
    <row r="1918">
      <c r="D1918" s="118"/>
      <c r="E1918" s="118"/>
    </row>
    <row r="1919">
      <c r="D1919" s="118"/>
      <c r="E1919" s="118"/>
    </row>
    <row r="1920">
      <c r="D1920" s="118"/>
      <c r="E1920" s="118"/>
    </row>
    <row r="1921">
      <c r="D1921" s="118"/>
      <c r="E1921" s="118"/>
    </row>
    <row r="1922">
      <c r="D1922" s="118"/>
      <c r="E1922" s="118"/>
    </row>
    <row r="1923">
      <c r="D1923" s="118"/>
      <c r="E1923" s="118"/>
    </row>
    <row r="1924">
      <c r="D1924" s="118"/>
      <c r="E1924" s="118"/>
    </row>
    <row r="1925">
      <c r="D1925" s="118"/>
      <c r="E1925" s="118"/>
    </row>
    <row r="1926">
      <c r="D1926" s="118"/>
      <c r="E1926" s="118"/>
    </row>
    <row r="1927">
      <c r="D1927" s="118"/>
      <c r="E1927" s="118"/>
    </row>
    <row r="1928">
      <c r="D1928" s="118"/>
      <c r="E1928" s="118"/>
    </row>
    <row r="1929">
      <c r="D1929" s="118"/>
      <c r="E1929" s="118"/>
    </row>
    <row r="1930">
      <c r="D1930" s="118"/>
      <c r="E1930" s="118"/>
    </row>
    <row r="1931">
      <c r="D1931" s="118"/>
      <c r="E1931" s="118"/>
    </row>
    <row r="1932">
      <c r="D1932" s="118"/>
      <c r="E1932" s="118"/>
    </row>
    <row r="1933">
      <c r="D1933" s="118"/>
      <c r="E1933" s="118"/>
    </row>
    <row r="1934">
      <c r="D1934" s="118"/>
      <c r="E1934" s="118"/>
    </row>
    <row r="1935">
      <c r="D1935" s="118"/>
      <c r="E1935" s="118"/>
    </row>
    <row r="1936">
      <c r="D1936" s="118"/>
      <c r="E1936" s="118"/>
    </row>
    <row r="1937">
      <c r="D1937" s="118"/>
      <c r="E1937" s="118"/>
    </row>
    <row r="1938">
      <c r="D1938" s="118"/>
      <c r="E1938" s="118"/>
    </row>
    <row r="1939">
      <c r="D1939" s="118"/>
      <c r="E1939" s="118"/>
    </row>
    <row r="1940">
      <c r="D1940" s="118"/>
      <c r="E1940" s="118"/>
    </row>
    <row r="1941">
      <c r="D1941" s="118"/>
      <c r="E1941" s="118"/>
    </row>
    <row r="1942">
      <c r="D1942" s="118"/>
      <c r="E1942" s="118"/>
    </row>
    <row r="1943">
      <c r="D1943" s="118"/>
      <c r="E1943" s="118"/>
    </row>
    <row r="1944">
      <c r="D1944" s="118"/>
      <c r="E1944" s="118"/>
    </row>
    <row r="1945">
      <c r="D1945" s="118"/>
      <c r="E1945" s="118"/>
    </row>
    <row r="1946">
      <c r="D1946" s="118"/>
      <c r="E1946" s="118"/>
    </row>
    <row r="1947">
      <c r="D1947" s="118"/>
      <c r="E1947" s="118"/>
    </row>
    <row r="1948">
      <c r="D1948" s="118"/>
      <c r="E1948" s="118"/>
    </row>
    <row r="1949">
      <c r="D1949" s="118"/>
      <c r="E1949" s="118"/>
    </row>
    <row r="1950">
      <c r="D1950" s="118"/>
      <c r="E1950" s="118"/>
    </row>
    <row r="1951">
      <c r="D1951" s="118"/>
      <c r="E1951" s="118"/>
    </row>
    <row r="1952">
      <c r="D1952" s="118"/>
      <c r="E1952" s="118"/>
    </row>
    <row r="1953">
      <c r="D1953" s="118"/>
      <c r="E1953" s="118"/>
    </row>
    <row r="1954">
      <c r="D1954" s="118"/>
      <c r="E1954" s="118"/>
    </row>
    <row r="1955">
      <c r="D1955" s="118"/>
      <c r="E1955" s="118"/>
    </row>
    <row r="1956">
      <c r="D1956" s="118"/>
      <c r="E1956" s="118"/>
    </row>
    <row r="1957">
      <c r="D1957" s="118"/>
      <c r="E1957" s="118"/>
    </row>
    <row r="1958">
      <c r="D1958" s="118"/>
      <c r="E1958" s="118"/>
    </row>
    <row r="1959">
      <c r="D1959" s="118"/>
      <c r="E1959" s="118"/>
    </row>
    <row r="1960">
      <c r="D1960" s="118"/>
      <c r="E1960" s="118"/>
    </row>
    <row r="1961">
      <c r="D1961" s="118"/>
      <c r="E1961" s="118"/>
    </row>
    <row r="1962">
      <c r="D1962" s="118"/>
      <c r="E1962" s="118"/>
    </row>
    <row r="1963">
      <c r="D1963" s="118"/>
      <c r="E1963" s="118"/>
    </row>
    <row r="1964">
      <c r="D1964" s="118"/>
      <c r="E1964" s="118"/>
    </row>
    <row r="1965">
      <c r="D1965" s="118"/>
      <c r="E1965" s="118"/>
    </row>
    <row r="1966">
      <c r="D1966" s="118"/>
      <c r="E1966" s="118"/>
    </row>
    <row r="1967">
      <c r="D1967" s="118"/>
      <c r="E1967" s="118"/>
    </row>
    <row r="1968">
      <c r="D1968" s="118"/>
      <c r="E1968" s="118"/>
    </row>
    <row r="1969">
      <c r="D1969" s="118"/>
      <c r="E1969" s="118"/>
    </row>
    <row r="1970">
      <c r="D1970" s="118"/>
      <c r="E1970" s="118"/>
    </row>
    <row r="1971">
      <c r="D1971" s="118"/>
      <c r="E1971" s="118"/>
    </row>
    <row r="1972">
      <c r="D1972" s="118"/>
      <c r="E1972" s="118"/>
    </row>
    <row r="1973">
      <c r="D1973" s="118"/>
      <c r="E1973" s="118"/>
    </row>
    <row r="1974">
      <c r="D1974" s="118"/>
      <c r="E1974" s="118"/>
    </row>
    <row r="1975">
      <c r="D1975" s="118"/>
      <c r="E1975" s="118"/>
    </row>
    <row r="1976">
      <c r="D1976" s="118"/>
      <c r="E1976" s="118"/>
    </row>
    <row r="1977">
      <c r="D1977" s="118"/>
      <c r="E1977" s="118"/>
    </row>
    <row r="1978">
      <c r="D1978" s="118"/>
      <c r="E1978" s="118"/>
    </row>
    <row r="1979">
      <c r="D1979" s="118"/>
      <c r="E1979" s="118"/>
    </row>
    <row r="1980">
      <c r="D1980" s="118"/>
      <c r="E1980" s="118"/>
    </row>
    <row r="1981">
      <c r="D1981" s="118"/>
      <c r="E1981" s="118"/>
    </row>
    <row r="1982">
      <c r="D1982" s="118"/>
      <c r="E1982" s="118"/>
    </row>
    <row r="1983">
      <c r="D1983" s="118"/>
      <c r="E1983" s="118"/>
    </row>
    <row r="1984">
      <c r="D1984" s="118"/>
      <c r="E1984" s="118"/>
    </row>
    <row r="1985">
      <c r="D1985" s="118"/>
      <c r="E1985" s="118"/>
    </row>
    <row r="1986">
      <c r="D1986" s="118"/>
      <c r="E1986" s="118"/>
    </row>
    <row r="1987">
      <c r="D1987" s="118"/>
      <c r="E1987" s="118"/>
    </row>
    <row r="1988">
      <c r="D1988" s="118"/>
      <c r="E1988" s="118"/>
    </row>
    <row r="1989">
      <c r="D1989" s="118"/>
      <c r="E1989" s="118"/>
    </row>
    <row r="1990">
      <c r="D1990" s="118"/>
      <c r="E1990" s="118"/>
    </row>
    <row r="1991">
      <c r="D1991" s="118"/>
      <c r="E1991" s="118"/>
    </row>
    <row r="1992">
      <c r="D1992" s="118"/>
      <c r="E1992" s="118"/>
    </row>
    <row r="1993">
      <c r="D1993" s="118"/>
      <c r="E1993" s="118"/>
    </row>
    <row r="1994">
      <c r="D1994" s="118"/>
      <c r="E1994" s="118"/>
    </row>
    <row r="1995">
      <c r="D1995" s="118"/>
      <c r="E1995" s="118"/>
    </row>
    <row r="1996">
      <c r="D1996" s="118"/>
      <c r="E1996" s="118"/>
    </row>
    <row r="1997">
      <c r="D1997" s="118"/>
      <c r="E1997" s="118"/>
    </row>
    <row r="1998">
      <c r="D1998" s="118"/>
      <c r="E1998" s="118"/>
    </row>
    <row r="1999">
      <c r="D1999" s="118"/>
      <c r="E1999" s="118"/>
    </row>
    <row r="2000">
      <c r="D2000" s="118"/>
      <c r="E2000" s="118"/>
    </row>
    <row r="2001">
      <c r="D2001" s="118"/>
      <c r="E2001" s="118"/>
    </row>
    <row r="2002">
      <c r="D2002" s="118"/>
      <c r="E2002" s="118"/>
    </row>
    <row r="2003">
      <c r="D2003" s="118"/>
      <c r="E2003" s="118"/>
    </row>
    <row r="2004">
      <c r="D2004" s="118"/>
      <c r="E2004" s="118"/>
    </row>
    <row r="2005">
      <c r="D2005" s="118"/>
      <c r="E2005" s="118"/>
    </row>
    <row r="2006">
      <c r="D2006" s="118"/>
      <c r="E2006" s="118"/>
    </row>
    <row r="2007">
      <c r="D2007" s="118"/>
      <c r="E2007" s="118"/>
    </row>
    <row r="2008">
      <c r="D2008" s="118"/>
      <c r="E2008" s="118"/>
    </row>
    <row r="2009">
      <c r="D2009" s="118"/>
      <c r="E2009" s="118"/>
    </row>
    <row r="2010">
      <c r="D2010" s="118"/>
      <c r="E2010" s="118"/>
    </row>
    <row r="2011">
      <c r="D2011" s="118"/>
      <c r="E2011" s="118"/>
    </row>
    <row r="2012">
      <c r="D2012" s="118"/>
      <c r="E2012" s="118"/>
    </row>
    <row r="2013">
      <c r="D2013" s="118"/>
      <c r="E2013" s="118"/>
    </row>
    <row r="2014">
      <c r="D2014" s="118"/>
      <c r="E2014" s="118"/>
    </row>
    <row r="2015">
      <c r="D2015" s="118"/>
      <c r="E2015" s="118"/>
    </row>
    <row r="2016">
      <c r="D2016" s="118"/>
      <c r="E2016" s="118"/>
    </row>
    <row r="2017">
      <c r="D2017" s="118"/>
      <c r="E2017" s="118"/>
    </row>
    <row r="2018">
      <c r="D2018" s="118"/>
      <c r="E2018" s="118"/>
    </row>
    <row r="2019">
      <c r="D2019" s="118"/>
      <c r="E2019" s="118"/>
    </row>
    <row r="2020">
      <c r="D2020" s="118"/>
      <c r="E2020" s="118"/>
    </row>
    <row r="2021">
      <c r="D2021" s="118"/>
      <c r="E2021" s="118"/>
    </row>
    <row r="2022">
      <c r="D2022" s="118"/>
      <c r="E2022" s="118"/>
    </row>
    <row r="2023">
      <c r="D2023" s="118"/>
      <c r="E2023" s="118"/>
    </row>
    <row r="2024">
      <c r="D2024" s="118"/>
      <c r="E2024" s="118"/>
    </row>
    <row r="2025">
      <c r="D2025" s="118"/>
      <c r="E2025" s="118"/>
    </row>
    <row r="2026">
      <c r="D2026" s="118"/>
      <c r="E2026" s="118"/>
    </row>
    <row r="2027">
      <c r="D2027" s="118"/>
      <c r="E2027" s="118"/>
    </row>
    <row r="2028">
      <c r="D2028" s="118"/>
      <c r="E2028" s="118"/>
    </row>
    <row r="2029">
      <c r="D2029" s="118"/>
      <c r="E2029" s="118"/>
    </row>
    <row r="2030">
      <c r="D2030" s="118"/>
      <c r="E2030" s="118"/>
    </row>
    <row r="2031">
      <c r="D2031" s="118"/>
      <c r="E2031" s="118"/>
    </row>
    <row r="2032">
      <c r="D2032" s="118"/>
      <c r="E2032" s="118"/>
    </row>
    <row r="2033">
      <c r="D2033" s="118"/>
      <c r="E2033" s="118"/>
    </row>
    <row r="2034">
      <c r="D2034" s="118"/>
      <c r="E2034" s="118"/>
    </row>
    <row r="2035">
      <c r="D2035" s="118"/>
      <c r="E2035" s="118"/>
    </row>
    <row r="2036">
      <c r="D2036" s="118"/>
      <c r="E2036" s="118"/>
    </row>
    <row r="2037">
      <c r="D2037" s="118"/>
      <c r="E2037" s="118"/>
    </row>
    <row r="2038">
      <c r="D2038" s="118"/>
      <c r="E2038" s="118"/>
    </row>
    <row r="2039">
      <c r="D2039" s="118"/>
      <c r="E2039" s="118"/>
    </row>
    <row r="2040">
      <c r="D2040" s="118"/>
      <c r="E2040" s="118"/>
    </row>
    <row r="2041">
      <c r="D2041" s="118"/>
      <c r="E2041" s="118"/>
    </row>
    <row r="2042">
      <c r="D2042" s="118"/>
      <c r="E2042" s="118"/>
    </row>
    <row r="2043">
      <c r="D2043" s="118"/>
      <c r="E2043" s="118"/>
    </row>
    <row r="2044">
      <c r="D2044" s="118"/>
      <c r="E2044" s="118"/>
    </row>
    <row r="2045">
      <c r="D2045" s="118"/>
      <c r="E2045" s="118"/>
    </row>
    <row r="2046">
      <c r="D2046" s="118"/>
      <c r="E2046" s="118"/>
    </row>
    <row r="2047">
      <c r="D2047" s="118"/>
      <c r="E2047" s="118"/>
    </row>
    <row r="2048">
      <c r="D2048" s="118"/>
      <c r="E2048" s="118"/>
    </row>
    <row r="2049">
      <c r="D2049" s="118"/>
      <c r="E2049" s="118"/>
    </row>
    <row r="2050">
      <c r="D2050" s="118"/>
      <c r="E2050" s="118"/>
    </row>
    <row r="2051">
      <c r="D2051" s="118"/>
      <c r="E2051" s="118"/>
    </row>
    <row r="2052">
      <c r="D2052" s="118"/>
      <c r="E2052" s="118"/>
    </row>
    <row r="2053">
      <c r="D2053" s="118"/>
      <c r="E2053" s="118"/>
    </row>
    <row r="2054">
      <c r="D2054" s="118"/>
      <c r="E2054" s="118"/>
    </row>
    <row r="2055">
      <c r="D2055" s="118"/>
      <c r="E2055" s="118"/>
    </row>
    <row r="2056">
      <c r="D2056" s="118"/>
      <c r="E2056" s="118"/>
    </row>
    <row r="2057">
      <c r="D2057" s="118"/>
      <c r="E2057" s="118"/>
    </row>
    <row r="2058">
      <c r="D2058" s="118"/>
      <c r="E2058" s="118"/>
    </row>
    <row r="2059">
      <c r="D2059" s="118"/>
      <c r="E2059" s="118"/>
    </row>
    <row r="2060">
      <c r="D2060" s="118"/>
      <c r="E2060" s="118"/>
    </row>
    <row r="2061">
      <c r="D2061" s="118"/>
      <c r="E2061" s="118"/>
    </row>
    <row r="2062">
      <c r="D2062" s="118"/>
      <c r="E2062" s="118"/>
    </row>
    <row r="2063">
      <c r="D2063" s="118"/>
      <c r="E2063" s="118"/>
    </row>
    <row r="2064">
      <c r="D2064" s="118"/>
      <c r="E2064" s="118"/>
    </row>
    <row r="2065">
      <c r="D2065" s="118"/>
      <c r="E2065" s="118"/>
    </row>
    <row r="2066">
      <c r="D2066" s="118"/>
      <c r="E2066" s="118"/>
    </row>
    <row r="2067">
      <c r="D2067" s="118"/>
      <c r="E2067" s="118"/>
    </row>
    <row r="2068">
      <c r="D2068" s="118"/>
      <c r="E2068" s="118"/>
    </row>
    <row r="2069">
      <c r="D2069" s="118"/>
      <c r="E2069" s="118"/>
    </row>
    <row r="2070">
      <c r="D2070" s="118"/>
      <c r="E2070" s="118"/>
    </row>
    <row r="2071">
      <c r="D2071" s="118"/>
      <c r="E2071" s="118"/>
    </row>
    <row r="2072">
      <c r="D2072" s="118"/>
      <c r="E2072" s="118"/>
    </row>
    <row r="2073">
      <c r="D2073" s="118"/>
      <c r="E2073" s="118"/>
    </row>
    <row r="2074">
      <c r="D2074" s="118"/>
      <c r="E2074" s="118"/>
    </row>
    <row r="2075">
      <c r="D2075" s="118"/>
      <c r="E2075" s="118"/>
    </row>
    <row r="2076">
      <c r="D2076" s="118"/>
      <c r="E2076" s="118"/>
    </row>
    <row r="2077">
      <c r="D2077" s="118"/>
      <c r="E2077" s="118"/>
    </row>
    <row r="2078">
      <c r="D2078" s="118"/>
      <c r="E2078" s="118"/>
    </row>
    <row r="2079">
      <c r="D2079" s="118"/>
      <c r="E2079" s="118"/>
    </row>
    <row r="2080">
      <c r="D2080" s="118"/>
      <c r="E2080" s="118"/>
    </row>
    <row r="2081">
      <c r="D2081" s="118"/>
      <c r="E2081" s="118"/>
    </row>
    <row r="2082">
      <c r="D2082" s="118"/>
      <c r="E2082" s="118"/>
    </row>
    <row r="2083">
      <c r="D2083" s="118"/>
      <c r="E2083" s="118"/>
    </row>
    <row r="2084">
      <c r="D2084" s="118"/>
      <c r="E2084" s="118"/>
    </row>
    <row r="2085">
      <c r="D2085" s="118"/>
      <c r="E2085" s="118"/>
    </row>
    <row r="2086">
      <c r="D2086" s="118"/>
      <c r="E2086" s="118"/>
    </row>
    <row r="2087">
      <c r="D2087" s="118"/>
      <c r="E2087" s="118"/>
    </row>
    <row r="2088">
      <c r="D2088" s="118"/>
      <c r="E2088" s="118"/>
    </row>
    <row r="2089">
      <c r="D2089" s="118"/>
      <c r="E2089" s="118"/>
    </row>
    <row r="2090">
      <c r="D2090" s="118"/>
      <c r="E2090" s="118"/>
    </row>
    <row r="2091">
      <c r="D2091" s="118"/>
      <c r="E2091" s="118"/>
    </row>
    <row r="2092">
      <c r="D2092" s="118"/>
      <c r="E2092" s="118"/>
    </row>
    <row r="2093">
      <c r="D2093" s="118"/>
      <c r="E2093" s="118"/>
    </row>
    <row r="2094">
      <c r="D2094" s="118"/>
      <c r="E2094" s="118"/>
    </row>
    <row r="2095">
      <c r="D2095" s="118"/>
      <c r="E2095" s="118"/>
    </row>
    <row r="2096">
      <c r="D2096" s="118"/>
      <c r="E2096" s="118"/>
    </row>
    <row r="2097">
      <c r="D2097" s="118"/>
      <c r="E2097" s="118"/>
    </row>
    <row r="2098">
      <c r="D2098" s="118"/>
      <c r="E2098" s="118"/>
    </row>
    <row r="2099">
      <c r="D2099" s="118"/>
      <c r="E2099" s="118"/>
    </row>
    <row r="2100">
      <c r="D2100" s="118"/>
      <c r="E2100" s="118"/>
    </row>
    <row r="2101">
      <c r="D2101" s="118"/>
      <c r="E2101" s="118"/>
    </row>
    <row r="2102">
      <c r="D2102" s="118"/>
      <c r="E2102" s="118"/>
    </row>
    <row r="2103">
      <c r="D2103" s="118"/>
      <c r="E2103" s="118"/>
    </row>
    <row r="2104">
      <c r="D2104" s="118"/>
      <c r="E2104" s="118"/>
    </row>
    <row r="2105">
      <c r="D2105" s="118"/>
      <c r="E2105" s="118"/>
    </row>
    <row r="2106">
      <c r="D2106" s="118"/>
      <c r="E2106" s="118"/>
    </row>
    <row r="2107">
      <c r="D2107" s="118"/>
      <c r="E2107" s="118"/>
    </row>
    <row r="2108">
      <c r="D2108" s="118"/>
      <c r="E2108" s="118"/>
    </row>
    <row r="2109">
      <c r="D2109" s="118"/>
      <c r="E2109" s="118"/>
    </row>
    <row r="2110">
      <c r="D2110" s="118"/>
      <c r="E2110" s="118"/>
    </row>
    <row r="2111">
      <c r="D2111" s="118"/>
      <c r="E2111" s="118"/>
    </row>
    <row r="2112">
      <c r="D2112" s="118"/>
      <c r="E2112" s="118"/>
    </row>
    <row r="2113">
      <c r="D2113" s="118"/>
      <c r="E2113" s="118"/>
    </row>
    <row r="2114">
      <c r="D2114" s="118"/>
      <c r="E2114" s="118"/>
    </row>
    <row r="2115">
      <c r="D2115" s="118"/>
      <c r="E2115" s="118"/>
    </row>
    <row r="2116">
      <c r="D2116" s="118"/>
      <c r="E2116" s="118"/>
    </row>
    <row r="2117">
      <c r="D2117" s="118"/>
      <c r="E2117" s="118"/>
    </row>
    <row r="2118">
      <c r="D2118" s="118"/>
      <c r="E2118" s="118"/>
    </row>
    <row r="2119">
      <c r="D2119" s="118"/>
      <c r="E2119" s="118"/>
    </row>
    <row r="2120">
      <c r="D2120" s="118"/>
      <c r="E2120" s="118"/>
    </row>
    <row r="2121">
      <c r="D2121" s="118"/>
      <c r="E2121" s="118"/>
    </row>
    <row r="2122">
      <c r="D2122" s="118"/>
      <c r="E2122" s="118"/>
    </row>
    <row r="2123">
      <c r="D2123" s="118"/>
      <c r="E2123" s="118"/>
    </row>
    <row r="2124">
      <c r="D2124" s="118"/>
      <c r="E2124" s="118"/>
    </row>
    <row r="2125">
      <c r="D2125" s="118"/>
      <c r="E2125" s="118"/>
    </row>
    <row r="2126">
      <c r="D2126" s="118"/>
      <c r="E2126" s="118"/>
    </row>
    <row r="2127">
      <c r="D2127" s="118"/>
      <c r="E2127" s="118"/>
    </row>
    <row r="2128">
      <c r="D2128" s="118"/>
      <c r="E2128" s="118"/>
    </row>
    <row r="2129">
      <c r="D2129" s="118"/>
      <c r="E2129" s="118"/>
    </row>
    <row r="2130">
      <c r="D2130" s="118"/>
      <c r="E2130" s="118"/>
    </row>
    <row r="2131">
      <c r="D2131" s="118"/>
      <c r="E2131" s="118"/>
    </row>
    <row r="2132">
      <c r="D2132" s="118"/>
      <c r="E2132" s="118"/>
    </row>
    <row r="2133">
      <c r="D2133" s="118"/>
      <c r="E2133" s="118"/>
    </row>
    <row r="2134">
      <c r="D2134" s="118"/>
      <c r="E2134" s="118"/>
    </row>
    <row r="2135">
      <c r="D2135" s="118"/>
      <c r="E2135" s="118"/>
    </row>
    <row r="2136">
      <c r="D2136" s="118"/>
      <c r="E2136" s="118"/>
    </row>
    <row r="2137">
      <c r="D2137" s="118"/>
      <c r="E2137" s="118"/>
    </row>
    <row r="2138">
      <c r="D2138" s="118"/>
      <c r="E2138" s="118"/>
    </row>
    <row r="2139">
      <c r="D2139" s="118"/>
      <c r="E2139" s="118"/>
    </row>
    <row r="2140">
      <c r="D2140" s="118"/>
      <c r="E2140" s="118"/>
    </row>
    <row r="2141">
      <c r="D2141" s="118"/>
      <c r="E2141" s="118"/>
    </row>
    <row r="2142">
      <c r="D2142" s="118"/>
      <c r="E2142" s="118"/>
    </row>
    <row r="2143">
      <c r="D2143" s="118"/>
      <c r="E2143" s="118"/>
    </row>
    <row r="2144">
      <c r="D2144" s="118"/>
      <c r="E2144" s="118"/>
    </row>
    <row r="2145">
      <c r="D2145" s="118"/>
      <c r="E2145" s="118"/>
    </row>
    <row r="2146">
      <c r="D2146" s="118"/>
      <c r="E2146" s="118"/>
    </row>
    <row r="2147">
      <c r="D2147" s="118"/>
      <c r="E2147" s="118"/>
    </row>
    <row r="2148">
      <c r="D2148" s="118"/>
      <c r="E2148" s="118"/>
    </row>
    <row r="2149">
      <c r="D2149" s="118"/>
      <c r="E2149" s="118"/>
    </row>
    <row r="2150">
      <c r="D2150" s="118"/>
      <c r="E2150" s="118"/>
    </row>
    <row r="2151">
      <c r="D2151" s="118"/>
      <c r="E2151" s="118"/>
    </row>
    <row r="2152">
      <c r="D2152" s="118"/>
      <c r="E2152" s="118"/>
    </row>
    <row r="2153">
      <c r="D2153" s="118"/>
      <c r="E2153" s="118"/>
    </row>
    <row r="2154">
      <c r="D2154" s="118"/>
      <c r="E2154" s="118"/>
    </row>
    <row r="2155">
      <c r="D2155" s="118"/>
      <c r="E2155" s="118"/>
    </row>
    <row r="2156">
      <c r="D2156" s="118"/>
      <c r="E2156" s="118"/>
    </row>
    <row r="2157">
      <c r="D2157" s="118"/>
      <c r="E2157" s="118"/>
    </row>
    <row r="2158">
      <c r="D2158" s="118"/>
      <c r="E2158" s="118"/>
    </row>
    <row r="2159">
      <c r="D2159" s="118"/>
      <c r="E2159" s="118"/>
    </row>
    <row r="2160">
      <c r="D2160" s="118"/>
      <c r="E2160" s="118"/>
    </row>
    <row r="2161">
      <c r="D2161" s="118"/>
      <c r="E2161" s="118"/>
    </row>
    <row r="2162">
      <c r="D2162" s="118"/>
      <c r="E2162" s="118"/>
    </row>
    <row r="2163">
      <c r="D2163" s="118"/>
      <c r="E2163" s="118"/>
    </row>
    <row r="2164">
      <c r="D2164" s="118"/>
      <c r="E2164" s="118"/>
    </row>
    <row r="2165">
      <c r="D2165" s="118"/>
      <c r="E2165" s="118"/>
    </row>
    <row r="2166">
      <c r="D2166" s="118"/>
      <c r="E2166" s="118"/>
    </row>
    <row r="2167">
      <c r="D2167" s="118"/>
      <c r="E2167" s="118"/>
    </row>
    <row r="2168">
      <c r="D2168" s="118"/>
      <c r="E2168" s="118"/>
    </row>
    <row r="2169">
      <c r="D2169" s="118"/>
      <c r="E2169" s="118"/>
    </row>
    <row r="2170">
      <c r="D2170" s="118"/>
      <c r="E2170" s="118"/>
    </row>
    <row r="2171">
      <c r="D2171" s="118"/>
      <c r="E2171" s="118"/>
    </row>
    <row r="2172">
      <c r="D2172" s="118"/>
      <c r="E2172" s="118"/>
    </row>
    <row r="2173">
      <c r="D2173" s="118"/>
      <c r="E2173" s="118"/>
    </row>
    <row r="2174">
      <c r="D2174" s="118"/>
      <c r="E2174" s="118"/>
    </row>
    <row r="2175">
      <c r="D2175" s="118"/>
      <c r="E2175" s="118"/>
    </row>
    <row r="2176">
      <c r="D2176" s="118"/>
      <c r="E2176" s="118"/>
    </row>
    <row r="2177">
      <c r="D2177" s="118"/>
      <c r="E2177" s="118"/>
    </row>
    <row r="2178">
      <c r="D2178" s="118"/>
      <c r="E2178" s="118"/>
    </row>
    <row r="2179">
      <c r="D2179" s="118"/>
      <c r="E2179" s="118"/>
    </row>
    <row r="2180">
      <c r="D2180" s="118"/>
      <c r="E2180" s="118"/>
    </row>
    <row r="2181">
      <c r="D2181" s="118"/>
      <c r="E2181" s="118"/>
    </row>
    <row r="2182">
      <c r="D2182" s="118"/>
      <c r="E2182" s="118"/>
    </row>
    <row r="2183">
      <c r="D2183" s="118"/>
      <c r="E2183" s="118"/>
    </row>
    <row r="2184">
      <c r="D2184" s="118"/>
      <c r="E2184" s="118"/>
    </row>
    <row r="2185">
      <c r="D2185" s="118"/>
      <c r="E2185" s="118"/>
    </row>
    <row r="2186">
      <c r="D2186" s="118"/>
      <c r="E2186" s="118"/>
    </row>
    <row r="2187">
      <c r="D2187" s="118"/>
      <c r="E2187" s="118"/>
    </row>
    <row r="2188">
      <c r="D2188" s="118"/>
      <c r="E2188" s="118"/>
    </row>
    <row r="2189">
      <c r="D2189" s="118"/>
      <c r="E2189" s="118"/>
    </row>
    <row r="2190">
      <c r="D2190" s="118"/>
      <c r="E2190" s="118"/>
    </row>
    <row r="2191">
      <c r="D2191" s="118"/>
      <c r="E2191" s="118"/>
    </row>
    <row r="2192">
      <c r="D2192" s="118"/>
      <c r="E2192" s="118"/>
    </row>
    <row r="2193">
      <c r="D2193" s="118"/>
      <c r="E2193" s="118"/>
    </row>
    <row r="2194">
      <c r="D2194" s="118"/>
      <c r="E2194" s="118"/>
    </row>
    <row r="2195">
      <c r="D2195" s="118"/>
      <c r="E2195" s="118"/>
    </row>
    <row r="2196">
      <c r="D2196" s="118"/>
      <c r="E2196" s="118"/>
    </row>
    <row r="2197">
      <c r="D2197" s="118"/>
      <c r="E2197" s="118"/>
    </row>
    <row r="2198">
      <c r="D2198" s="118"/>
      <c r="E2198" s="118"/>
    </row>
    <row r="2199">
      <c r="D2199" s="118"/>
      <c r="E2199" s="118"/>
    </row>
    <row r="2200">
      <c r="D2200" s="118"/>
      <c r="E2200" s="118"/>
    </row>
    <row r="2201">
      <c r="D2201" s="118"/>
      <c r="E2201" s="118"/>
    </row>
    <row r="2202">
      <c r="D2202" s="118"/>
      <c r="E2202" s="118"/>
    </row>
    <row r="2203">
      <c r="D2203" s="118"/>
      <c r="E2203" s="118"/>
    </row>
    <row r="2204">
      <c r="D2204" s="118"/>
      <c r="E2204" s="118"/>
    </row>
    <row r="2205">
      <c r="D2205" s="118"/>
      <c r="E2205" s="118"/>
    </row>
    <row r="2206">
      <c r="D2206" s="118"/>
      <c r="E2206" s="118"/>
    </row>
    <row r="2207">
      <c r="D2207" s="118"/>
      <c r="E2207" s="118"/>
    </row>
    <row r="2208">
      <c r="D2208" s="118"/>
      <c r="E2208" s="118"/>
    </row>
    <row r="2209">
      <c r="D2209" s="118"/>
      <c r="E2209" s="118"/>
    </row>
    <row r="2210">
      <c r="D2210" s="118"/>
      <c r="E2210" s="118"/>
    </row>
    <row r="2211">
      <c r="D2211" s="118"/>
      <c r="E2211" s="118"/>
    </row>
    <row r="2212">
      <c r="D2212" s="118"/>
      <c r="E2212" s="118"/>
    </row>
    <row r="2213">
      <c r="D2213" s="118"/>
      <c r="E2213" s="118"/>
    </row>
    <row r="2214">
      <c r="D2214" s="118"/>
      <c r="E2214" s="118"/>
    </row>
    <row r="2215">
      <c r="D2215" s="118"/>
      <c r="E2215" s="118"/>
    </row>
    <row r="2216">
      <c r="D2216" s="118"/>
      <c r="E2216" s="118"/>
    </row>
    <row r="2217">
      <c r="D2217" s="118"/>
      <c r="E2217" s="118"/>
    </row>
    <row r="2218">
      <c r="D2218" s="118"/>
      <c r="E2218" s="118"/>
    </row>
    <row r="2219">
      <c r="D2219" s="118"/>
      <c r="E2219" s="118"/>
    </row>
    <row r="2220">
      <c r="D2220" s="118"/>
      <c r="E2220" s="118"/>
    </row>
    <row r="2221">
      <c r="D2221" s="118"/>
      <c r="E2221" s="118"/>
    </row>
    <row r="2222">
      <c r="D2222" s="118"/>
      <c r="E2222" s="118"/>
    </row>
    <row r="2223">
      <c r="D2223" s="118"/>
      <c r="E2223" s="118"/>
    </row>
    <row r="2224">
      <c r="D2224" s="118"/>
      <c r="E2224" s="118"/>
    </row>
    <row r="2225">
      <c r="D2225" s="118"/>
      <c r="E2225" s="118"/>
    </row>
    <row r="2226">
      <c r="D2226" s="118"/>
      <c r="E2226" s="118"/>
    </row>
    <row r="2227">
      <c r="D2227" s="118"/>
      <c r="E2227" s="118"/>
    </row>
    <row r="2228">
      <c r="D2228" s="118"/>
      <c r="E2228" s="118"/>
    </row>
    <row r="2229">
      <c r="D2229" s="118"/>
      <c r="E2229" s="118"/>
    </row>
    <row r="2230">
      <c r="D2230" s="118"/>
      <c r="E2230" s="118"/>
    </row>
    <row r="2231">
      <c r="D2231" s="118"/>
      <c r="E2231" s="118"/>
    </row>
    <row r="2232">
      <c r="D2232" s="118"/>
      <c r="E2232" s="118"/>
    </row>
    <row r="2233">
      <c r="D2233" s="118"/>
      <c r="E2233" s="118"/>
    </row>
    <row r="2234">
      <c r="D2234" s="118"/>
      <c r="E2234" s="118"/>
    </row>
    <row r="2235">
      <c r="D2235" s="118"/>
      <c r="E2235" s="118"/>
    </row>
    <row r="2236">
      <c r="D2236" s="118"/>
      <c r="E2236" s="118"/>
    </row>
    <row r="2237">
      <c r="D2237" s="118"/>
      <c r="E2237" s="118"/>
    </row>
    <row r="2238">
      <c r="D2238" s="118"/>
      <c r="E2238" s="118"/>
    </row>
    <row r="2239">
      <c r="D2239" s="118"/>
      <c r="E2239" s="118"/>
    </row>
    <row r="2240">
      <c r="D2240" s="118"/>
      <c r="E2240" s="118"/>
    </row>
    <row r="2241">
      <c r="D2241" s="118"/>
      <c r="E2241" s="118"/>
    </row>
    <row r="2242">
      <c r="D2242" s="118"/>
      <c r="E2242" s="118"/>
    </row>
    <row r="2243">
      <c r="D2243" s="118"/>
      <c r="E2243" s="118"/>
    </row>
    <row r="2244">
      <c r="D2244" s="118"/>
      <c r="E2244" s="118"/>
    </row>
    <row r="2245">
      <c r="D2245" s="118"/>
      <c r="E2245" s="118"/>
    </row>
    <row r="2246">
      <c r="D2246" s="118"/>
      <c r="E2246" s="118"/>
    </row>
    <row r="2247">
      <c r="D2247" s="118"/>
      <c r="E2247" s="118"/>
    </row>
    <row r="2248">
      <c r="D2248" s="118"/>
      <c r="E2248" s="118"/>
    </row>
    <row r="2249">
      <c r="D2249" s="118"/>
      <c r="E2249" s="118"/>
    </row>
    <row r="2250">
      <c r="D2250" s="118"/>
      <c r="E2250" s="118"/>
    </row>
    <row r="2251">
      <c r="D2251" s="118"/>
      <c r="E2251" s="118"/>
    </row>
    <row r="2252">
      <c r="D2252" s="118"/>
      <c r="E2252" s="118"/>
    </row>
    <row r="2253">
      <c r="D2253" s="118"/>
      <c r="E2253" s="118"/>
    </row>
    <row r="2254">
      <c r="D2254" s="118"/>
      <c r="E2254" s="118"/>
    </row>
    <row r="2255">
      <c r="D2255" s="118"/>
      <c r="E2255" s="118"/>
    </row>
    <row r="2256">
      <c r="D2256" s="118"/>
      <c r="E2256" s="118"/>
    </row>
    <row r="2257">
      <c r="D2257" s="118"/>
      <c r="E2257" s="118"/>
    </row>
    <row r="2258">
      <c r="D2258" s="118"/>
      <c r="E2258" s="118"/>
    </row>
    <row r="2259">
      <c r="D2259" s="118"/>
      <c r="E2259" s="118"/>
    </row>
    <row r="2260">
      <c r="D2260" s="118"/>
      <c r="E2260" s="118"/>
    </row>
    <row r="2261">
      <c r="D2261" s="118"/>
      <c r="E2261" s="118"/>
    </row>
    <row r="2262">
      <c r="D2262" s="118"/>
      <c r="E2262" s="118"/>
    </row>
    <row r="2263">
      <c r="D2263" s="118"/>
      <c r="E2263" s="118"/>
    </row>
    <row r="2264">
      <c r="D2264" s="118"/>
      <c r="E2264" s="118"/>
    </row>
    <row r="2265">
      <c r="D2265" s="118"/>
      <c r="E2265" s="118"/>
    </row>
    <row r="2266">
      <c r="D2266" s="118"/>
      <c r="E2266" s="118"/>
    </row>
    <row r="2267">
      <c r="D2267" s="118"/>
      <c r="E2267" s="118"/>
    </row>
    <row r="2268">
      <c r="D2268" s="118"/>
      <c r="E2268" s="118"/>
    </row>
    <row r="2269">
      <c r="D2269" s="118"/>
      <c r="E2269" s="118"/>
    </row>
    <row r="2270">
      <c r="D2270" s="118"/>
      <c r="E2270" s="118"/>
    </row>
    <row r="2271">
      <c r="D2271" s="118"/>
      <c r="E2271" s="118"/>
    </row>
    <row r="2272">
      <c r="D2272" s="118"/>
      <c r="E2272" s="118"/>
    </row>
    <row r="2273">
      <c r="D2273" s="118"/>
      <c r="E2273" s="118"/>
    </row>
    <row r="2274">
      <c r="D2274" s="118"/>
      <c r="E2274" s="118"/>
    </row>
    <row r="2275">
      <c r="D2275" s="118"/>
      <c r="E2275" s="118"/>
    </row>
    <row r="2276">
      <c r="D2276" s="118"/>
      <c r="E2276" s="118"/>
    </row>
    <row r="2277">
      <c r="D2277" s="118"/>
      <c r="E2277" s="118"/>
    </row>
    <row r="2278">
      <c r="D2278" s="118"/>
      <c r="E2278" s="118"/>
    </row>
    <row r="2279">
      <c r="D2279" s="118"/>
      <c r="E2279" s="118"/>
    </row>
    <row r="2280">
      <c r="D2280" s="118"/>
      <c r="E2280" s="118"/>
    </row>
    <row r="2281">
      <c r="D2281" s="118"/>
      <c r="E2281" s="118"/>
    </row>
    <row r="2282">
      <c r="D2282" s="118"/>
      <c r="E2282" s="118"/>
    </row>
    <row r="2283">
      <c r="D2283" s="118"/>
      <c r="E2283" s="118"/>
    </row>
    <row r="2284">
      <c r="D2284" s="118"/>
      <c r="E2284" s="118"/>
    </row>
    <row r="2285">
      <c r="D2285" s="118"/>
      <c r="E2285" s="118"/>
    </row>
    <row r="2286">
      <c r="D2286" s="118"/>
      <c r="E2286" s="118"/>
    </row>
    <row r="2287">
      <c r="D2287" s="118"/>
      <c r="E2287" s="118"/>
    </row>
    <row r="2288">
      <c r="D2288" s="118"/>
      <c r="E2288" s="118"/>
    </row>
    <row r="2289">
      <c r="D2289" s="118"/>
      <c r="E2289" s="118"/>
    </row>
    <row r="2290">
      <c r="D2290" s="118"/>
      <c r="E2290" s="118"/>
    </row>
    <row r="2291">
      <c r="D2291" s="118"/>
      <c r="E2291" s="118"/>
    </row>
    <row r="2292">
      <c r="D2292" s="118"/>
      <c r="E2292" s="118"/>
    </row>
    <row r="2293">
      <c r="D2293" s="118"/>
      <c r="E2293" s="118"/>
    </row>
    <row r="2294">
      <c r="D2294" s="118"/>
      <c r="E2294" s="118"/>
    </row>
    <row r="2295">
      <c r="D2295" s="118"/>
      <c r="E2295" s="118"/>
    </row>
    <row r="2296">
      <c r="D2296" s="118"/>
      <c r="E2296" s="118"/>
    </row>
    <row r="2297">
      <c r="D2297" s="118"/>
      <c r="E2297" s="118"/>
    </row>
    <row r="2298">
      <c r="D2298" s="118"/>
      <c r="E2298" s="118"/>
    </row>
    <row r="2299">
      <c r="D2299" s="118"/>
      <c r="E2299" s="118"/>
    </row>
    <row r="2300">
      <c r="D2300" s="118"/>
      <c r="E2300" s="118"/>
    </row>
    <row r="2301">
      <c r="D2301" s="118"/>
      <c r="E2301" s="118"/>
    </row>
    <row r="2302">
      <c r="D2302" s="118"/>
      <c r="E2302" s="118"/>
    </row>
    <row r="2303">
      <c r="D2303" s="118"/>
      <c r="E2303" s="118"/>
    </row>
    <row r="2304">
      <c r="D2304" s="118"/>
      <c r="E2304" s="118"/>
    </row>
    <row r="2305">
      <c r="D2305" s="118"/>
      <c r="E2305" s="118"/>
    </row>
    <row r="2306">
      <c r="D2306" s="118"/>
      <c r="E2306" s="118"/>
    </row>
    <row r="2307">
      <c r="D2307" s="118"/>
      <c r="E2307" s="118"/>
    </row>
    <row r="2308">
      <c r="D2308" s="118"/>
      <c r="E2308" s="118"/>
    </row>
    <row r="2309">
      <c r="D2309" s="118"/>
      <c r="E2309" s="118"/>
    </row>
    <row r="2310">
      <c r="D2310" s="118"/>
      <c r="E2310" s="118"/>
    </row>
    <row r="2311">
      <c r="D2311" s="118"/>
      <c r="E2311" s="118"/>
    </row>
    <row r="2312">
      <c r="D2312" s="118"/>
      <c r="E2312" s="118"/>
    </row>
    <row r="2313">
      <c r="D2313" s="118"/>
      <c r="E2313" s="118"/>
    </row>
    <row r="2314">
      <c r="D2314" s="118"/>
      <c r="E2314" s="118"/>
    </row>
    <row r="2315">
      <c r="D2315" s="118"/>
      <c r="E2315" s="118"/>
    </row>
    <row r="2316">
      <c r="D2316" s="118"/>
      <c r="E2316" s="118"/>
    </row>
    <row r="2317">
      <c r="D2317" s="118"/>
      <c r="E2317" s="118"/>
    </row>
    <row r="2318">
      <c r="D2318" s="118"/>
      <c r="E2318" s="118"/>
    </row>
    <row r="2319">
      <c r="D2319" s="118"/>
      <c r="E2319" s="118"/>
    </row>
    <row r="2320">
      <c r="D2320" s="118"/>
      <c r="E2320" s="118"/>
    </row>
    <row r="2321">
      <c r="D2321" s="118"/>
      <c r="E2321" s="118"/>
    </row>
    <row r="2322">
      <c r="D2322" s="118"/>
      <c r="E2322" s="118"/>
    </row>
    <row r="2323">
      <c r="D2323" s="118"/>
      <c r="E2323" s="118"/>
    </row>
    <row r="2324">
      <c r="D2324" s="118"/>
      <c r="E2324" s="118"/>
    </row>
    <row r="2325">
      <c r="D2325" s="118"/>
      <c r="E2325" s="118"/>
    </row>
    <row r="2326">
      <c r="D2326" s="118"/>
      <c r="E2326" s="118"/>
    </row>
    <row r="2327">
      <c r="D2327" s="118"/>
      <c r="E2327" s="118"/>
    </row>
    <row r="2328">
      <c r="D2328" s="118"/>
      <c r="E2328" s="118"/>
    </row>
    <row r="2329">
      <c r="D2329" s="118"/>
      <c r="E2329" s="118"/>
    </row>
    <row r="2330">
      <c r="D2330" s="118"/>
      <c r="E2330" s="118"/>
    </row>
    <row r="2331">
      <c r="D2331" s="118"/>
      <c r="E2331" s="118"/>
    </row>
    <row r="2332">
      <c r="D2332" s="118"/>
      <c r="E2332" s="118"/>
    </row>
    <row r="2333">
      <c r="D2333" s="118"/>
      <c r="E2333" s="118"/>
    </row>
    <row r="2334">
      <c r="D2334" s="118"/>
      <c r="E2334" s="118"/>
    </row>
    <row r="2335">
      <c r="D2335" s="118"/>
      <c r="E2335" s="118"/>
    </row>
    <row r="2336">
      <c r="D2336" s="118"/>
      <c r="E2336" s="118"/>
    </row>
    <row r="2337">
      <c r="D2337" s="118"/>
      <c r="E2337" s="118"/>
    </row>
    <row r="2338">
      <c r="D2338" s="118"/>
      <c r="E2338" s="118"/>
    </row>
    <row r="2339">
      <c r="D2339" s="118"/>
      <c r="E2339" s="118"/>
    </row>
    <row r="2340">
      <c r="D2340" s="118"/>
      <c r="E2340" s="118"/>
    </row>
    <row r="2341">
      <c r="D2341" s="118"/>
      <c r="E2341" s="118"/>
    </row>
    <row r="2342">
      <c r="D2342" s="118"/>
      <c r="E2342" s="118"/>
    </row>
    <row r="2343">
      <c r="D2343" s="118"/>
      <c r="E2343" s="118"/>
    </row>
    <row r="2344">
      <c r="D2344" s="118"/>
      <c r="E2344" s="118"/>
    </row>
    <row r="2345">
      <c r="D2345" s="118"/>
      <c r="E2345" s="118"/>
    </row>
    <row r="2346">
      <c r="D2346" s="118"/>
      <c r="E2346" s="118"/>
    </row>
    <row r="2347">
      <c r="D2347" s="118"/>
      <c r="E2347" s="118"/>
    </row>
    <row r="2348">
      <c r="D2348" s="118"/>
      <c r="E2348" s="118"/>
    </row>
    <row r="2349">
      <c r="D2349" s="118"/>
      <c r="E2349" s="118"/>
    </row>
    <row r="2350">
      <c r="D2350" s="118"/>
      <c r="E2350" s="118"/>
    </row>
    <row r="2351">
      <c r="D2351" s="118"/>
      <c r="E2351" s="118"/>
    </row>
    <row r="2352">
      <c r="D2352" s="118"/>
      <c r="E2352" s="118"/>
    </row>
    <row r="2353">
      <c r="D2353" s="118"/>
      <c r="E2353" s="118"/>
    </row>
    <row r="2354">
      <c r="D2354" s="118"/>
      <c r="E2354" s="118"/>
    </row>
    <row r="2355">
      <c r="D2355" s="118"/>
      <c r="E2355" s="118"/>
    </row>
    <row r="2356">
      <c r="D2356" s="118"/>
      <c r="E2356" s="118"/>
    </row>
    <row r="2357">
      <c r="D2357" s="118"/>
      <c r="E2357" s="118"/>
    </row>
    <row r="2358">
      <c r="D2358" s="118"/>
      <c r="E2358" s="118"/>
    </row>
    <row r="2359">
      <c r="D2359" s="118"/>
      <c r="E2359" s="118"/>
    </row>
    <row r="2360">
      <c r="D2360" s="118"/>
      <c r="E2360" s="118"/>
    </row>
    <row r="2361">
      <c r="D2361" s="118"/>
      <c r="E2361" s="118"/>
    </row>
    <row r="2362">
      <c r="D2362" s="118"/>
      <c r="E2362" s="118"/>
    </row>
    <row r="2363">
      <c r="D2363" s="118"/>
      <c r="E2363" s="118"/>
    </row>
    <row r="2364">
      <c r="D2364" s="118"/>
      <c r="E2364" s="118"/>
    </row>
    <row r="2365">
      <c r="D2365" s="118"/>
      <c r="E2365" s="118"/>
    </row>
    <row r="2366">
      <c r="D2366" s="118"/>
      <c r="E2366" s="118"/>
    </row>
    <row r="2367">
      <c r="D2367" s="118"/>
      <c r="E2367" s="118"/>
    </row>
    <row r="2368">
      <c r="D2368" s="118"/>
      <c r="E2368" s="118"/>
    </row>
    <row r="2369">
      <c r="D2369" s="118"/>
      <c r="E2369" s="118"/>
    </row>
    <row r="2370">
      <c r="D2370" s="118"/>
      <c r="E2370" s="118"/>
    </row>
    <row r="2371">
      <c r="D2371" s="118"/>
      <c r="E2371" s="118"/>
    </row>
    <row r="2372">
      <c r="D2372" s="118"/>
      <c r="E2372" s="118"/>
    </row>
    <row r="2373">
      <c r="D2373" s="118"/>
      <c r="E2373" s="118"/>
    </row>
    <row r="2374">
      <c r="D2374" s="118"/>
      <c r="E2374" s="118"/>
    </row>
    <row r="2375">
      <c r="D2375" s="118"/>
      <c r="E2375" s="118"/>
    </row>
    <row r="2376">
      <c r="D2376" s="118"/>
      <c r="E2376" s="118"/>
    </row>
    <row r="2377">
      <c r="D2377" s="118"/>
      <c r="E2377" s="118"/>
    </row>
    <row r="2378">
      <c r="D2378" s="118"/>
      <c r="E2378" s="118"/>
    </row>
    <row r="2379">
      <c r="D2379" s="118"/>
      <c r="E2379" s="118"/>
    </row>
    <row r="2380">
      <c r="D2380" s="118"/>
      <c r="E2380" s="118"/>
    </row>
    <row r="2381">
      <c r="D2381" s="118"/>
      <c r="E2381" s="118"/>
    </row>
    <row r="2382">
      <c r="D2382" s="118"/>
      <c r="E2382" s="118"/>
    </row>
    <row r="2383">
      <c r="D2383" s="118"/>
      <c r="E2383" s="118"/>
    </row>
    <row r="2384">
      <c r="D2384" s="118"/>
      <c r="E2384" s="118"/>
    </row>
    <row r="2385">
      <c r="D2385" s="118"/>
      <c r="E2385" s="118"/>
    </row>
    <row r="2386">
      <c r="D2386" s="118"/>
      <c r="E2386" s="118"/>
    </row>
    <row r="2387">
      <c r="D2387" s="118"/>
      <c r="E2387" s="118"/>
    </row>
    <row r="2388">
      <c r="D2388" s="118"/>
      <c r="E2388" s="118"/>
    </row>
    <row r="2389">
      <c r="D2389" s="118"/>
      <c r="E2389" s="118"/>
    </row>
    <row r="2390">
      <c r="D2390" s="118"/>
      <c r="E2390" s="118"/>
    </row>
    <row r="2391">
      <c r="D2391" s="118"/>
      <c r="E2391" s="118"/>
    </row>
    <row r="2392">
      <c r="D2392" s="118"/>
      <c r="E2392" s="118"/>
    </row>
    <row r="2393">
      <c r="D2393" s="118"/>
      <c r="E2393" s="118"/>
    </row>
    <row r="2394">
      <c r="D2394" s="118"/>
      <c r="E2394" s="118"/>
    </row>
    <row r="2395">
      <c r="D2395" s="118"/>
      <c r="E2395" s="118"/>
    </row>
    <row r="2396">
      <c r="D2396" s="118"/>
      <c r="E2396" s="118"/>
    </row>
    <row r="2397">
      <c r="D2397" s="118"/>
      <c r="E2397" s="118"/>
    </row>
    <row r="2398">
      <c r="D2398" s="118"/>
      <c r="E2398" s="118"/>
    </row>
    <row r="2399">
      <c r="D2399" s="118"/>
      <c r="E2399" s="118"/>
    </row>
    <row r="2400">
      <c r="D2400" s="118"/>
      <c r="E2400" s="118"/>
    </row>
    <row r="2401">
      <c r="D2401" s="118"/>
      <c r="E2401" s="118"/>
    </row>
    <row r="2402">
      <c r="D2402" s="118"/>
      <c r="E2402" s="118"/>
    </row>
    <row r="2403">
      <c r="D2403" s="118"/>
      <c r="E2403" s="118"/>
    </row>
    <row r="2404">
      <c r="D2404" s="118"/>
      <c r="E2404" s="118"/>
    </row>
    <row r="2405">
      <c r="D2405" s="118"/>
      <c r="E2405" s="118"/>
    </row>
    <row r="2406">
      <c r="D2406" s="118"/>
      <c r="E2406" s="118"/>
    </row>
    <row r="2407">
      <c r="D2407" s="118"/>
      <c r="E2407" s="118"/>
    </row>
    <row r="2408">
      <c r="D2408" s="118"/>
      <c r="E2408" s="118"/>
    </row>
  </sheetData>
  <autoFilter ref="A1:K281"/>
  <mergeCells>
    <mergeCell ref="A168:K168"/>
    <mergeCell ref="J167:K167"/>
    <mergeCell ref="J166:K166"/>
    <mergeCell ref="J165:K165"/>
    <mergeCell ref="J164:K164"/>
    <mergeCell ref="A163:K163"/>
    <mergeCell ref="A160:K160"/>
    <mergeCell ref="J159:K159"/>
    <mergeCell ref="J158:K158"/>
    <mergeCell ref="J157:K157"/>
    <mergeCell ref="J156:K156"/>
    <mergeCell ref="J155:K155"/>
    <mergeCell ref="A154:K154"/>
    <mergeCell ref="A151:K151"/>
    <mergeCell ref="J150:K150"/>
    <mergeCell ref="J149:K149"/>
    <mergeCell ref="J148:K148"/>
    <mergeCell ref="J147:K147"/>
    <mergeCell ref="J146:K146"/>
    <mergeCell ref="A145:K145"/>
    <mergeCell ref="A142:K142"/>
    <mergeCell ref="J141:K141"/>
    <mergeCell ref="J140:K140"/>
    <mergeCell ref="J139:K139"/>
    <mergeCell ref="J138:K138"/>
    <mergeCell ref="J137:K137"/>
    <mergeCell ref="A136:K136"/>
    <mergeCell ref="A133:K133"/>
    <mergeCell ref="J132:K132"/>
    <mergeCell ref="J131:K131"/>
    <mergeCell ref="J130:K130"/>
    <mergeCell ref="J129:K129"/>
    <mergeCell ref="J128:K128"/>
    <mergeCell ref="A127:K127"/>
    <mergeCell ref="A1:K1"/>
    <mergeCell ref="J2:K2"/>
    <mergeCell ref="J3:K3"/>
    <mergeCell ref="J4:K4"/>
    <mergeCell ref="J5:K5"/>
    <mergeCell ref="J6:K6"/>
    <mergeCell ref="A7:K7"/>
    <mergeCell ref="A10:K10"/>
    <mergeCell ref="J11:K11"/>
    <mergeCell ref="J12:K12"/>
    <mergeCell ref="J13:K13"/>
    <mergeCell ref="J14:K14"/>
    <mergeCell ref="J15:K15"/>
    <mergeCell ref="A16:K16"/>
    <mergeCell ref="A19:K19"/>
    <mergeCell ref="J20:K20"/>
    <mergeCell ref="J21:K21"/>
    <mergeCell ref="J22:K22"/>
    <mergeCell ref="J23:K23"/>
    <mergeCell ref="J24:K24"/>
    <mergeCell ref="A25:K25"/>
    <mergeCell ref="A28:K28"/>
    <mergeCell ref="J29:K29"/>
    <mergeCell ref="J30:K30"/>
    <mergeCell ref="J31:K31"/>
    <mergeCell ref="J32:K32"/>
    <mergeCell ref="J33:K33"/>
    <mergeCell ref="A34:K34"/>
    <mergeCell ref="A37:K37"/>
    <mergeCell ref="J38:K38"/>
    <mergeCell ref="J39:K39"/>
    <mergeCell ref="J40:K40"/>
    <mergeCell ref="J41:K41"/>
    <mergeCell ref="J42:K42"/>
    <mergeCell ref="A43:K43"/>
    <mergeCell ref="A46:K46"/>
    <mergeCell ref="J47:K47"/>
    <mergeCell ref="J48:K48"/>
    <mergeCell ref="J49:K49"/>
    <mergeCell ref="J50:K50"/>
    <mergeCell ref="J51:K51"/>
    <mergeCell ref="A52:K52"/>
    <mergeCell ref="A55:K55"/>
    <mergeCell ref="J56:K56"/>
    <mergeCell ref="J57:K57"/>
    <mergeCell ref="J58:K58"/>
    <mergeCell ref="J59:K59"/>
    <mergeCell ref="J60:K60"/>
    <mergeCell ref="A61:K61"/>
    <mergeCell ref="A64:K64"/>
    <mergeCell ref="J65:K65"/>
    <mergeCell ref="J66:K66"/>
    <mergeCell ref="J67:K67"/>
    <mergeCell ref="J68:K68"/>
    <mergeCell ref="J69:K69"/>
    <mergeCell ref="A70:K70"/>
    <mergeCell ref="A73:K73"/>
    <mergeCell ref="J74:K74"/>
    <mergeCell ref="J75:K75"/>
    <mergeCell ref="J76:K76"/>
    <mergeCell ref="J77:K77"/>
    <mergeCell ref="J78:K78"/>
    <mergeCell ref="A79:K79"/>
    <mergeCell ref="A82:K82"/>
    <mergeCell ref="J83:K83"/>
    <mergeCell ref="J84:K84"/>
    <mergeCell ref="J85:K85"/>
    <mergeCell ref="J86:K86"/>
    <mergeCell ref="J87:K87"/>
    <mergeCell ref="A88:K88"/>
    <mergeCell ref="A91:K91"/>
    <mergeCell ref="J92:K92"/>
    <mergeCell ref="J93:K93"/>
    <mergeCell ref="J94:K94"/>
    <mergeCell ref="J95:K95"/>
    <mergeCell ref="J96:K96"/>
    <mergeCell ref="A97:K97"/>
    <mergeCell ref="A100:K100"/>
    <mergeCell ref="J101:K101"/>
    <mergeCell ref="J102:K102"/>
    <mergeCell ref="J103:K103"/>
    <mergeCell ref="J104:K104"/>
    <mergeCell ref="J105:K105"/>
    <mergeCell ref="A106:K106"/>
    <mergeCell ref="A109:K109"/>
    <mergeCell ref="J110:K110"/>
    <mergeCell ref="J111:K111"/>
    <mergeCell ref="J112:K112"/>
    <mergeCell ref="J113:K113"/>
    <mergeCell ref="J114:K114"/>
    <mergeCell ref="A115:K115"/>
    <mergeCell ref="A118:K118"/>
    <mergeCell ref="J119:K119"/>
    <mergeCell ref="J120:K120"/>
    <mergeCell ref="J121:K121"/>
    <mergeCell ref="J122:K122"/>
    <mergeCell ref="J123:K123"/>
    <mergeCell ref="A124:K124"/>
    <mergeCell ref="A171:K171"/>
    <mergeCell ref="J172:K172"/>
    <mergeCell ref="J173:K173"/>
    <mergeCell ref="J174:K174"/>
    <mergeCell ref="J175:K175"/>
    <mergeCell ref="J176:K176"/>
    <mergeCell ref="A177:K177"/>
    <mergeCell ref="A180:K180"/>
    <mergeCell ref="J181:K181"/>
    <mergeCell ref="J182:K182"/>
    <mergeCell ref="J183:K183"/>
    <mergeCell ref="J184:K184"/>
    <mergeCell ref="J185:K185"/>
    <mergeCell ref="A186:K186"/>
    <mergeCell ref="A189:K189"/>
    <mergeCell ref="J190:K190"/>
    <mergeCell ref="J191:K191"/>
    <mergeCell ref="J192:K192"/>
    <mergeCell ref="J193:K193"/>
    <mergeCell ref="J194:K194"/>
    <mergeCell ref="A195:K195"/>
    <mergeCell ref="A198:K198"/>
    <mergeCell ref="J199:K199"/>
    <mergeCell ref="J200:K200"/>
    <mergeCell ref="J201:K201"/>
    <mergeCell ref="J202:K202"/>
    <mergeCell ref="J203:K203"/>
    <mergeCell ref="A204:K204"/>
    <mergeCell ref="A207:K207"/>
    <mergeCell ref="J208:K208"/>
    <mergeCell ref="J209:K209"/>
    <mergeCell ref="J210:K210"/>
    <mergeCell ref="J211:K211"/>
    <mergeCell ref="J212:K212"/>
    <mergeCell ref="A213:K213"/>
    <mergeCell ref="A216:K216"/>
    <mergeCell ref="J217:K217"/>
    <mergeCell ref="J218:K218"/>
    <mergeCell ref="J219:K219"/>
    <mergeCell ref="J220:K220"/>
    <mergeCell ref="J221:K221"/>
    <mergeCell ref="A222:K222"/>
    <mergeCell ref="A225:K225"/>
    <mergeCell ref="J226:K226"/>
    <mergeCell ref="J227:K227"/>
    <mergeCell ref="J228:K228"/>
    <mergeCell ref="J229:K229"/>
    <mergeCell ref="J230:K230"/>
    <mergeCell ref="A231:K231"/>
    <mergeCell ref="A234:K234"/>
    <mergeCell ref="J235:K235"/>
    <mergeCell ref="J236:K236"/>
    <mergeCell ref="J237:K237"/>
    <mergeCell ref="J238:K238"/>
    <mergeCell ref="J239:K239"/>
    <mergeCell ref="A240:K240"/>
    <mergeCell ref="A243:K243"/>
    <mergeCell ref="J244:K244"/>
    <mergeCell ref="J245:K245"/>
    <mergeCell ref="J246:K246"/>
    <mergeCell ref="J247:K247"/>
    <mergeCell ref="J248:K248"/>
    <mergeCell ref="A249:K249"/>
    <mergeCell ref="A252:K252"/>
    <mergeCell ref="J253:K253"/>
    <mergeCell ref="J254:K254"/>
    <mergeCell ref="J255:K255"/>
    <mergeCell ref="J256:K256"/>
    <mergeCell ref="J257:K257"/>
    <mergeCell ref="A258:K258"/>
    <mergeCell ref="A261:K261"/>
    <mergeCell ref="J262:K262"/>
    <mergeCell ref="J263:K263"/>
    <mergeCell ref="J264:K264"/>
    <mergeCell ref="J265:K265"/>
    <mergeCell ref="J266:K266"/>
    <mergeCell ref="A267:K267"/>
    <mergeCell ref="A270:K270"/>
    <mergeCell ref="J271:K271"/>
    <mergeCell ref="J272:K272"/>
    <mergeCell ref="J273:K273"/>
    <mergeCell ref="J274:K274"/>
    <mergeCell ref="J275:K275"/>
    <mergeCell ref="A276:K276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20" t="s">
        <v>253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>
      <c r="A2" s="121" t="s">
        <v>254</v>
      </c>
      <c r="B2" s="121" t="s">
        <v>255</v>
      </c>
      <c r="C2" s="121" t="s">
        <v>256</v>
      </c>
      <c r="D2" s="121" t="s">
        <v>257</v>
      </c>
      <c r="E2" s="122" t="s">
        <v>258</v>
      </c>
      <c r="F2" s="121" t="s">
        <v>259</v>
      </c>
      <c r="G2" s="121" t="s">
        <v>260</v>
      </c>
      <c r="H2" s="121" t="s">
        <v>261</v>
      </c>
      <c r="I2" s="121" t="s">
        <v>262</v>
      </c>
      <c r="J2" s="121" t="s">
        <v>263</v>
      </c>
      <c r="K2" s="121"/>
    </row>
    <row r="3">
      <c r="A3" s="123" t="s">
        <v>264</v>
      </c>
      <c r="B3" s="124" t="s">
        <v>265</v>
      </c>
      <c r="C3" s="125">
        <v>5</v>
      </c>
      <c r="D3" s="125">
        <v>7843.83</v>
      </c>
      <c r="E3" s="125">
        <v>7316.4</v>
      </c>
      <c r="F3" s="125">
        <v>5</v>
      </c>
      <c r="G3" s="126">
        <f t="shared" ref="G3:G7" si="60">E3/F3</f>
      </c>
      <c r="H3" s="126">
        <f t="shared" ref="H3:H7" si="30">D3/F3</f>
      </c>
      <c r="I3" s="126">
        <f t="shared" ref="I3:I7" si="0">E3/D3</f>
      </c>
      <c r="J3" s="126">
        <f t="shared" ref="J3:J7" si="90">D3/C3</f>
      </c>
      <c r="K3" s="126"/>
    </row>
    <row r="4">
      <c r="A4" s="123" t="s">
        <v>266</v>
      </c>
      <c r="B4" s="124" t="s">
        <v>267</v>
      </c>
      <c r="C4" s="125">
        <v>3</v>
      </c>
      <c r="D4" s="125">
        <v>3162.6400000000012</v>
      </c>
      <c r="E4" s="125">
        <v>3626.6000000000004</v>
      </c>
      <c r="F4" s="125">
        <v>3</v>
      </c>
      <c r="G4" s="126">
        <f t="shared" si="60"/>
      </c>
      <c r="H4" s="126">
        <f t="shared" si="30"/>
      </c>
      <c r="I4" s="126">
        <f t="shared" si="0"/>
      </c>
      <c r="J4" s="126">
        <f t="shared" si="90"/>
      </c>
      <c r="K4" s="126"/>
    </row>
    <row r="5">
      <c r="A5" s="123" t="s">
        <v>268</v>
      </c>
      <c r="B5" s="124" t="s">
        <v>269</v>
      </c>
      <c r="C5" s="125">
        <v>4</v>
      </c>
      <c r="D5" s="125">
        <v>3644.2999999999993</v>
      </c>
      <c r="E5" s="125">
        <v>1186.800000000001</v>
      </c>
      <c r="F5" s="125">
        <v>1</v>
      </c>
      <c r="G5" s="126">
        <f t="shared" si="60"/>
      </c>
      <c r="H5" s="126">
        <f t="shared" si="30"/>
      </c>
      <c r="I5" s="126">
        <f t="shared" si="0"/>
      </c>
      <c r="J5" s="126">
        <f t="shared" si="90"/>
      </c>
      <c r="K5" s="126"/>
    </row>
    <row r="6">
      <c r="A6" s="123" t="s">
        <v>270</v>
      </c>
      <c r="B6" s="124" t="s">
        <v>271</v>
      </c>
      <c r="C6" s="125">
        <v>4</v>
      </c>
      <c r="D6" s="125">
        <v>6941.380000000001</v>
      </c>
      <c r="E6" s="125">
        <v>6497.999999999998</v>
      </c>
      <c r="F6" s="125">
        <v>2</v>
      </c>
      <c r="G6" s="126">
        <f t="shared" si="60"/>
      </c>
      <c r="H6" s="126">
        <f t="shared" si="30"/>
      </c>
      <c r="I6" s="126">
        <f t="shared" si="0"/>
      </c>
      <c r="J6" s="126">
        <f t="shared" si="90"/>
      </c>
      <c r="K6" s="126"/>
    </row>
    <row r="7">
      <c r="A7" s="121" t="s">
        <v>272</v>
      </c>
      <c r="B7" s="121"/>
      <c r="C7" s="121">
        <f>SUM(C3:C6)</f>
      </c>
      <c r="D7" s="121">
        <f>SUM(D3:D6)</f>
      </c>
      <c r="E7" s="121">
        <f>SUM(E3:E6)</f>
      </c>
      <c r="F7" s="121">
        <f>SUM(F3:F6)</f>
      </c>
      <c r="G7" s="127">
        <f t="shared" si="60"/>
      </c>
      <c r="H7" s="127">
        <f t="shared" si="30"/>
      </c>
      <c r="I7" s="127">
        <f t="shared" si="0"/>
      </c>
      <c r="J7" s="127">
        <f t="shared" si="90"/>
      </c>
      <c r="K7" s="127"/>
    </row>
    <row r="8">
      <c r="A8" s="128" t="s">
        <v>273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</row>
    <row r="9">
      <c r="A9" s="129" t="s">
        <v>257</v>
      </c>
      <c r="B9" s="129" t="s">
        <v>274</v>
      </c>
      <c r="C9" s="129" t="s">
        <v>275</v>
      </c>
      <c r="D9" s="129" t="s">
        <v>276</v>
      </c>
      <c r="E9" s="129" t="s">
        <v>277</v>
      </c>
      <c r="F9" s="129" t="s">
        <v>278</v>
      </c>
      <c r="G9" s="129" t="s">
        <v>279</v>
      </c>
      <c r="H9" s="130" t="s">
        <v>280</v>
      </c>
      <c r="I9" s="130" t="s">
        <v>281</v>
      </c>
      <c r="J9" s="130" t="s">
        <v>282</v>
      </c>
      <c r="K9" s="130" t="s">
        <v>256</v>
      </c>
    </row>
    <row r="10">
      <c r="A10" s="131">
        <f>SUM(D3:D6)</f>
      </c>
      <c r="B10" s="132">
        <f>SUM(E3:E6)</f>
      </c>
      <c r="C10" s="132">
        <f>B10/((K10*300)+A10)</f>
      </c>
      <c r="D10" s="133">
        <f>A10/J10</f>
      </c>
      <c r="E10" s="132">
        <f>B10/J10</f>
      </c>
      <c r="F10" s="134">
        <f>J10/I10</f>
      </c>
      <c r="G10" s="134">
        <f>H10/J10</f>
      </c>
      <c r="H10" s="135">
        <v>0</v>
      </c>
      <c r="I10" s="135">
        <v>21</v>
      </c>
      <c r="J10" s="135">
        <f>F7</f>
      </c>
      <c r="K10" s="135">
        <v>16</v>
      </c>
    </row>
    <row r="11">
      <c r="A11" s="120" t="s">
        <v>283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</row>
    <row r="12">
      <c r="A12" s="121" t="s">
        <v>254</v>
      </c>
      <c r="B12" s="121" t="s">
        <v>255</v>
      </c>
      <c r="C12" s="121" t="s">
        <v>256</v>
      </c>
      <c r="D12" s="121" t="s">
        <v>257</v>
      </c>
      <c r="E12" s="122" t="s">
        <v>258</v>
      </c>
      <c r="F12" s="121" t="s">
        <v>259</v>
      </c>
      <c r="G12" s="121" t="s">
        <v>260</v>
      </c>
      <c r="H12" s="121" t="s">
        <v>261</v>
      </c>
      <c r="I12" s="121" t="s">
        <v>262</v>
      </c>
      <c r="J12" s="121" t="s">
        <v>263</v>
      </c>
      <c r="K12" s="121"/>
    </row>
    <row r="13">
      <c r="A13" s="123" t="s">
        <v>268</v>
      </c>
      <c r="B13" s="124" t="s">
        <v>284</v>
      </c>
      <c r="C13" s="125">
        <v>4</v>
      </c>
      <c r="D13" s="125">
        <v>8861.16</v>
      </c>
      <c r="E13" s="125">
        <v>1186.8</v>
      </c>
      <c r="F13" s="125">
        <v>1</v>
      </c>
      <c r="G13" s="126">
        <f t="shared" ref="G13:G17" si="61">E13/F13</f>
      </c>
      <c r="H13" s="126">
        <f t="shared" ref="H13:H17" si="31">D13/F13</f>
      </c>
      <c r="I13" s="126">
        <f t="shared" ref="I13:I17" si="1">E13/D13</f>
      </c>
      <c r="J13" s="126">
        <f t="shared" ref="J13:J17" si="91">D13/C13</f>
      </c>
      <c r="K13" s="126"/>
    </row>
    <row r="14">
      <c r="A14" s="123" t="s">
        <v>264</v>
      </c>
      <c r="B14" s="124" t="s">
        <v>285</v>
      </c>
      <c r="C14" s="125">
        <v>4</v>
      </c>
      <c r="D14" s="125">
        <v>7944.68</v>
      </c>
      <c r="E14" s="125">
        <v>10622.599999999999</v>
      </c>
      <c r="F14" s="125">
        <v>12</v>
      </c>
      <c r="G14" s="126">
        <f t="shared" si="61"/>
      </c>
      <c r="H14" s="126">
        <f t="shared" si="31"/>
      </c>
      <c r="I14" s="126">
        <f t="shared" si="1"/>
      </c>
      <c r="J14" s="126">
        <f t="shared" si="91"/>
      </c>
      <c r="K14" s="126"/>
    </row>
    <row r="15">
      <c r="A15" s="123" t="s">
        <v>286</v>
      </c>
      <c r="B15" s="124" t="s">
        <v>269</v>
      </c>
      <c r="C15" s="125">
        <v>4</v>
      </c>
      <c r="D15" s="125">
        <v>6964.560000000001</v>
      </c>
      <c r="E15" s="125">
        <v>6228.000000000004</v>
      </c>
      <c r="F15" s="125">
        <v>4</v>
      </c>
      <c r="G15" s="126">
        <f t="shared" si="61"/>
      </c>
      <c r="H15" s="126">
        <f t="shared" si="31"/>
      </c>
      <c r="I15" s="126">
        <f t="shared" si="1"/>
      </c>
      <c r="J15" s="126">
        <f t="shared" si="91"/>
      </c>
      <c r="K15" s="126"/>
    </row>
    <row r="16">
      <c r="A16" s="123" t="s">
        <v>270</v>
      </c>
      <c r="B16" s="124" t="s">
        <v>271</v>
      </c>
      <c r="C16" s="125">
        <v>4</v>
      </c>
      <c r="D16" s="125">
        <v>8249.099999999999</v>
      </c>
      <c r="E16" s="125">
        <v>19697.6</v>
      </c>
      <c r="F16" s="125">
        <v>11</v>
      </c>
      <c r="G16" s="126">
        <f t="shared" si="61"/>
      </c>
      <c r="H16" s="126">
        <f t="shared" si="31"/>
      </c>
      <c r="I16" s="126">
        <f t="shared" si="1"/>
      </c>
      <c r="J16" s="126">
        <f t="shared" si="91"/>
      </c>
      <c r="K16" s="126"/>
    </row>
    <row r="17">
      <c r="A17" s="121" t="s">
        <v>272</v>
      </c>
      <c r="B17" s="121"/>
      <c r="C17" s="121">
        <f>SUM(C13:C16)</f>
      </c>
      <c r="D17" s="121">
        <f>SUM(D13:D16)</f>
      </c>
      <c r="E17" s="121">
        <f>SUM(E13:E16)</f>
      </c>
      <c r="F17" s="121">
        <f>SUM(F13:F16)</f>
      </c>
      <c r="G17" s="127">
        <f t="shared" si="61"/>
      </c>
      <c r="H17" s="127">
        <f t="shared" si="31"/>
      </c>
      <c r="I17" s="127">
        <f t="shared" si="1"/>
      </c>
      <c r="J17" s="127">
        <f t="shared" si="91"/>
      </c>
      <c r="K17" s="127"/>
    </row>
    <row r="18">
      <c r="A18" s="128" t="s">
        <v>273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</row>
    <row r="19">
      <c r="A19" s="129" t="s">
        <v>257</v>
      </c>
      <c r="B19" s="129" t="s">
        <v>274</v>
      </c>
      <c r="C19" s="129" t="s">
        <v>275</v>
      </c>
      <c r="D19" s="129" t="s">
        <v>276</v>
      </c>
      <c r="E19" s="129" t="s">
        <v>277</v>
      </c>
      <c r="F19" s="129" t="s">
        <v>278</v>
      </c>
      <c r="G19" s="129" t="s">
        <v>279</v>
      </c>
      <c r="H19" s="130" t="s">
        <v>280</v>
      </c>
      <c r="I19" s="130" t="s">
        <v>281</v>
      </c>
      <c r="J19" s="130" t="s">
        <v>282</v>
      </c>
      <c r="K19" s="130" t="s">
        <v>256</v>
      </c>
    </row>
    <row r="20">
      <c r="A20" s="131">
        <f>SUM(D13:D16)</f>
      </c>
      <c r="B20" s="132">
        <f>SUM(E13:E16)</f>
      </c>
      <c r="C20" s="132">
        <f>B20/((K20*300)+A20)</f>
      </c>
      <c r="D20" s="133">
        <f>A20/J20</f>
      </c>
      <c r="E20" s="132">
        <f>B20/J20</f>
      </c>
      <c r="F20" s="134">
        <f>J20/I20</f>
      </c>
      <c r="G20" s="134">
        <f>H20/J20</f>
      </c>
      <c r="H20" s="135">
        <v>4</v>
      </c>
      <c r="I20" s="135">
        <v>36</v>
      </c>
      <c r="J20" s="135">
        <v>28</v>
      </c>
      <c r="K20" s="135">
        <f>C17</f>
      </c>
    </row>
    <row r="21">
      <c r="A21" s="120" t="s">
        <v>287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</row>
    <row r="22">
      <c r="A22" s="121" t="s">
        <v>254</v>
      </c>
      <c r="B22" s="121" t="s">
        <v>255</v>
      </c>
      <c r="C22" s="121" t="s">
        <v>256</v>
      </c>
      <c r="D22" s="121" t="s">
        <v>257</v>
      </c>
      <c r="E22" s="122" t="s">
        <v>258</v>
      </c>
      <c r="F22" s="121" t="s">
        <v>259</v>
      </c>
      <c r="G22" s="121" t="s">
        <v>260</v>
      </c>
      <c r="H22" s="121" t="s">
        <v>261</v>
      </c>
      <c r="I22" s="121" t="s">
        <v>262</v>
      </c>
      <c r="J22" s="121" t="s">
        <v>263</v>
      </c>
      <c r="K22" s="121"/>
    </row>
    <row r="23">
      <c r="A23" s="123" t="s">
        <v>286</v>
      </c>
      <c r="B23" s="124" t="s">
        <v>284</v>
      </c>
      <c r="C23" s="125">
        <v>4</v>
      </c>
      <c r="D23" s="125">
        <v>14480.48</v>
      </c>
      <c r="E23" s="125">
        <v>14258.6</v>
      </c>
      <c r="F23" s="125">
        <v>9</v>
      </c>
      <c r="G23" s="126">
        <f t="shared" ref="G23:G27" si="62">E23/F23</f>
      </c>
      <c r="H23" s="126">
        <f t="shared" ref="H23:H27" si="32">D23/F23</f>
      </c>
      <c r="I23" s="126">
        <f t="shared" ref="I23:I27" si="2">E23/D23</f>
      </c>
      <c r="J23" s="126">
        <f t="shared" ref="J23:J27" si="92">D23/C23</f>
      </c>
      <c r="K23" s="126"/>
    </row>
    <row r="24">
      <c r="A24" s="123" t="s">
        <v>266</v>
      </c>
      <c r="B24" s="124" t="s">
        <v>285</v>
      </c>
      <c r="C24" s="125">
        <v>4</v>
      </c>
      <c r="D24" s="125">
        <v>13081.129999999997</v>
      </c>
      <c r="E24" s="125">
        <v>7645.4</v>
      </c>
      <c r="F24" s="125">
        <v>9</v>
      </c>
      <c r="G24" s="126">
        <f t="shared" si="62"/>
      </c>
      <c r="H24" s="126">
        <f t="shared" si="32"/>
      </c>
      <c r="I24" s="126">
        <f t="shared" si="2"/>
      </c>
      <c r="J24" s="126">
        <f t="shared" si="92"/>
      </c>
      <c r="K24" s="126"/>
    </row>
    <row r="25">
      <c r="A25" s="123" t="s">
        <v>270</v>
      </c>
      <c r="B25" s="124" t="s">
        <v>269</v>
      </c>
      <c r="C25" s="125">
        <v>4</v>
      </c>
      <c r="D25" s="125">
        <v>10596.260000000006</v>
      </c>
      <c r="E25" s="125">
        <v>5242.799999999996</v>
      </c>
      <c r="F25" s="125">
        <v>5</v>
      </c>
      <c r="G25" s="126">
        <f t="shared" si="62"/>
      </c>
      <c r="H25" s="126">
        <f t="shared" si="32"/>
      </c>
      <c r="I25" s="126">
        <f t="shared" si="2"/>
      </c>
      <c r="J25" s="126">
        <f t="shared" si="92"/>
      </c>
      <c r="K25" s="126"/>
    </row>
    <row r="26">
      <c r="A26" s="123" t="s">
        <v>264</v>
      </c>
      <c r="B26" s="124" t="s">
        <v>271</v>
      </c>
      <c r="C26" s="125">
        <v>4</v>
      </c>
      <c r="D26" s="125">
        <v>11373.52</v>
      </c>
      <c r="E26" s="125">
        <v>13211.200000000004</v>
      </c>
      <c r="F26" s="125">
        <v>15</v>
      </c>
      <c r="G26" s="126">
        <f t="shared" si="62"/>
      </c>
      <c r="H26" s="126">
        <f t="shared" si="32"/>
      </c>
      <c r="I26" s="126">
        <f t="shared" si="2"/>
      </c>
      <c r="J26" s="126">
        <f t="shared" si="92"/>
      </c>
      <c r="K26" s="126"/>
    </row>
    <row r="27">
      <c r="A27" s="121" t="s">
        <v>272</v>
      </c>
      <c r="B27" s="121"/>
      <c r="C27" s="121">
        <f>SUM(C23:C26)</f>
      </c>
      <c r="D27" s="121">
        <f>SUM(D23:D26)</f>
      </c>
      <c r="E27" s="121">
        <f>SUM(E23:E26)</f>
      </c>
      <c r="F27" s="121">
        <f>SUM(F23:F26)</f>
      </c>
      <c r="G27" s="127">
        <f t="shared" si="62"/>
      </c>
      <c r="H27" s="127">
        <f t="shared" si="32"/>
      </c>
      <c r="I27" s="127">
        <f t="shared" si="2"/>
      </c>
      <c r="J27" s="127">
        <f t="shared" si="92"/>
      </c>
      <c r="K27" s="127"/>
    </row>
    <row r="28">
      <c r="A28" s="128" t="s">
        <v>273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</row>
    <row r="29">
      <c r="A29" s="129" t="s">
        <v>257</v>
      </c>
      <c r="B29" s="129" t="s">
        <v>274</v>
      </c>
      <c r="C29" s="129" t="s">
        <v>275</v>
      </c>
      <c r="D29" s="129" t="s">
        <v>276</v>
      </c>
      <c r="E29" s="129" t="s">
        <v>277</v>
      </c>
      <c r="F29" s="129" t="s">
        <v>278</v>
      </c>
      <c r="G29" s="129" t="s">
        <v>279</v>
      </c>
      <c r="H29" s="130" t="s">
        <v>280</v>
      </c>
      <c r="I29" s="130" t="s">
        <v>281</v>
      </c>
      <c r="J29" s="130" t="s">
        <v>282</v>
      </c>
      <c r="K29" s="130" t="s">
        <v>256</v>
      </c>
    </row>
    <row r="30">
      <c r="A30" s="131">
        <f>SUM(D23:D26)</f>
      </c>
      <c r="B30" s="132">
        <f>SUM(E23:E26)</f>
      </c>
      <c r="C30" s="132">
        <f>B30/((K30*300)+A30)</f>
      </c>
      <c r="D30" s="133">
        <f>A30/J30</f>
      </c>
      <c r="E30" s="132">
        <f>B30/J30</f>
      </c>
      <c r="F30" s="134">
        <f>J30/I30</f>
      </c>
      <c r="G30" s="134">
        <f>H30/J30</f>
      </c>
      <c r="H30" s="135">
        <v>7</v>
      </c>
      <c r="I30" s="135">
        <v>55</v>
      </c>
      <c r="J30" s="135">
        <f>F27</f>
      </c>
      <c r="K30" s="135">
        <f>C27</f>
      </c>
    </row>
    <row r="31">
      <c r="A31" s="120" t="s">
        <v>288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</row>
    <row r="32">
      <c r="A32" s="121" t="s">
        <v>254</v>
      </c>
      <c r="B32" s="121" t="s">
        <v>255</v>
      </c>
      <c r="C32" s="121" t="s">
        <v>256</v>
      </c>
      <c r="D32" s="121" t="s">
        <v>257</v>
      </c>
      <c r="E32" s="122" t="s">
        <v>258</v>
      </c>
      <c r="F32" s="121" t="s">
        <v>259</v>
      </c>
      <c r="G32" s="121" t="s">
        <v>260</v>
      </c>
      <c r="H32" s="121" t="s">
        <v>261</v>
      </c>
      <c r="I32" s="121" t="s">
        <v>262</v>
      </c>
      <c r="J32" s="121" t="s">
        <v>263</v>
      </c>
      <c r="K32" s="121"/>
    </row>
    <row r="33">
      <c r="A33" s="123" t="s">
        <v>286</v>
      </c>
      <c r="B33" s="124" t="s">
        <v>284</v>
      </c>
      <c r="C33" s="125">
        <v>4</v>
      </c>
      <c r="D33" s="125">
        <v>8266.62</v>
      </c>
      <c r="E33" s="125">
        <v>11683.2</v>
      </c>
      <c r="F33" s="125">
        <v>8</v>
      </c>
      <c r="G33" s="126">
        <f t="shared" ref="G33:G37" si="63">E33/F33</f>
      </c>
      <c r="H33" s="126">
        <f t="shared" ref="H33:H37" si="33">D33/F33</f>
      </c>
      <c r="I33" s="126">
        <f t="shared" ref="I33:I37" si="3">E33/D33</f>
      </c>
      <c r="J33" s="126">
        <f t="shared" ref="J33:J37" si="93">D33/C33</f>
      </c>
      <c r="K33" s="126"/>
    </row>
    <row r="34">
      <c r="A34" s="123" t="s">
        <v>266</v>
      </c>
      <c r="B34" s="124" t="s">
        <v>285</v>
      </c>
      <c r="C34" s="125">
        <v>4</v>
      </c>
      <c r="D34" s="125">
        <v>11760.890000000001</v>
      </c>
      <c r="E34" s="125">
        <v>10248</v>
      </c>
      <c r="F34" s="125">
        <v>6</v>
      </c>
      <c r="G34" s="126">
        <f t="shared" si="63"/>
      </c>
      <c r="H34" s="126">
        <f t="shared" si="33"/>
      </c>
      <c r="I34" s="126">
        <f t="shared" si="3"/>
      </c>
      <c r="J34" s="126">
        <f t="shared" si="93"/>
      </c>
      <c r="K34" s="126"/>
    </row>
    <row r="35">
      <c r="A35" s="123" t="s">
        <v>270</v>
      </c>
      <c r="B35" s="124" t="s">
        <v>269</v>
      </c>
      <c r="C35" s="125">
        <v>4</v>
      </c>
      <c r="D35" s="125">
        <v>7510.009999999995</v>
      </c>
      <c r="E35" s="125">
        <v>10376</v>
      </c>
      <c r="F35" s="125">
        <v>5</v>
      </c>
      <c r="G35" s="126">
        <f t="shared" si="63"/>
      </c>
      <c r="H35" s="126">
        <f t="shared" si="33"/>
      </c>
      <c r="I35" s="126">
        <f t="shared" si="3"/>
      </c>
      <c r="J35" s="126">
        <f t="shared" si="93"/>
      </c>
      <c r="K35" s="126"/>
    </row>
    <row r="36">
      <c r="A36" s="123" t="s">
        <v>264</v>
      </c>
      <c r="B36" s="124" t="s">
        <v>271</v>
      </c>
      <c r="C36" s="125">
        <v>4</v>
      </c>
      <c r="D36" s="125">
        <v>10890.55</v>
      </c>
      <c r="E36" s="125">
        <v>13142.199999999999</v>
      </c>
      <c r="F36" s="125">
        <v>10</v>
      </c>
      <c r="G36" s="126">
        <f t="shared" si="63"/>
      </c>
      <c r="H36" s="126">
        <f t="shared" si="33"/>
      </c>
      <c r="I36" s="126">
        <f t="shared" si="3"/>
      </c>
      <c r="J36" s="126">
        <f t="shared" si="93"/>
      </c>
      <c r="K36" s="126"/>
    </row>
    <row r="37">
      <c r="A37" s="121" t="s">
        <v>272</v>
      </c>
      <c r="B37" s="121"/>
      <c r="C37" s="121">
        <f>SUM(C33:C36)</f>
      </c>
      <c r="D37" s="121">
        <f>SUM(D33:D36)</f>
      </c>
      <c r="E37" s="121">
        <f>SUM(E33:E36)</f>
      </c>
      <c r="F37" s="121">
        <f>SUM(F33:F36)</f>
      </c>
      <c r="G37" s="127">
        <f t="shared" si="63"/>
      </c>
      <c r="H37" s="127">
        <f t="shared" si="33"/>
      </c>
      <c r="I37" s="127">
        <f t="shared" si="3"/>
      </c>
      <c r="J37" s="127">
        <f t="shared" si="93"/>
      </c>
      <c r="K37" s="127"/>
    </row>
    <row r="38">
      <c r="A38" s="128" t="s">
        <v>273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</row>
    <row r="39">
      <c r="A39" s="129" t="s">
        <v>257</v>
      </c>
      <c r="B39" s="129" t="s">
        <v>274</v>
      </c>
      <c r="C39" s="129" t="s">
        <v>275</v>
      </c>
      <c r="D39" s="129" t="s">
        <v>276</v>
      </c>
      <c r="E39" s="129" t="s">
        <v>277</v>
      </c>
      <c r="F39" s="129" t="s">
        <v>278</v>
      </c>
      <c r="G39" s="129" t="s">
        <v>279</v>
      </c>
      <c r="H39" s="130" t="s">
        <v>280</v>
      </c>
      <c r="I39" s="130" t="s">
        <v>281</v>
      </c>
      <c r="J39" s="130" t="s">
        <v>282</v>
      </c>
      <c r="K39" s="130" t="s">
        <v>256</v>
      </c>
    </row>
    <row r="40">
      <c r="A40" s="131">
        <f>SUM(D33:D36)</f>
      </c>
      <c r="B40" s="132">
        <f>SUM(E33:E36)</f>
      </c>
      <c r="C40" s="132">
        <f>B40/((K40*300)+A40)</f>
      </c>
      <c r="D40" s="133">
        <f>A40/J40</f>
      </c>
      <c r="E40" s="132">
        <f>B40/J40</f>
      </c>
      <c r="F40" s="134">
        <f>J40/I40</f>
      </c>
      <c r="G40" s="134">
        <f>H40/J40</f>
      </c>
      <c r="H40" s="135">
        <v>2</v>
      </c>
      <c r="I40" s="135">
        <v>40</v>
      </c>
      <c r="J40" s="135">
        <f>F37</f>
      </c>
      <c r="K40" s="135">
        <f>C37</f>
      </c>
    </row>
    <row r="41">
      <c r="A41" s="120" t="s">
        <v>289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</row>
    <row r="42">
      <c r="A42" s="121" t="s">
        <v>254</v>
      </c>
      <c r="B42" s="121" t="s">
        <v>255</v>
      </c>
      <c r="C42" s="121" t="s">
        <v>256</v>
      </c>
      <c r="D42" s="121" t="s">
        <v>257</v>
      </c>
      <c r="E42" s="122" t="s">
        <v>258</v>
      </c>
      <c r="F42" s="121" t="s">
        <v>259</v>
      </c>
      <c r="G42" s="121" t="s">
        <v>260</v>
      </c>
      <c r="H42" s="121" t="s">
        <v>261</v>
      </c>
      <c r="I42" s="121" t="s">
        <v>262</v>
      </c>
      <c r="J42" s="121" t="s">
        <v>263</v>
      </c>
      <c r="K42" s="121"/>
    </row>
    <row r="43">
      <c r="A43" s="123" t="s">
        <v>286</v>
      </c>
      <c r="B43" s="124" t="s">
        <v>284</v>
      </c>
      <c r="C43" s="125">
        <v>4</v>
      </c>
      <c r="D43" s="125">
        <v>15653.95</v>
      </c>
      <c r="E43" s="125">
        <v>4147.2</v>
      </c>
      <c r="F43" s="125">
        <v>5</v>
      </c>
      <c r="G43" s="126">
        <f t="shared" ref="G43:G47" si="64">E43/F43</f>
      </c>
      <c r="H43" s="126">
        <f t="shared" ref="H43:H47" si="34">D43/F43</f>
      </c>
      <c r="I43" s="126">
        <f t="shared" ref="I43:I47" si="4">E43/D43</f>
      </c>
      <c r="J43" s="126">
        <f t="shared" ref="J43:J47" si="94">D43/C43</f>
      </c>
      <c r="K43" s="126"/>
    </row>
    <row r="44">
      <c r="A44" s="123" t="s">
        <v>264</v>
      </c>
      <c r="B44" s="124" t="s">
        <v>285</v>
      </c>
      <c r="C44" s="125">
        <v>4</v>
      </c>
      <c r="D44" s="125">
        <v>14449.21</v>
      </c>
      <c r="E44" s="125">
        <v>35602</v>
      </c>
      <c r="F44" s="125">
        <v>18</v>
      </c>
      <c r="G44" s="126">
        <f t="shared" si="64"/>
      </c>
      <c r="H44" s="126">
        <f t="shared" si="34"/>
      </c>
      <c r="I44" s="126">
        <f t="shared" si="4"/>
      </c>
      <c r="J44" s="126">
        <f t="shared" si="94"/>
      </c>
      <c r="K44" s="126"/>
    </row>
    <row r="45">
      <c r="A45" s="123" t="s">
        <v>268</v>
      </c>
      <c r="B45" s="124" t="s">
        <v>269</v>
      </c>
      <c r="C45" s="125">
        <v>4</v>
      </c>
      <c r="D45" s="125">
        <v>9510</v>
      </c>
      <c r="E45" s="125">
        <v>16893.6</v>
      </c>
      <c r="F45" s="125">
        <v>8</v>
      </c>
      <c r="G45" s="126">
        <f t="shared" si="64"/>
      </c>
      <c r="H45" s="126">
        <f t="shared" si="34"/>
      </c>
      <c r="I45" s="126">
        <f t="shared" si="4"/>
      </c>
      <c r="J45" s="126">
        <f t="shared" si="94"/>
      </c>
      <c r="K45" s="126"/>
    </row>
    <row r="46">
      <c r="A46" s="123" t="s">
        <v>270</v>
      </c>
      <c r="B46" s="124" t="s">
        <v>271</v>
      </c>
      <c r="C46" s="125">
        <v>4</v>
      </c>
      <c r="D46" s="125">
        <v>10438.969999999994</v>
      </c>
      <c r="E46" s="125">
        <v>9557.200000000004</v>
      </c>
      <c r="F46" s="125">
        <v>8</v>
      </c>
      <c r="G46" s="126">
        <f t="shared" si="64"/>
      </c>
      <c r="H46" s="126">
        <f t="shared" si="34"/>
      </c>
      <c r="I46" s="126">
        <f t="shared" si="4"/>
      </c>
      <c r="J46" s="126">
        <f t="shared" si="94"/>
      </c>
      <c r="K46" s="126"/>
    </row>
    <row r="47">
      <c r="A47" s="121" t="s">
        <v>272</v>
      </c>
      <c r="B47" s="121"/>
      <c r="C47" s="121">
        <f>SUM(C43:C46)</f>
      </c>
      <c r="D47" s="121">
        <f>SUM(D43:D46)</f>
      </c>
      <c r="E47" s="121">
        <f>SUM(E43:E46)</f>
      </c>
      <c r="F47" s="121">
        <f>SUM(F43:F46)</f>
      </c>
      <c r="G47" s="127">
        <f t="shared" si="64"/>
      </c>
      <c r="H47" s="127">
        <f t="shared" si="34"/>
      </c>
      <c r="I47" s="127">
        <f t="shared" si="4"/>
      </c>
      <c r="J47" s="127">
        <f t="shared" si="94"/>
      </c>
      <c r="K47" s="127"/>
    </row>
    <row r="48">
      <c r="A48" s="128" t="s">
        <v>273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</row>
    <row r="49">
      <c r="A49" s="129" t="s">
        <v>257</v>
      </c>
      <c r="B49" s="129" t="s">
        <v>274</v>
      </c>
      <c r="C49" s="129" t="s">
        <v>275</v>
      </c>
      <c r="D49" s="129" t="s">
        <v>276</v>
      </c>
      <c r="E49" s="129" t="s">
        <v>277</v>
      </c>
      <c r="F49" s="129" t="s">
        <v>278</v>
      </c>
      <c r="G49" s="129" t="s">
        <v>279</v>
      </c>
      <c r="H49" s="130" t="s">
        <v>280</v>
      </c>
      <c r="I49" s="130" t="s">
        <v>281</v>
      </c>
      <c r="J49" s="130" t="s">
        <v>282</v>
      </c>
      <c r="K49" s="130" t="s">
        <v>256</v>
      </c>
    </row>
    <row r="50">
      <c r="A50" s="131">
        <f>SUM(D43:D46)</f>
      </c>
      <c r="B50" s="132">
        <f>SUM(E43:E46)</f>
      </c>
      <c r="C50" s="132">
        <f>B50/((K50*300)+A50)</f>
      </c>
      <c r="D50" s="133">
        <f>A50/J50</f>
      </c>
      <c r="E50" s="132">
        <f>B50/J50</f>
      </c>
      <c r="F50" s="134">
        <f>J50/I50</f>
      </c>
      <c r="G50" s="134">
        <f>H50/J50</f>
      </c>
      <c r="H50" s="135">
        <v>4</v>
      </c>
      <c r="I50" s="135">
        <v>59</v>
      </c>
      <c r="J50" s="135">
        <f>F47</f>
      </c>
      <c r="K50" s="135">
        <f>C47</f>
      </c>
    </row>
    <row r="51">
      <c r="D51">
        <f>D52-D47</f>
      </c>
      <c r="E51">
        <f>E52-E47</f>
      </c>
    </row>
    <row r="52">
      <c r="A52" s="120" t="s">
        <v>290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</row>
    <row r="53">
      <c r="A53" s="121" t="s">
        <v>254</v>
      </c>
      <c r="B53" s="121" t="s">
        <v>255</v>
      </c>
      <c r="C53" s="121" t="s">
        <v>256</v>
      </c>
      <c r="D53" s="121" t="s">
        <v>257</v>
      </c>
      <c r="E53" s="122" t="s">
        <v>258</v>
      </c>
      <c r="F53" s="121" t="s">
        <v>259</v>
      </c>
      <c r="G53" s="121" t="s">
        <v>260</v>
      </c>
      <c r="H53" s="121" t="s">
        <v>261</v>
      </c>
      <c r="I53" s="121" t="s">
        <v>262</v>
      </c>
      <c r="J53" s="121" t="s">
        <v>263</v>
      </c>
      <c r="K53" s="121"/>
    </row>
    <row r="54">
      <c r="A54" s="123" t="s">
        <v>286</v>
      </c>
      <c r="B54" s="124" t="s">
        <v>284</v>
      </c>
      <c r="C54" s="125">
        <v>4</v>
      </c>
      <c r="D54" s="125">
        <v>13651.99</v>
      </c>
      <c r="E54" s="125">
        <v>13892.4</v>
      </c>
      <c r="F54" s="125">
        <v>9</v>
      </c>
      <c r="G54" s="126">
        <f t="shared" ref="G54:G58" si="65">E54/F54</f>
      </c>
      <c r="H54" s="126">
        <f t="shared" ref="H54:H58" si="35">D54/F54</f>
      </c>
      <c r="I54" s="126">
        <f t="shared" ref="I54:I58" si="5">E54/D54</f>
      </c>
      <c r="J54" s="126">
        <f t="shared" ref="J54:J58" si="95">D54/C54</f>
      </c>
      <c r="K54" s="126"/>
    </row>
    <row r="55">
      <c r="A55" s="123" t="s">
        <v>266</v>
      </c>
      <c r="B55" s="124" t="s">
        <v>285</v>
      </c>
      <c r="C55" s="125">
        <v>4</v>
      </c>
      <c r="D55" s="125">
        <v>12374.610000000002</v>
      </c>
      <c r="E55" s="125">
        <v>5785.4</v>
      </c>
      <c r="F55" s="125">
        <v>7</v>
      </c>
      <c r="G55" s="126">
        <f t="shared" si="65"/>
      </c>
      <c r="H55" s="126">
        <f t="shared" si="35"/>
      </c>
      <c r="I55" s="126">
        <f t="shared" si="5"/>
      </c>
      <c r="J55" s="126">
        <f t="shared" si="95"/>
      </c>
      <c r="K55" s="126"/>
    </row>
    <row r="56">
      <c r="A56" s="123" t="s">
        <v>270</v>
      </c>
      <c r="B56" s="124" t="s">
        <v>269</v>
      </c>
      <c r="C56" s="125">
        <v>4</v>
      </c>
      <c r="D56" s="125">
        <v>10067.810000000001</v>
      </c>
      <c r="E56" s="125">
        <v>6272.799999999999</v>
      </c>
      <c r="F56" s="125">
        <v>6</v>
      </c>
      <c r="G56" s="126">
        <f t="shared" si="65"/>
      </c>
      <c r="H56" s="126">
        <f t="shared" si="35"/>
      </c>
      <c r="I56" s="126">
        <f t="shared" si="5"/>
      </c>
      <c r="J56" s="126">
        <f t="shared" si="95"/>
      </c>
      <c r="K56" s="126"/>
    </row>
    <row r="57">
      <c r="A57" s="123" t="s">
        <v>268</v>
      </c>
      <c r="B57" s="124" t="s">
        <v>271</v>
      </c>
      <c r="C57" s="125">
        <v>4</v>
      </c>
      <c r="D57" s="125">
        <v>14285.039999999994</v>
      </c>
      <c r="E57" s="125">
        <v>28871.6</v>
      </c>
      <c r="F57" s="125">
        <v>11</v>
      </c>
      <c r="G57" s="126">
        <f t="shared" si="65"/>
      </c>
      <c r="H57" s="126">
        <f t="shared" si="35"/>
      </c>
      <c r="I57" s="126">
        <f t="shared" si="5"/>
      </c>
      <c r="J57" s="126">
        <f t="shared" si="95"/>
      </c>
      <c r="K57" s="126"/>
    </row>
    <row r="58">
      <c r="A58" s="121" t="s">
        <v>272</v>
      </c>
      <c r="B58" s="121"/>
      <c r="C58" s="121">
        <f>SUM(C54:C57)</f>
      </c>
      <c r="D58" s="121">
        <f>SUM(D54:D57)</f>
      </c>
      <c r="E58" s="121">
        <f>SUM(E54:E57)</f>
      </c>
      <c r="F58" s="121">
        <f>SUM(F54:F57)</f>
      </c>
      <c r="G58" s="127">
        <f t="shared" si="65"/>
      </c>
      <c r="H58" s="127">
        <f t="shared" si="35"/>
      </c>
      <c r="I58" s="127">
        <f t="shared" si="5"/>
      </c>
      <c r="J58" s="127">
        <f t="shared" si="95"/>
      </c>
      <c r="K58" s="127"/>
    </row>
    <row r="59">
      <c r="A59" s="128" t="s">
        <v>273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</row>
    <row r="60">
      <c r="A60" s="129" t="s">
        <v>257</v>
      </c>
      <c r="B60" s="129" t="s">
        <v>274</v>
      </c>
      <c r="C60" s="129" t="s">
        <v>275</v>
      </c>
      <c r="D60" s="129" t="s">
        <v>276</v>
      </c>
      <c r="E60" s="129" t="s">
        <v>277</v>
      </c>
      <c r="F60" s="129" t="s">
        <v>278</v>
      </c>
      <c r="G60" s="129" t="s">
        <v>279</v>
      </c>
      <c r="H60" s="130" t="s">
        <v>280</v>
      </c>
      <c r="I60" s="130" t="s">
        <v>281</v>
      </c>
      <c r="J60" s="130" t="s">
        <v>282</v>
      </c>
      <c r="K60" s="130" t="s">
        <v>256</v>
      </c>
    </row>
    <row r="61">
      <c r="A61" s="131">
        <f>SUM(D54:D57)</f>
      </c>
      <c r="B61" s="132">
        <f>SUM(E54:E57)</f>
      </c>
      <c r="C61" s="132">
        <f>B61/((K61*300)+A61)</f>
      </c>
      <c r="D61" s="133">
        <f>A61/J61</f>
      </c>
      <c r="E61" s="132">
        <f>B61/J61</f>
      </c>
      <c r="F61" s="134">
        <f>J61/I61</f>
      </c>
      <c r="G61" s="134">
        <f>H61/J61</f>
      </c>
      <c r="H61" s="135">
        <v>1</v>
      </c>
      <c r="I61" s="135">
        <v>64</v>
      </c>
      <c r="J61" s="135">
        <f>F58</f>
      </c>
      <c r="K61" s="135">
        <f>C58</f>
      </c>
    </row>
    <row r="62">
      <c r="D62">
        <f>D63-D58</f>
      </c>
      <c r="E62">
        <f>E63-E58</f>
      </c>
    </row>
    <row r="63">
      <c r="A63" s="120" t="s">
        <v>291</v>
      </c>
      <c r="B63" s="120"/>
      <c r="C63" s="120"/>
      <c r="D63" s="120"/>
      <c r="E63" s="120"/>
      <c r="F63" s="120"/>
      <c r="G63" s="120"/>
      <c r="H63" s="120"/>
      <c r="I63" s="120"/>
      <c r="J63" s="120"/>
      <c r="K63" s="120"/>
    </row>
    <row r="64">
      <c r="A64" s="121" t="s">
        <v>254</v>
      </c>
      <c r="B64" s="121" t="s">
        <v>255</v>
      </c>
      <c r="C64" s="121" t="s">
        <v>256</v>
      </c>
      <c r="D64" s="121" t="s">
        <v>257</v>
      </c>
      <c r="E64" s="122" t="s">
        <v>258</v>
      </c>
      <c r="F64" s="121" t="s">
        <v>259</v>
      </c>
      <c r="G64" s="121" t="s">
        <v>260</v>
      </c>
      <c r="H64" s="121" t="s">
        <v>261</v>
      </c>
      <c r="I64" s="121" t="s">
        <v>262</v>
      </c>
      <c r="J64" s="121" t="s">
        <v>263</v>
      </c>
      <c r="K64" s="121"/>
    </row>
    <row r="65">
      <c r="A65" s="123" t="s">
        <v>270</v>
      </c>
      <c r="B65" s="124" t="s">
        <v>284</v>
      </c>
      <c r="C65" s="125">
        <v>4</v>
      </c>
      <c r="D65" s="125">
        <v>14624.33</v>
      </c>
      <c r="E65" s="125">
        <v>9922.4</v>
      </c>
      <c r="F65" s="125">
        <v>8</v>
      </c>
      <c r="G65" s="126">
        <f t="shared" ref="G65:G69" si="66">E65/F65</f>
      </c>
      <c r="H65" s="126">
        <f t="shared" ref="H65:H69" si="36">D65/F65</f>
      </c>
      <c r="I65" s="126">
        <f t="shared" ref="I65:I69" si="6">E65/D65</f>
      </c>
      <c r="J65" s="126">
        <f t="shared" ref="J65:J69" si="96">D65/C65</f>
      </c>
      <c r="K65" s="126"/>
    </row>
    <row r="66">
      <c r="A66" s="123" t="s">
        <v>268</v>
      </c>
      <c r="B66" s="124" t="s">
        <v>285</v>
      </c>
      <c r="C66" s="125">
        <v>4</v>
      </c>
      <c r="D66" s="125">
        <v>7481.319999999998</v>
      </c>
      <c r="E66" s="125">
        <v>8998.800000000001</v>
      </c>
      <c r="F66" s="125">
        <v>6</v>
      </c>
      <c r="G66" s="126">
        <f t="shared" si="66"/>
      </c>
      <c r="H66" s="126">
        <f t="shared" si="36"/>
      </c>
      <c r="I66" s="126">
        <f t="shared" si="6"/>
      </c>
      <c r="J66" s="126">
        <f t="shared" si="96"/>
      </c>
      <c r="K66" s="126"/>
    </row>
    <row r="67">
      <c r="A67" s="123" t="s">
        <v>266</v>
      </c>
      <c r="B67" s="124" t="s">
        <v>269</v>
      </c>
      <c r="C67" s="125">
        <v>4</v>
      </c>
      <c r="D67" s="125">
        <v>13073.139999999996</v>
      </c>
      <c r="E67" s="125">
        <v>13165.2</v>
      </c>
      <c r="F67" s="125">
        <v>8</v>
      </c>
      <c r="G67" s="126">
        <f t="shared" si="66"/>
      </c>
      <c r="H67" s="126">
        <f t="shared" si="36"/>
      </c>
      <c r="I67" s="126">
        <f t="shared" si="6"/>
      </c>
      <c r="J67" s="126">
        <f t="shared" si="96"/>
      </c>
      <c r="K67" s="126"/>
    </row>
    <row r="68">
      <c r="A68" s="123" t="s">
        <v>264</v>
      </c>
      <c r="B68" s="124" t="s">
        <v>271</v>
      </c>
      <c r="C68" s="125">
        <v>4</v>
      </c>
      <c r="D68" s="125">
        <v>17846.6</v>
      </c>
      <c r="E68" s="125">
        <v>13059.200000000004</v>
      </c>
      <c r="F68" s="125">
        <v>6</v>
      </c>
      <c r="G68" s="126">
        <f t="shared" si="66"/>
      </c>
      <c r="H68" s="126">
        <f t="shared" si="36"/>
      </c>
      <c r="I68" s="126">
        <f t="shared" si="6"/>
      </c>
      <c r="J68" s="126">
        <f t="shared" si="96"/>
      </c>
      <c r="K68" s="126"/>
    </row>
    <row r="69">
      <c r="A69" s="121" t="s">
        <v>272</v>
      </c>
      <c r="B69" s="121"/>
      <c r="C69" s="121">
        <f>SUM(C65:C68)</f>
      </c>
      <c r="D69" s="121">
        <f>SUM(D65:D68)</f>
      </c>
      <c r="E69" s="121">
        <f>SUM(E65:E68)</f>
      </c>
      <c r="F69" s="121">
        <f>SUM(F65:F68)</f>
      </c>
      <c r="G69" s="127">
        <f t="shared" si="66"/>
      </c>
      <c r="H69" s="127">
        <f t="shared" si="36"/>
      </c>
      <c r="I69" s="127">
        <f t="shared" si="6"/>
      </c>
      <c r="J69" s="127">
        <f t="shared" si="96"/>
      </c>
      <c r="K69" s="127"/>
    </row>
    <row r="70">
      <c r="A70" s="128" t="s">
        <v>273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</row>
    <row r="71">
      <c r="A71" s="129" t="s">
        <v>257</v>
      </c>
      <c r="B71" s="129" t="s">
        <v>274</v>
      </c>
      <c r="C71" s="129" t="s">
        <v>275</v>
      </c>
      <c r="D71" s="129" t="s">
        <v>276</v>
      </c>
      <c r="E71" s="129" t="s">
        <v>277</v>
      </c>
      <c r="F71" s="129" t="s">
        <v>278</v>
      </c>
      <c r="G71" s="129" t="s">
        <v>279</v>
      </c>
      <c r="H71" s="130" t="s">
        <v>280</v>
      </c>
      <c r="I71" s="130" t="s">
        <v>281</v>
      </c>
      <c r="J71" s="130" t="s">
        <v>282</v>
      </c>
      <c r="K71" s="130" t="s">
        <v>256</v>
      </c>
    </row>
    <row r="72">
      <c r="A72" s="131">
        <f>SUM(D65:D68)</f>
      </c>
      <c r="B72" s="132">
        <f>SUM(E65:E68)</f>
      </c>
      <c r="C72" s="132">
        <f>B72/((K72*300)+A72)</f>
      </c>
      <c r="D72" s="133">
        <f>A72/J72</f>
      </c>
      <c r="E72" s="132">
        <f>B72/J72</f>
      </c>
      <c r="F72" s="134">
        <f>J72/I72</f>
      </c>
      <c r="G72" s="134">
        <f>H72/J72</f>
      </c>
      <c r="H72" s="135">
        <v>0</v>
      </c>
      <c r="I72" s="135">
        <v>53</v>
      </c>
      <c r="J72" s="135">
        <f>F69</f>
      </c>
      <c r="K72" s="135">
        <f>C69</f>
      </c>
    </row>
    <row r="73">
      <c r="D73">
        <f>D74-D69</f>
      </c>
      <c r="E73">
        <f>E74-E69</f>
      </c>
    </row>
    <row r="74">
      <c r="A74" s="120" t="s">
        <v>292</v>
      </c>
      <c r="B74" s="120"/>
      <c r="C74" s="120"/>
      <c r="D74" s="120"/>
      <c r="E74" s="120"/>
      <c r="F74" s="120"/>
      <c r="G74" s="120"/>
      <c r="H74" s="120"/>
      <c r="I74" s="120"/>
      <c r="J74" s="120"/>
      <c r="K74" s="120"/>
    </row>
    <row r="75">
      <c r="A75" s="121" t="s">
        <v>254</v>
      </c>
      <c r="B75" s="121" t="s">
        <v>255</v>
      </c>
      <c r="C75" s="121" t="s">
        <v>256</v>
      </c>
      <c r="D75" s="121" t="s">
        <v>257</v>
      </c>
      <c r="E75" s="122" t="s">
        <v>258</v>
      </c>
      <c r="F75" s="121" t="s">
        <v>259</v>
      </c>
      <c r="G75" s="121" t="s">
        <v>260</v>
      </c>
      <c r="H75" s="121" t="s">
        <v>261</v>
      </c>
      <c r="I75" s="121" t="s">
        <v>262</v>
      </c>
      <c r="J75" s="121" t="s">
        <v>263</v>
      </c>
      <c r="K75" s="121"/>
    </row>
    <row r="76">
      <c r="A76" s="123" t="s">
        <v>286</v>
      </c>
      <c r="B76" s="124" t="s">
        <v>284</v>
      </c>
      <c r="C76" s="125">
        <v>4</v>
      </c>
      <c r="D76" s="125">
        <v>9086.79</v>
      </c>
      <c r="E76" s="125">
        <v>12417.6</v>
      </c>
      <c r="F76" s="125">
        <v>8</v>
      </c>
      <c r="G76" s="126">
        <f t="shared" ref="G76:G80" si="67">E76/F76</f>
      </c>
      <c r="H76" s="126">
        <f t="shared" ref="H76:H80" si="37">D76/F76</f>
      </c>
      <c r="I76" s="126">
        <f t="shared" ref="I76:I80" si="7">E76/D76</f>
      </c>
      <c r="J76" s="126">
        <f t="shared" ref="J76:J80" si="97">D76/C76</f>
      </c>
      <c r="K76" s="126"/>
    </row>
    <row r="77">
      <c r="A77" s="123" t="s">
        <v>264</v>
      </c>
      <c r="B77" s="124" t="s">
        <v>285</v>
      </c>
      <c r="C77" s="125">
        <v>4</v>
      </c>
      <c r="D77" s="125">
        <v>10473.66</v>
      </c>
      <c r="E77" s="125">
        <v>20403.6</v>
      </c>
      <c r="F77" s="125">
        <v>8</v>
      </c>
      <c r="G77" s="126">
        <f t="shared" si="67"/>
      </c>
      <c r="H77" s="126">
        <f t="shared" si="37"/>
      </c>
      <c r="I77" s="126">
        <f t="shared" si="7"/>
      </c>
      <c r="J77" s="126">
        <f t="shared" si="97"/>
      </c>
      <c r="K77" s="126"/>
    </row>
    <row r="78">
      <c r="A78" s="123" t="s">
        <v>266</v>
      </c>
      <c r="B78" s="124" t="s">
        <v>269</v>
      </c>
      <c r="C78" s="125">
        <v>4</v>
      </c>
      <c r="D78" s="125">
        <v>11153.139999999996</v>
      </c>
      <c r="E78" s="125">
        <v>6712.4000000000015</v>
      </c>
      <c r="F78" s="125">
        <v>7</v>
      </c>
      <c r="G78" s="126">
        <f t="shared" si="67"/>
      </c>
      <c r="H78" s="126">
        <f t="shared" si="37"/>
      </c>
      <c r="I78" s="126">
        <f t="shared" si="7"/>
      </c>
      <c r="J78" s="126">
        <f t="shared" si="97"/>
      </c>
      <c r="K78" s="126"/>
    </row>
    <row r="79">
      <c r="A79" s="123" t="s">
        <v>268</v>
      </c>
      <c r="B79" s="124" t="s">
        <v>271</v>
      </c>
      <c r="C79" s="125">
        <v>4</v>
      </c>
      <c r="D79" s="125">
        <v>11709.630000000005</v>
      </c>
      <c r="E79" s="125">
        <v>9962</v>
      </c>
      <c r="F79" s="125">
        <v>10</v>
      </c>
      <c r="G79" s="126">
        <f t="shared" si="67"/>
      </c>
      <c r="H79" s="126">
        <f t="shared" si="37"/>
      </c>
      <c r="I79" s="126">
        <f t="shared" si="7"/>
      </c>
      <c r="J79" s="126">
        <f t="shared" si="97"/>
      </c>
      <c r="K79" s="126"/>
    </row>
    <row r="80">
      <c r="A80" s="121" t="s">
        <v>272</v>
      </c>
      <c r="B80" s="121"/>
      <c r="C80" s="121">
        <f>SUM(C76:C79)</f>
      </c>
      <c r="D80" s="121">
        <f>SUM(D76:D79)</f>
      </c>
      <c r="E80" s="121">
        <f>SUM(E76:E79)</f>
      </c>
      <c r="F80" s="121">
        <f>SUM(F76:F79)</f>
      </c>
      <c r="G80" s="127">
        <f t="shared" si="67"/>
      </c>
      <c r="H80" s="127">
        <f t="shared" si="37"/>
      </c>
      <c r="I80" s="127">
        <f t="shared" si="7"/>
      </c>
      <c r="J80" s="127">
        <f t="shared" si="97"/>
      </c>
      <c r="K80" s="127"/>
    </row>
    <row r="81">
      <c r="A81" s="128" t="s">
        <v>273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</row>
    <row r="82">
      <c r="A82" s="129" t="s">
        <v>257</v>
      </c>
      <c r="B82" s="129" t="s">
        <v>274</v>
      </c>
      <c r="C82" s="129" t="s">
        <v>275</v>
      </c>
      <c r="D82" s="129" t="s">
        <v>276</v>
      </c>
      <c r="E82" s="129" t="s">
        <v>277</v>
      </c>
      <c r="F82" s="129" t="s">
        <v>278</v>
      </c>
      <c r="G82" s="129" t="s">
        <v>279</v>
      </c>
      <c r="H82" s="130" t="s">
        <v>280</v>
      </c>
      <c r="I82" s="130" t="s">
        <v>281</v>
      </c>
      <c r="J82" s="130" t="s">
        <v>282</v>
      </c>
      <c r="K82" s="130" t="s">
        <v>256</v>
      </c>
    </row>
    <row r="83">
      <c r="A83" s="131">
        <f>SUM(D76:D79)</f>
      </c>
      <c r="B83" s="132">
        <f>SUM(E76:E79)</f>
      </c>
      <c r="C83" s="132">
        <f>B83/((K83*300)+A83)</f>
      </c>
      <c r="D83" s="133">
        <f>A83/J83</f>
      </c>
      <c r="E83" s="132">
        <f>B83/J83</f>
      </c>
      <c r="F83" s="134">
        <f>J83/I83</f>
      </c>
      <c r="G83" s="134">
        <f>H83/J83</f>
      </c>
      <c r="H83" s="135">
        <v>4</v>
      </c>
      <c r="I83" s="135">
        <v>59</v>
      </c>
      <c r="J83" s="135">
        <f>F80</f>
      </c>
      <c r="K83" s="135">
        <f>C80</f>
      </c>
    </row>
    <row r="84">
      <c r="D84">
        <f>D85-D80</f>
      </c>
      <c r="E84">
        <f>E85-E80</f>
      </c>
    </row>
    <row r="85">
      <c r="A85" s="120" t="s">
        <v>293</v>
      </c>
      <c r="B85" s="120"/>
      <c r="C85" s="120"/>
      <c r="D85" s="120"/>
      <c r="E85" s="120"/>
      <c r="F85" s="120"/>
      <c r="G85" s="120"/>
      <c r="H85" s="120"/>
      <c r="I85" s="120"/>
      <c r="J85" s="120"/>
      <c r="K85" s="120"/>
    </row>
    <row r="86">
      <c r="A86" s="121" t="s">
        <v>254</v>
      </c>
      <c r="B86" s="121" t="s">
        <v>255</v>
      </c>
      <c r="C86" s="121" t="s">
        <v>256</v>
      </c>
      <c r="D86" s="121" t="s">
        <v>257</v>
      </c>
      <c r="E86" s="122" t="s">
        <v>258</v>
      </c>
      <c r="F86" s="121" t="s">
        <v>259</v>
      </c>
      <c r="G86" s="121" t="s">
        <v>260</v>
      </c>
      <c r="H86" s="121" t="s">
        <v>261</v>
      </c>
      <c r="I86" s="121" t="s">
        <v>262</v>
      </c>
      <c r="J86" s="121" t="s">
        <v>263</v>
      </c>
      <c r="K86" s="121"/>
    </row>
    <row r="87">
      <c r="A87" s="123" t="s">
        <v>286</v>
      </c>
      <c r="B87" s="124" t="s">
        <v>284</v>
      </c>
      <c r="C87" s="125">
        <v>4</v>
      </c>
      <c r="D87" s="125">
        <v>8889.769999999999</v>
      </c>
      <c r="E87" s="125">
        <v>4392.8</v>
      </c>
      <c r="F87" s="125">
        <v>5</v>
      </c>
      <c r="G87" s="126">
        <f t="shared" ref="G87:G91" si="68">E87/F87</f>
      </c>
      <c r="H87" s="126">
        <f t="shared" ref="H87:H91" si="38">D87/F87</f>
      </c>
      <c r="I87" s="126">
        <f t="shared" ref="I87:I91" si="8">E87/D87</f>
      </c>
      <c r="J87" s="126">
        <f t="shared" ref="J87:J91" si="98">D87/C87</f>
      </c>
      <c r="K87" s="126"/>
    </row>
    <row r="88">
      <c r="A88" s="123" t="s">
        <v>266</v>
      </c>
      <c r="B88" s="124" t="s">
        <v>285</v>
      </c>
      <c r="C88" s="125">
        <v>4</v>
      </c>
      <c r="D88" s="125">
        <v>11904.140000000005</v>
      </c>
      <c r="E88" s="125">
        <v>21074.600000000002</v>
      </c>
      <c r="F88" s="125">
        <v>13</v>
      </c>
      <c r="G88" s="126">
        <f t="shared" si="68"/>
      </c>
      <c r="H88" s="126">
        <f t="shared" si="38"/>
      </c>
      <c r="I88" s="126">
        <f t="shared" si="8"/>
      </c>
      <c r="J88" s="126">
        <f t="shared" si="98"/>
      </c>
      <c r="K88" s="126"/>
    </row>
    <row r="89">
      <c r="A89" s="123" t="s">
        <v>268</v>
      </c>
      <c r="B89" s="124" t="s">
        <v>269</v>
      </c>
      <c r="C89" s="125">
        <v>4</v>
      </c>
      <c r="D89" s="125">
        <v>7100.309999999998</v>
      </c>
      <c r="E89" s="125">
        <v>14844.849999999999</v>
      </c>
      <c r="F89" s="125">
        <v>6</v>
      </c>
      <c r="G89" s="126">
        <f t="shared" si="68"/>
      </c>
      <c r="H89" s="126">
        <f t="shared" si="38"/>
      </c>
      <c r="I89" s="126">
        <f t="shared" si="8"/>
      </c>
      <c r="J89" s="126">
        <f t="shared" si="98"/>
      </c>
      <c r="K89" s="126"/>
    </row>
    <row r="90">
      <c r="A90" s="123" t="s">
        <v>270</v>
      </c>
      <c r="B90" s="124" t="s">
        <v>271</v>
      </c>
      <c r="C90" s="125">
        <v>4</v>
      </c>
      <c r="D90" s="125">
        <v>6270.109999999993</v>
      </c>
      <c r="E90" s="125">
        <v>10029.599999999999</v>
      </c>
      <c r="F90" s="125">
        <v>6</v>
      </c>
      <c r="G90" s="126">
        <f t="shared" si="68"/>
      </c>
      <c r="H90" s="126">
        <f t="shared" si="38"/>
      </c>
      <c r="I90" s="126">
        <f t="shared" si="8"/>
      </c>
      <c r="J90" s="126">
        <f t="shared" si="98"/>
      </c>
      <c r="K90" s="126"/>
    </row>
    <row r="91">
      <c r="A91" s="121" t="s">
        <v>272</v>
      </c>
      <c r="B91" s="121"/>
      <c r="C91" s="121">
        <f>SUM(C87:C90)</f>
      </c>
      <c r="D91" s="121">
        <f>SUM(D87:D90)</f>
      </c>
      <c r="E91" s="121">
        <f>SUM(E87:E90)</f>
      </c>
      <c r="F91" s="121">
        <f>SUM(F87:F90)</f>
      </c>
      <c r="G91" s="127">
        <f t="shared" si="68"/>
      </c>
      <c r="H91" s="127">
        <f t="shared" si="38"/>
      </c>
      <c r="I91" s="127">
        <f t="shared" si="8"/>
      </c>
      <c r="J91" s="127">
        <f t="shared" si="98"/>
      </c>
      <c r="K91" s="127"/>
    </row>
    <row r="92">
      <c r="A92" s="128" t="s">
        <v>273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</row>
    <row r="93">
      <c r="A93" s="129" t="s">
        <v>257</v>
      </c>
      <c r="B93" s="129" t="s">
        <v>274</v>
      </c>
      <c r="C93" s="129" t="s">
        <v>275</v>
      </c>
      <c r="D93" s="129" t="s">
        <v>276</v>
      </c>
      <c r="E93" s="129" t="s">
        <v>277</v>
      </c>
      <c r="F93" s="129" t="s">
        <v>278</v>
      </c>
      <c r="G93" s="129" t="s">
        <v>279</v>
      </c>
      <c r="H93" s="130" t="s">
        <v>280</v>
      </c>
      <c r="I93" s="130" t="s">
        <v>281</v>
      </c>
      <c r="J93" s="130" t="s">
        <v>282</v>
      </c>
      <c r="K93" s="130" t="s">
        <v>256</v>
      </c>
    </row>
    <row r="94">
      <c r="A94" s="131">
        <f>SUM(D87:D90)</f>
      </c>
      <c r="B94" s="132">
        <f>SUM(E87:E90)</f>
      </c>
      <c r="C94" s="132">
        <f>B94/((K94*300)+A94)</f>
      </c>
      <c r="D94" s="133">
        <f>A94/J94</f>
      </c>
      <c r="E94" s="132">
        <f>B94/J94</f>
      </c>
      <c r="F94" s="134">
        <f>J94/I94</f>
      </c>
      <c r="G94" s="134">
        <f>H94/J94</f>
      </c>
      <c r="H94" s="135">
        <v>2</v>
      </c>
      <c r="I94" s="135">
        <v>58</v>
      </c>
      <c r="J94" s="135">
        <f>F91</f>
      </c>
      <c r="K94" s="135">
        <f>C91</f>
      </c>
    </row>
    <row r="95">
      <c r="D95">
        <f>D96-D91</f>
      </c>
      <c r="E95">
        <f>E96-E91</f>
      </c>
    </row>
    <row r="96">
      <c r="A96" s="136" t="s">
        <v>294</v>
      </c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8"/>
      <c r="M96" s="138"/>
      <c r="N96" s="138"/>
      <c r="O96" s="138"/>
      <c r="P96" s="138"/>
      <c r="Q96" s="138"/>
      <c r="R96" s="138"/>
      <c r="S96" s="138"/>
      <c r="T96" s="138"/>
    </row>
    <row r="97">
      <c r="A97" s="139" t="s">
        <v>254</v>
      </c>
      <c r="B97" s="139" t="s">
        <v>255</v>
      </c>
      <c r="C97" s="139" t="s">
        <v>256</v>
      </c>
      <c r="D97" s="139" t="s">
        <v>257</v>
      </c>
      <c r="E97" s="140" t="s">
        <v>258</v>
      </c>
      <c r="F97" s="139" t="s">
        <v>259</v>
      </c>
      <c r="G97" s="139" t="s">
        <v>260</v>
      </c>
      <c r="H97" s="139" t="s">
        <v>261</v>
      </c>
      <c r="I97" s="139" t="s">
        <v>262</v>
      </c>
      <c r="J97" s="139" t="s">
        <v>263</v>
      </c>
      <c r="K97" s="139"/>
      <c r="L97" s="138"/>
      <c r="M97" s="138"/>
      <c r="N97" s="138"/>
      <c r="O97" s="138"/>
      <c r="P97" s="138"/>
      <c r="Q97" s="138"/>
      <c r="R97" s="138"/>
      <c r="S97" s="138"/>
      <c r="T97" s="138"/>
    </row>
    <row r="98">
      <c r="A98" s="141" t="s">
        <v>286</v>
      </c>
      <c r="B98" s="142" t="s">
        <v>285</v>
      </c>
      <c r="C98" s="143">
        <v>4</v>
      </c>
      <c r="D98" s="144">
        <v>12224.32</v>
      </c>
      <c r="E98" s="144">
        <v>28602.6</v>
      </c>
      <c r="F98" s="144">
        <v>17</v>
      </c>
      <c r="G98" s="145">
        <f t="shared" ref="G98:G101" si="69">E98/F98</f>
      </c>
      <c r="H98" s="145">
        <f t="shared" ref="H98:H101" si="39">D98/F98</f>
      </c>
      <c r="I98" s="145">
        <f t="shared" ref="I98:I101" si="9">E98/D98</f>
      </c>
      <c r="J98" s="145">
        <f t="shared" ref="J98:J101" si="99">D98/C98</f>
      </c>
      <c r="K98" s="145"/>
      <c r="L98" s="138"/>
      <c r="M98" s="138"/>
      <c r="N98" s="138"/>
      <c r="O98" s="138"/>
      <c r="P98" s="138"/>
      <c r="Q98" s="138"/>
      <c r="R98" s="138"/>
      <c r="S98" s="138"/>
      <c r="T98" s="138"/>
    </row>
    <row r="99">
      <c r="A99" s="141" t="s">
        <v>266</v>
      </c>
      <c r="B99" s="142" t="s">
        <v>269</v>
      </c>
      <c r="C99" s="143">
        <v>4</v>
      </c>
      <c r="D99" s="143">
        <v>6439.130000000001</v>
      </c>
      <c r="E99" s="143">
        <v>7299.200000000004</v>
      </c>
      <c r="F99" s="144">
        <v>4</v>
      </c>
      <c r="G99" s="145">
        <f t="shared" si="69"/>
      </c>
      <c r="H99" s="145">
        <f t="shared" si="39"/>
      </c>
      <c r="I99" s="145">
        <f t="shared" si="9"/>
      </c>
      <c r="J99" s="145">
        <f t="shared" si="99"/>
      </c>
      <c r="K99" s="145"/>
      <c r="L99" s="138"/>
      <c r="M99" s="138"/>
      <c r="N99" s="138"/>
      <c r="O99" s="138"/>
      <c r="P99" s="138"/>
      <c r="Q99" s="138"/>
      <c r="R99" s="138"/>
      <c r="S99" s="138"/>
      <c r="T99" s="138"/>
    </row>
    <row r="100">
      <c r="A100" s="146" t="s">
        <v>264</v>
      </c>
      <c r="B100" s="142" t="s">
        <v>271</v>
      </c>
      <c r="C100" s="143">
        <v>4</v>
      </c>
      <c r="D100" s="143">
        <v>6850.5999999999985</v>
      </c>
      <c r="E100" s="143">
        <v>13065.800000000003</v>
      </c>
      <c r="F100" s="144">
        <v>8</v>
      </c>
      <c r="G100" s="145">
        <f t="shared" si="69"/>
      </c>
      <c r="H100" s="145">
        <f t="shared" si="39"/>
      </c>
      <c r="I100" s="145">
        <f t="shared" si="9"/>
      </c>
      <c r="J100" s="145">
        <f t="shared" si="99"/>
      </c>
      <c r="K100" s="145"/>
      <c r="L100" s="138"/>
      <c r="M100" s="138"/>
      <c r="N100" s="138"/>
      <c r="O100" s="138"/>
      <c r="P100" s="138"/>
      <c r="Q100" s="138"/>
      <c r="R100" s="138"/>
      <c r="S100" s="138"/>
      <c r="T100" s="138"/>
    </row>
    <row r="101">
      <c r="A101" s="139" t="s">
        <v>272</v>
      </c>
      <c r="B101" s="139"/>
      <c r="C101" s="139">
        <f>SUM(C98:C100)</f>
      </c>
      <c r="D101" s="139">
        <f>SUM(D98:D100)</f>
      </c>
      <c r="E101" s="139">
        <f>SUM(E98:E100)</f>
      </c>
      <c r="F101" s="139">
        <f>SUM(F98:F100)</f>
      </c>
      <c r="G101" s="147">
        <f t="shared" si="69"/>
      </c>
      <c r="H101" s="147">
        <f t="shared" si="39"/>
      </c>
      <c r="I101" s="147">
        <f t="shared" si="9"/>
      </c>
      <c r="J101" s="147">
        <f t="shared" si="99"/>
      </c>
      <c r="K101" s="147"/>
      <c r="L101" s="138"/>
      <c r="M101" s="138"/>
      <c r="N101" s="138"/>
      <c r="O101" s="138"/>
      <c r="P101" s="138"/>
      <c r="Q101" s="138"/>
      <c r="R101" s="138"/>
      <c r="S101" s="138"/>
      <c r="T101" s="138"/>
    </row>
    <row r="102">
      <c r="A102" s="148" t="s">
        <v>273</v>
      </c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38"/>
      <c r="M102" s="138"/>
      <c r="N102" s="138"/>
      <c r="O102" s="138"/>
      <c r="P102" s="138"/>
      <c r="Q102" s="138"/>
      <c r="R102" s="138"/>
      <c r="S102" s="138"/>
      <c r="T102" s="138"/>
    </row>
    <row r="103">
      <c r="A103" s="149" t="s">
        <v>257</v>
      </c>
      <c r="B103" s="149" t="s">
        <v>274</v>
      </c>
      <c r="C103" s="149" t="s">
        <v>275</v>
      </c>
      <c r="D103" s="149" t="s">
        <v>276</v>
      </c>
      <c r="E103" s="149" t="s">
        <v>277</v>
      </c>
      <c r="F103" s="149" t="s">
        <v>278</v>
      </c>
      <c r="G103" s="149" t="s">
        <v>279</v>
      </c>
      <c r="H103" s="150" t="s">
        <v>280</v>
      </c>
      <c r="I103" s="150" t="s">
        <v>281</v>
      </c>
      <c r="J103" s="150" t="s">
        <v>282</v>
      </c>
      <c r="K103" s="150" t="s">
        <v>256</v>
      </c>
      <c r="L103" s="138"/>
      <c r="M103" s="138"/>
      <c r="N103" s="138"/>
      <c r="O103" s="138"/>
      <c r="P103" s="138"/>
      <c r="Q103" s="138"/>
      <c r="R103" s="138"/>
      <c r="S103" s="138"/>
      <c r="T103" s="138"/>
    </row>
    <row r="104">
      <c r="A104" s="151">
        <f>SUM(D98:D100)</f>
      </c>
      <c r="B104" s="152">
        <f>SUM(E98:E100)</f>
      </c>
      <c r="C104" s="152">
        <f>B104/((K104*300)+A104)</f>
      </c>
      <c r="D104" s="153">
        <f>A104/J104</f>
      </c>
      <c r="E104" s="152">
        <f>B104/J104</f>
      </c>
      <c r="F104" s="154">
        <f>J104/I104</f>
      </c>
      <c r="G104" s="154">
        <f>H104/J104</f>
      </c>
      <c r="H104" s="155">
        <v>3</v>
      </c>
      <c r="I104" s="155">
        <v>44</v>
      </c>
      <c r="J104" s="156">
        <f>F101</f>
      </c>
      <c r="K104" s="156">
        <f>C101</f>
      </c>
      <c r="L104" s="138"/>
      <c r="M104" s="138"/>
      <c r="N104" s="138"/>
      <c r="O104" s="138"/>
      <c r="P104" s="138"/>
      <c r="Q104" s="138"/>
      <c r="R104" s="138"/>
      <c r="S104" s="138"/>
      <c r="T104" s="138"/>
    </row>
    <row r="105">
      <c r="A105" s="138"/>
      <c r="B105" s="138"/>
      <c r="C105" s="138"/>
      <c r="D105" s="138">
        <f>D106-D101</f>
      </c>
      <c r="E105" s="138">
        <f>E106-E101</f>
      </c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</row>
    <row r="106">
      <c r="A106" s="136" t="s">
        <v>295</v>
      </c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8"/>
      <c r="M106" s="138"/>
      <c r="N106" s="138"/>
      <c r="O106" s="138"/>
      <c r="P106" s="138"/>
      <c r="Q106" s="138"/>
      <c r="R106" s="138"/>
      <c r="S106" s="138"/>
      <c r="T106" s="138"/>
    </row>
    <row r="107">
      <c r="A107" s="139" t="s">
        <v>254</v>
      </c>
      <c r="B107" s="139" t="s">
        <v>255</v>
      </c>
      <c r="C107" s="139" t="s">
        <v>256</v>
      </c>
      <c r="D107" s="139" t="s">
        <v>257</v>
      </c>
      <c r="E107" s="140" t="s">
        <v>258</v>
      </c>
      <c r="F107" s="139" t="s">
        <v>259</v>
      </c>
      <c r="G107" s="139" t="s">
        <v>260</v>
      </c>
      <c r="H107" s="139" t="s">
        <v>261</v>
      </c>
      <c r="I107" s="139" t="s">
        <v>262</v>
      </c>
      <c r="J107" s="139" t="s">
        <v>263</v>
      </c>
      <c r="K107" s="139"/>
    </row>
    <row r="108">
      <c r="A108" s="141" t="s">
        <v>286</v>
      </c>
      <c r="B108" s="142" t="s">
        <v>285</v>
      </c>
      <c r="C108" s="143">
        <v>4</v>
      </c>
      <c r="D108" s="144">
        <v>8949.119999999999</v>
      </c>
      <c r="E108" s="144">
        <v>36371.6</v>
      </c>
      <c r="F108" s="144">
        <v>16</v>
      </c>
      <c r="G108" s="145">
        <f t="shared" ref="G108:G111" si="70">E108/F108</f>
      </c>
      <c r="H108" s="145">
        <f t="shared" ref="H108:H111" si="40">D108/F108</f>
      </c>
      <c r="I108" s="145">
        <f t="shared" ref="I108:I111" si="10">E108/D108</f>
      </c>
      <c r="J108" s="145">
        <f t="shared" ref="J108:J111" si="100">D108/C108</f>
      </c>
      <c r="K108" s="145"/>
    </row>
    <row r="109">
      <c r="A109" s="146" t="s">
        <v>268</v>
      </c>
      <c r="B109" s="142" t="s">
        <v>269</v>
      </c>
      <c r="C109" s="143">
        <v>4</v>
      </c>
      <c r="D109" s="143">
        <v>9009.29</v>
      </c>
      <c r="E109" s="143">
        <v>9466</v>
      </c>
      <c r="F109" s="144">
        <v>7</v>
      </c>
      <c r="G109" s="145">
        <f t="shared" si="70"/>
      </c>
      <c r="H109" s="145">
        <f t="shared" si="40"/>
      </c>
      <c r="I109" s="145">
        <f t="shared" si="10"/>
      </c>
      <c r="J109" s="145">
        <f t="shared" si="100"/>
      </c>
      <c r="K109" s="145"/>
    </row>
    <row r="110">
      <c r="A110" s="146" t="s">
        <v>264</v>
      </c>
      <c r="B110" s="142" t="s">
        <v>271</v>
      </c>
      <c r="C110" s="143">
        <v>4</v>
      </c>
      <c r="D110" s="143">
        <v>9966.110000000004</v>
      </c>
      <c r="E110" s="143">
        <v>14932.400000000001</v>
      </c>
      <c r="F110" s="144">
        <v>8</v>
      </c>
      <c r="G110" s="145">
        <f t="shared" si="70"/>
      </c>
      <c r="H110" s="145">
        <f t="shared" si="40"/>
      </c>
      <c r="I110" s="145">
        <f t="shared" si="10"/>
      </c>
      <c r="J110" s="145">
        <f t="shared" si="100"/>
      </c>
      <c r="K110" s="145"/>
    </row>
    <row r="111">
      <c r="A111" s="139" t="s">
        <v>272</v>
      </c>
      <c r="B111" s="139"/>
      <c r="C111" s="139">
        <f>SUM(C108:C110)</f>
      </c>
      <c r="D111" s="139">
        <f>SUM(D108:D110)</f>
      </c>
      <c r="E111" s="139">
        <f>SUM(E108:E110)</f>
      </c>
      <c r="F111" s="139">
        <f>SUM(F108:F110)</f>
      </c>
      <c r="G111" s="147">
        <f t="shared" si="70"/>
      </c>
      <c r="H111" s="147">
        <f t="shared" si="40"/>
      </c>
      <c r="I111" s="147">
        <f t="shared" si="10"/>
      </c>
      <c r="J111" s="147">
        <f t="shared" si="100"/>
      </c>
      <c r="K111" s="147"/>
    </row>
    <row r="112">
      <c r="A112" s="148" t="s">
        <v>273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</row>
    <row r="113">
      <c r="A113" s="149" t="s">
        <v>257</v>
      </c>
      <c r="B113" s="149" t="s">
        <v>274</v>
      </c>
      <c r="C113" s="149" t="s">
        <v>275</v>
      </c>
      <c r="D113" s="149" t="s">
        <v>276</v>
      </c>
      <c r="E113" s="149" t="s">
        <v>277</v>
      </c>
      <c r="F113" s="149" t="s">
        <v>278</v>
      </c>
      <c r="G113" s="149" t="s">
        <v>279</v>
      </c>
      <c r="H113" s="150" t="s">
        <v>280</v>
      </c>
      <c r="I113" s="150" t="s">
        <v>281</v>
      </c>
      <c r="J113" s="150" t="s">
        <v>282</v>
      </c>
      <c r="K113" s="150" t="s">
        <v>256</v>
      </c>
    </row>
    <row r="114">
      <c r="A114" s="151">
        <f>SUM(D108:D110)</f>
      </c>
      <c r="B114" s="152">
        <f>SUM(E108:E110)</f>
      </c>
      <c r="C114" s="152">
        <f>B114/((K114*300)+A114)</f>
      </c>
      <c r="D114" s="153">
        <f>A114/J114</f>
      </c>
      <c r="E114" s="152">
        <f>B114/J114</f>
      </c>
      <c r="F114" s="154">
        <f>J114/I114</f>
      </c>
      <c r="G114" s="154">
        <f>H114/J114</f>
      </c>
      <c r="H114" s="155">
        <v>3</v>
      </c>
      <c r="I114" s="155">
        <v>50</v>
      </c>
      <c r="J114" s="156">
        <f>F111</f>
      </c>
      <c r="K114" s="156">
        <f>C111</f>
      </c>
    </row>
    <row r="115">
      <c r="A115" s="138"/>
      <c r="B115" s="138"/>
      <c r="C115" s="138"/>
      <c r="D115" s="138">
        <f>D116-D111</f>
      </c>
      <c r="E115" s="138">
        <f>E116-E111</f>
      </c>
      <c r="F115" s="138"/>
      <c r="G115" s="138"/>
      <c r="H115" s="138"/>
      <c r="I115" s="138"/>
      <c r="J115" s="138"/>
      <c r="K115" s="138"/>
    </row>
    <row r="116">
      <c r="A116" s="136" t="s">
        <v>296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</row>
    <row r="117">
      <c r="A117" s="139" t="s">
        <v>254</v>
      </c>
      <c r="B117" s="139" t="s">
        <v>255</v>
      </c>
      <c r="C117" s="139" t="s">
        <v>256</v>
      </c>
      <c r="D117" s="139" t="s">
        <v>257</v>
      </c>
      <c r="E117" s="140" t="s">
        <v>258</v>
      </c>
      <c r="F117" s="139" t="s">
        <v>259</v>
      </c>
      <c r="G117" s="139" t="s">
        <v>260</v>
      </c>
      <c r="H117" s="139" t="s">
        <v>261</v>
      </c>
      <c r="I117" s="139" t="s">
        <v>262</v>
      </c>
      <c r="J117" s="139" t="s">
        <v>263</v>
      </c>
      <c r="K117" s="139"/>
    </row>
    <row r="118">
      <c r="A118" s="141" t="s">
        <v>264</v>
      </c>
      <c r="B118" s="142" t="s">
        <v>285</v>
      </c>
      <c r="C118" s="143">
        <v>4</v>
      </c>
      <c r="D118" s="144">
        <v>7628.88</v>
      </c>
      <c r="E118" s="144">
        <v>12816.400000000001</v>
      </c>
      <c r="F118" s="144">
        <v>9</v>
      </c>
      <c r="G118" s="145">
        <f t="shared" ref="G118:G121" si="71">E118/F118</f>
      </c>
      <c r="H118" s="145">
        <f t="shared" ref="H118:H121" si="41">D118/F118</f>
      </c>
      <c r="I118" s="145">
        <f t="shared" ref="I118:I121" si="11">E118/D118</f>
      </c>
      <c r="J118" s="145">
        <f t="shared" ref="J118:J121" si="101">D118/C118</f>
      </c>
      <c r="K118" s="145"/>
    </row>
    <row r="119">
      <c r="A119" s="146" t="s">
        <v>286</v>
      </c>
      <c r="B119" s="142" t="s">
        <v>269</v>
      </c>
      <c r="C119" s="143">
        <v>4</v>
      </c>
      <c r="D119" s="143">
        <v>10604.25</v>
      </c>
      <c r="E119" s="143">
        <v>22188.200000000004</v>
      </c>
      <c r="F119" s="144">
        <v>8</v>
      </c>
      <c r="G119" s="145">
        <f t="shared" si="71"/>
      </c>
      <c r="H119" s="145">
        <f t="shared" si="41"/>
      </c>
      <c r="I119" s="145">
        <f t="shared" si="11"/>
      </c>
      <c r="J119" s="145">
        <f t="shared" si="101"/>
      </c>
      <c r="K119" s="145"/>
    </row>
    <row r="120">
      <c r="A120" s="146" t="s">
        <v>268</v>
      </c>
      <c r="B120" s="142" t="s">
        <v>271</v>
      </c>
      <c r="C120" s="144">
        <v>4</v>
      </c>
      <c r="D120" s="143">
        <v>8304.36</v>
      </c>
      <c r="E120" s="143">
        <v>9124.199999999997</v>
      </c>
      <c r="F120" s="144">
        <v>6</v>
      </c>
      <c r="G120" s="145">
        <f t="shared" si="71"/>
      </c>
      <c r="H120" s="145">
        <f t="shared" si="41"/>
      </c>
      <c r="I120" s="145">
        <f t="shared" si="11"/>
      </c>
      <c r="J120" s="145">
        <f t="shared" si="101"/>
      </c>
      <c r="K120" s="145"/>
    </row>
    <row r="121">
      <c r="A121" s="139" t="s">
        <v>272</v>
      </c>
      <c r="B121" s="139"/>
      <c r="C121" s="139">
        <f>SUM(C118:C120)</f>
      </c>
      <c r="D121" s="139">
        <f>SUM(D118:D120)</f>
      </c>
      <c r="E121" s="139">
        <f>SUM(E118:E120)</f>
      </c>
      <c r="F121" s="139">
        <f>SUM(F118:F120)</f>
      </c>
      <c r="G121" s="147">
        <f t="shared" si="71"/>
      </c>
      <c r="H121" s="147">
        <f t="shared" si="41"/>
      </c>
      <c r="I121" s="147">
        <f t="shared" si="11"/>
      </c>
      <c r="J121" s="147">
        <f t="shared" si="101"/>
      </c>
      <c r="K121" s="147"/>
    </row>
    <row r="122">
      <c r="A122" s="148" t="s">
        <v>273</v>
      </c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</row>
    <row r="123">
      <c r="A123" s="149" t="s">
        <v>257</v>
      </c>
      <c r="B123" s="149" t="s">
        <v>274</v>
      </c>
      <c r="C123" s="149" t="s">
        <v>275</v>
      </c>
      <c r="D123" s="149" t="s">
        <v>276</v>
      </c>
      <c r="E123" s="149" t="s">
        <v>277</v>
      </c>
      <c r="F123" s="149" t="s">
        <v>278</v>
      </c>
      <c r="G123" s="149" t="s">
        <v>279</v>
      </c>
      <c r="H123" s="150" t="s">
        <v>280</v>
      </c>
      <c r="I123" s="150" t="s">
        <v>281</v>
      </c>
      <c r="J123" s="150" t="s">
        <v>282</v>
      </c>
      <c r="K123" s="150" t="s">
        <v>256</v>
      </c>
    </row>
    <row r="124">
      <c r="A124" s="151">
        <f>SUM(D118:D120)</f>
      </c>
      <c r="B124" s="152">
        <f>SUM(E118:E120)</f>
      </c>
      <c r="C124" s="152">
        <f>B124/((K124*300)+A124)</f>
      </c>
      <c r="D124" s="153">
        <f>A124/J124</f>
      </c>
      <c r="E124" s="152">
        <f>B124/J124</f>
      </c>
      <c r="F124" s="154">
        <f>J124/I124</f>
      </c>
      <c r="G124" s="154">
        <f>H124/J124</f>
      </c>
      <c r="H124" s="155">
        <v>2</v>
      </c>
      <c r="I124" s="155">
        <v>32</v>
      </c>
      <c r="J124" s="156">
        <f>F121</f>
      </c>
      <c r="K124" s="156">
        <f>C121</f>
      </c>
    </row>
    <row r="125">
      <c r="A125" s="136" t="s">
        <v>297</v>
      </c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</row>
    <row r="126">
      <c r="A126" s="139" t="s">
        <v>254</v>
      </c>
      <c r="B126" s="139" t="s">
        <v>255</v>
      </c>
      <c r="C126" s="139" t="s">
        <v>256</v>
      </c>
      <c r="D126" s="139" t="s">
        <v>257</v>
      </c>
      <c r="E126" s="140" t="s">
        <v>258</v>
      </c>
      <c r="F126" s="139" t="s">
        <v>259</v>
      </c>
      <c r="G126" s="139" t="s">
        <v>260</v>
      </c>
      <c r="H126" s="139" t="s">
        <v>261</v>
      </c>
      <c r="I126" s="139" t="s">
        <v>262</v>
      </c>
      <c r="J126" s="139" t="s">
        <v>263</v>
      </c>
      <c r="K126" s="139"/>
    </row>
    <row r="127">
      <c r="A127" s="146" t="s">
        <v>286</v>
      </c>
      <c r="B127" s="142" t="s">
        <v>285</v>
      </c>
      <c r="C127" s="143">
        <v>4</v>
      </c>
      <c r="D127" s="144">
        <v>6427.82</v>
      </c>
      <c r="E127" s="144">
        <v>7714.8</v>
      </c>
      <c r="F127" s="144">
        <v>4</v>
      </c>
      <c r="G127" s="145">
        <f t="shared" ref="G127:G130" si="72">E127/F127</f>
      </c>
      <c r="H127" s="145">
        <f t="shared" ref="H127:H130" si="42">D127/F127</f>
      </c>
      <c r="I127" s="145">
        <f t="shared" ref="I127:I130" si="12">E127/D127</f>
      </c>
      <c r="J127" s="145">
        <f t="shared" ref="J127:J130" si="102">D127/C127</f>
      </c>
      <c r="K127" s="145"/>
    </row>
    <row r="128">
      <c r="A128" s="146" t="s">
        <v>268</v>
      </c>
      <c r="B128" s="142" t="s">
        <v>269</v>
      </c>
      <c r="C128" s="144">
        <v>4</v>
      </c>
      <c r="D128" s="143">
        <v>4568.5999999999985</v>
      </c>
      <c r="E128" s="143">
        <v>5214.400000000001</v>
      </c>
      <c r="F128" s="144">
        <v>5</v>
      </c>
      <c r="G128" s="145">
        <f t="shared" si="72"/>
      </c>
      <c r="H128" s="145">
        <f t="shared" si="42"/>
      </c>
      <c r="I128" s="145">
        <f t="shared" si="12"/>
      </c>
      <c r="J128" s="145">
        <f t="shared" si="102"/>
      </c>
      <c r="K128" s="145"/>
    </row>
    <row r="129">
      <c r="A129" s="146" t="s">
        <v>264</v>
      </c>
      <c r="B129" s="142" t="s">
        <v>271</v>
      </c>
      <c r="C129" s="144">
        <v>4</v>
      </c>
      <c r="D129" s="143">
        <v>4339.970000000001</v>
      </c>
      <c r="E129" s="143">
        <v>6316.200000000001</v>
      </c>
      <c r="F129" s="144">
        <v>4</v>
      </c>
      <c r="G129" s="145">
        <f t="shared" si="72"/>
      </c>
      <c r="H129" s="145">
        <f t="shared" si="42"/>
      </c>
      <c r="I129" s="145">
        <f t="shared" si="12"/>
      </c>
      <c r="J129" s="145">
        <f t="shared" si="102"/>
      </c>
      <c r="K129" s="145"/>
    </row>
    <row r="130">
      <c r="A130" s="139" t="s">
        <v>272</v>
      </c>
      <c r="B130" s="139"/>
      <c r="C130" s="139">
        <f>SUM(C127:C129)</f>
      </c>
      <c r="D130" s="139">
        <f>SUM(D127:D129)</f>
      </c>
      <c r="E130" s="139">
        <f>SUM(E127:E129)</f>
      </c>
      <c r="F130" s="139">
        <f>SUM(F127:F129)</f>
      </c>
      <c r="G130" s="147">
        <f t="shared" si="72"/>
      </c>
      <c r="H130" s="147">
        <f t="shared" si="42"/>
      </c>
      <c r="I130" s="147">
        <f t="shared" si="12"/>
      </c>
      <c r="J130" s="147">
        <f t="shared" si="102"/>
      </c>
      <c r="K130" s="147"/>
    </row>
    <row r="131">
      <c r="A131" s="148" t="s">
        <v>273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</row>
    <row r="132">
      <c r="A132" s="149" t="s">
        <v>257</v>
      </c>
      <c r="B132" s="149" t="s">
        <v>274</v>
      </c>
      <c r="C132" s="149" t="s">
        <v>275</v>
      </c>
      <c r="D132" s="149" t="s">
        <v>276</v>
      </c>
      <c r="E132" s="149" t="s">
        <v>277</v>
      </c>
      <c r="F132" s="149" t="s">
        <v>278</v>
      </c>
      <c r="G132" s="149" t="s">
        <v>279</v>
      </c>
      <c r="H132" s="150" t="s">
        <v>280</v>
      </c>
      <c r="I132" s="150" t="s">
        <v>281</v>
      </c>
      <c r="J132" s="150" t="s">
        <v>282</v>
      </c>
      <c r="K132" s="150" t="s">
        <v>256</v>
      </c>
    </row>
    <row r="133">
      <c r="A133" s="151">
        <f>SUM(D127:D129)</f>
      </c>
      <c r="B133" s="152">
        <f>SUM(E127:E129)</f>
      </c>
      <c r="C133" s="152">
        <f>B133/((K133*300)+A133)</f>
      </c>
      <c r="D133" s="153">
        <f>A133/J133</f>
      </c>
      <c r="E133" s="152">
        <f>B133/J133</f>
      </c>
      <c r="F133" s="154">
        <f>J133/I133</f>
      </c>
      <c r="G133" s="154">
        <f>H133/J133</f>
      </c>
      <c r="H133" s="155">
        <v>0</v>
      </c>
      <c r="I133" s="155">
        <v>34</v>
      </c>
      <c r="J133" s="156">
        <f>F130</f>
      </c>
      <c r="K133" s="156">
        <f>C130</f>
      </c>
    </row>
    <row r="134">
      <c r="A134" s="136" t="s">
        <v>298</v>
      </c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</row>
    <row r="135">
      <c r="A135" s="139" t="s">
        <v>254</v>
      </c>
      <c r="B135" s="139" t="s">
        <v>255</v>
      </c>
      <c r="C135" s="139" t="s">
        <v>256</v>
      </c>
      <c r="D135" s="139" t="s">
        <v>257</v>
      </c>
      <c r="E135" s="140" t="s">
        <v>258</v>
      </c>
      <c r="F135" s="139" t="s">
        <v>259</v>
      </c>
      <c r="G135" s="139" t="s">
        <v>260</v>
      </c>
      <c r="H135" s="139" t="s">
        <v>261</v>
      </c>
      <c r="I135" s="139" t="s">
        <v>262</v>
      </c>
      <c r="J135" s="139" t="s">
        <v>263</v>
      </c>
      <c r="K135" s="139"/>
    </row>
    <row r="136">
      <c r="A136" s="146" t="s">
        <v>268</v>
      </c>
      <c r="B136" s="142" t="s">
        <v>285</v>
      </c>
      <c r="C136" s="143">
        <v>4</v>
      </c>
      <c r="D136" s="144">
        <v>10324.53</v>
      </c>
      <c r="E136" s="144">
        <v>23330.800000000003</v>
      </c>
      <c r="F136" s="144">
        <v>10</v>
      </c>
      <c r="G136" s="145">
        <f t="shared" ref="G136:G139" si="73">E136/F136</f>
      </c>
      <c r="H136" s="145">
        <f t="shared" ref="H136:H139" si="43">D136/F136</f>
      </c>
      <c r="I136" s="145">
        <f t="shared" ref="I136:I139" si="13">E136/D136</f>
      </c>
      <c r="J136" s="145">
        <f t="shared" ref="J136:J139" si="103">D136/C136</f>
      </c>
      <c r="K136" s="145"/>
    </row>
    <row r="137">
      <c r="A137" s="146" t="s">
        <v>286</v>
      </c>
      <c r="B137" s="142" t="s">
        <v>269</v>
      </c>
      <c r="C137" s="144">
        <v>4</v>
      </c>
      <c r="D137" s="143">
        <v>9974.050000000001</v>
      </c>
      <c r="E137" s="143">
        <v>17576.399999999994</v>
      </c>
      <c r="F137" s="144">
        <v>9</v>
      </c>
      <c r="G137" s="145">
        <f t="shared" si="73"/>
      </c>
      <c r="H137" s="145">
        <f t="shared" si="43"/>
      </c>
      <c r="I137" s="145">
        <f t="shared" si="13"/>
      </c>
      <c r="J137" s="145">
        <f t="shared" si="103"/>
      </c>
      <c r="K137" s="145"/>
    </row>
    <row r="138">
      <c r="A138" s="146" t="s">
        <v>264</v>
      </c>
      <c r="B138" s="142" t="s">
        <v>271</v>
      </c>
      <c r="C138" s="144">
        <v>4</v>
      </c>
      <c r="D138" s="143">
        <v>8265.09</v>
      </c>
      <c r="E138" s="143">
        <v>9358.800000000003</v>
      </c>
      <c r="F138" s="144">
        <v>3</v>
      </c>
      <c r="G138" s="145">
        <f t="shared" si="73"/>
      </c>
      <c r="H138" s="145">
        <f t="shared" si="43"/>
      </c>
      <c r="I138" s="145">
        <f t="shared" si="13"/>
      </c>
      <c r="J138" s="145">
        <f t="shared" si="103"/>
      </c>
      <c r="K138" s="145"/>
    </row>
    <row r="139">
      <c r="A139" s="139" t="s">
        <v>272</v>
      </c>
      <c r="B139" s="139"/>
      <c r="C139" s="139">
        <f>SUM(C136:C138)</f>
      </c>
      <c r="D139" s="139">
        <f>SUM(D136:D138)</f>
      </c>
      <c r="E139" s="139">
        <f>SUM(E136:E138)</f>
      </c>
      <c r="F139" s="139">
        <f>SUM(F136:F138)</f>
      </c>
      <c r="G139" s="147">
        <f t="shared" si="73"/>
      </c>
      <c r="H139" s="147">
        <f t="shared" si="43"/>
      </c>
      <c r="I139" s="147">
        <f t="shared" si="13"/>
      </c>
      <c r="J139" s="147">
        <f t="shared" si="103"/>
      </c>
      <c r="K139" s="147"/>
    </row>
    <row r="140">
      <c r="A140" s="148" t="s">
        <v>273</v>
      </c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</row>
    <row r="141">
      <c r="A141" s="149" t="s">
        <v>257</v>
      </c>
      <c r="B141" s="149" t="s">
        <v>274</v>
      </c>
      <c r="C141" s="149" t="s">
        <v>275</v>
      </c>
      <c r="D141" s="149" t="s">
        <v>276</v>
      </c>
      <c r="E141" s="149" t="s">
        <v>277</v>
      </c>
      <c r="F141" s="149" t="s">
        <v>278</v>
      </c>
      <c r="G141" s="149" t="s">
        <v>279</v>
      </c>
      <c r="H141" s="150" t="s">
        <v>280</v>
      </c>
      <c r="I141" s="150" t="s">
        <v>281</v>
      </c>
      <c r="J141" s="150" t="s">
        <v>282</v>
      </c>
      <c r="K141" s="150" t="s">
        <v>256</v>
      </c>
    </row>
    <row r="142">
      <c r="A142" s="151">
        <f>SUM(D136:D138)</f>
      </c>
      <c r="B142" s="152">
        <f>SUM(E136:E138)</f>
      </c>
      <c r="C142" s="152">
        <f>B142/((K142*300)+A142)</f>
      </c>
      <c r="D142" s="153">
        <f>A142/J142</f>
      </c>
      <c r="E142" s="152">
        <f>B142/J142</f>
      </c>
      <c r="F142" s="154">
        <f>J142/I142</f>
      </c>
      <c r="G142" s="154">
        <f>H142/J142</f>
      </c>
      <c r="H142" s="155">
        <v>2</v>
      </c>
      <c r="I142" s="155">
        <v>39</v>
      </c>
      <c r="J142" s="156">
        <f>F139</f>
      </c>
      <c r="K142" s="156">
        <f>C139</f>
      </c>
    </row>
    <row r="143">
      <c r="A143" s="136" t="s">
        <v>299</v>
      </c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</row>
    <row r="144">
      <c r="A144" s="139" t="s">
        <v>254</v>
      </c>
      <c r="B144" s="139" t="s">
        <v>255</v>
      </c>
      <c r="C144" s="139" t="s">
        <v>256</v>
      </c>
      <c r="D144" s="139" t="s">
        <v>257</v>
      </c>
      <c r="E144" s="140" t="s">
        <v>258</v>
      </c>
      <c r="F144" s="139" t="s">
        <v>259</v>
      </c>
      <c r="G144" s="139" t="s">
        <v>260</v>
      </c>
      <c r="H144" s="139" t="s">
        <v>261</v>
      </c>
      <c r="I144" s="139" t="s">
        <v>262</v>
      </c>
      <c r="J144" s="139" t="s">
        <v>263</v>
      </c>
      <c r="K144" s="139"/>
    </row>
    <row r="145">
      <c r="A145" s="146" t="s">
        <v>264</v>
      </c>
      <c r="B145" s="142" t="s">
        <v>285</v>
      </c>
      <c r="C145" s="143">
        <v>4</v>
      </c>
      <c r="D145" s="144">
        <v>11460.07</v>
      </c>
      <c r="E145" s="144">
        <v>21854.000000000004</v>
      </c>
      <c r="F145" s="144">
        <v>12</v>
      </c>
      <c r="G145" s="145">
        <f t="shared" ref="G145:G148" si="74">E145/F145</f>
      </c>
      <c r="H145" s="145">
        <f t="shared" ref="H145:H148" si="44">D145/F145</f>
      </c>
      <c r="I145" s="145">
        <f t="shared" ref="I145:I148" si="14">E145/D145</f>
      </c>
      <c r="J145" s="145">
        <f t="shared" ref="J145:J148" si="104">D145/C145</f>
      </c>
      <c r="K145" s="145"/>
    </row>
    <row r="146">
      <c r="A146" s="146" t="s">
        <v>286</v>
      </c>
      <c r="B146" s="142" t="s">
        <v>269</v>
      </c>
      <c r="C146" s="144">
        <v>4</v>
      </c>
      <c r="D146" s="143">
        <v>16332.719999999998</v>
      </c>
      <c r="E146" s="143">
        <v>22339.600000000002</v>
      </c>
      <c r="F146" s="144">
        <v>15</v>
      </c>
      <c r="G146" s="145">
        <f t="shared" si="74"/>
      </c>
      <c r="H146" s="145">
        <f t="shared" si="44"/>
      </c>
      <c r="I146" s="145">
        <f t="shared" si="14"/>
      </c>
      <c r="J146" s="145">
        <f t="shared" si="104"/>
      </c>
      <c r="K146" s="145"/>
    </row>
    <row r="147">
      <c r="A147" s="146" t="s">
        <v>268</v>
      </c>
      <c r="B147" s="142" t="s">
        <v>271</v>
      </c>
      <c r="C147" s="144">
        <v>4</v>
      </c>
      <c r="D147" s="143">
        <v>16442.299999999992</v>
      </c>
      <c r="E147" s="144">
        <v>18402</v>
      </c>
      <c r="F147" s="144">
        <v>10</v>
      </c>
      <c r="G147" s="145">
        <f t="shared" si="74"/>
      </c>
      <c r="H147" s="145">
        <f t="shared" si="44"/>
      </c>
      <c r="I147" s="145">
        <f t="shared" si="14"/>
      </c>
      <c r="J147" s="145">
        <f t="shared" si="104"/>
      </c>
      <c r="K147" s="145"/>
    </row>
    <row r="148">
      <c r="A148" s="139" t="s">
        <v>272</v>
      </c>
      <c r="B148" s="139"/>
      <c r="C148" s="139">
        <f>SUM(C145:C147)</f>
      </c>
      <c r="D148" s="139">
        <f>SUM(D145:D147)</f>
      </c>
      <c r="E148" s="139">
        <f>SUM(E145:E147)</f>
      </c>
      <c r="F148" s="139">
        <f>SUM(F145:F147)</f>
      </c>
      <c r="G148" s="147">
        <f t="shared" si="74"/>
      </c>
      <c r="H148" s="147">
        <f t="shared" si="44"/>
      </c>
      <c r="I148" s="147">
        <f t="shared" si="14"/>
      </c>
      <c r="J148" s="147">
        <f t="shared" si="104"/>
      </c>
      <c r="K148" s="147"/>
    </row>
    <row r="149">
      <c r="A149" s="148" t="s">
        <v>273</v>
      </c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</row>
    <row r="150">
      <c r="A150" s="149" t="s">
        <v>257</v>
      </c>
      <c r="B150" s="149" t="s">
        <v>274</v>
      </c>
      <c r="C150" s="149" t="s">
        <v>275</v>
      </c>
      <c r="D150" s="149" t="s">
        <v>276</v>
      </c>
      <c r="E150" s="149" t="s">
        <v>277</v>
      </c>
      <c r="F150" s="149" t="s">
        <v>278</v>
      </c>
      <c r="G150" s="149" t="s">
        <v>279</v>
      </c>
      <c r="H150" s="150" t="s">
        <v>280</v>
      </c>
      <c r="I150" s="150" t="s">
        <v>281</v>
      </c>
      <c r="J150" s="150" t="s">
        <v>282</v>
      </c>
      <c r="K150" s="150" t="s">
        <v>256</v>
      </c>
    </row>
    <row r="151">
      <c r="A151" s="151">
        <f>SUM(D145:D147)</f>
      </c>
      <c r="B151" s="152">
        <f>SUM(E145:E147)</f>
      </c>
      <c r="C151" s="152">
        <f>B151/((K151*300)+A151)</f>
      </c>
      <c r="D151" s="153">
        <f>A151/J151</f>
      </c>
      <c r="E151" s="152">
        <f>B151/J151</f>
      </c>
      <c r="F151" s="154">
        <f>J151/I151</f>
      </c>
      <c r="G151" s="154">
        <f>H151/J151</f>
      </c>
      <c r="H151" s="155">
        <v>4</v>
      </c>
      <c r="I151" s="155">
        <v>53</v>
      </c>
      <c r="J151" s="156">
        <f>F148</f>
      </c>
      <c r="K151" s="156">
        <f>C148</f>
      </c>
    </row>
    <row r="152">
      <c r="A152" s="136" t="s">
        <v>300</v>
      </c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</row>
    <row r="153">
      <c r="A153" s="139" t="s">
        <v>254</v>
      </c>
      <c r="B153" s="139" t="s">
        <v>255</v>
      </c>
      <c r="C153" s="139" t="s">
        <v>256</v>
      </c>
      <c r="D153" s="139" t="s">
        <v>257</v>
      </c>
      <c r="E153" s="140" t="s">
        <v>258</v>
      </c>
      <c r="F153" s="139" t="s">
        <v>259</v>
      </c>
      <c r="G153" s="139" t="s">
        <v>260</v>
      </c>
      <c r="H153" s="139" t="s">
        <v>261</v>
      </c>
      <c r="I153" s="139" t="s">
        <v>262</v>
      </c>
      <c r="J153" s="139" t="s">
        <v>263</v>
      </c>
      <c r="K153" s="139"/>
    </row>
    <row r="154">
      <c r="A154" s="146" t="s">
        <v>286</v>
      </c>
      <c r="B154" s="142" t="s">
        <v>285</v>
      </c>
      <c r="C154" s="143">
        <v>4</v>
      </c>
      <c r="D154" s="144">
        <v>7848.35</v>
      </c>
      <c r="E154" s="144">
        <v>15107.2</v>
      </c>
      <c r="F154" s="144">
        <v>9</v>
      </c>
      <c r="G154" s="145">
        <f t="shared" ref="G154:G157" si="75">E154/F154</f>
      </c>
      <c r="H154" s="145">
        <f t="shared" ref="H154:H157" si="45">D154/F154</f>
      </c>
      <c r="I154" s="145">
        <f t="shared" ref="I154:I157" si="15">E154/D154</f>
      </c>
      <c r="J154" s="145">
        <f t="shared" ref="J154:J157" si="105">D154/C154</f>
      </c>
      <c r="K154" s="145"/>
    </row>
    <row r="155">
      <c r="A155" s="146" t="s">
        <v>266</v>
      </c>
      <c r="B155" s="142" t="s">
        <v>269</v>
      </c>
      <c r="C155" s="144">
        <v>4</v>
      </c>
      <c r="D155" s="143">
        <v>8953.22</v>
      </c>
      <c r="E155" s="143">
        <v>5546.399999999998</v>
      </c>
      <c r="F155" s="144">
        <v>3</v>
      </c>
      <c r="G155" s="145">
        <f t="shared" si="75"/>
      </c>
      <c r="H155" s="145">
        <f t="shared" si="45"/>
      </c>
      <c r="I155" s="145">
        <f t="shared" si="15"/>
      </c>
      <c r="J155" s="145">
        <f t="shared" si="105"/>
      </c>
      <c r="K155" s="145"/>
    </row>
    <row r="156">
      <c r="A156" s="146" t="s">
        <v>268</v>
      </c>
      <c r="B156" s="142" t="s">
        <v>271</v>
      </c>
      <c r="C156" s="144">
        <v>4</v>
      </c>
      <c r="D156" s="144">
        <v>5266.34</v>
      </c>
      <c r="E156" s="144">
        <v>5512.200000000001</v>
      </c>
      <c r="F156" s="144">
        <v>4</v>
      </c>
      <c r="G156" s="145">
        <f t="shared" si="75"/>
      </c>
      <c r="H156" s="145">
        <f t="shared" si="45"/>
      </c>
      <c r="I156" s="145">
        <f t="shared" si="15"/>
      </c>
      <c r="J156" s="145">
        <f t="shared" si="105"/>
      </c>
      <c r="K156" s="145"/>
    </row>
    <row r="157">
      <c r="A157" s="139" t="s">
        <v>272</v>
      </c>
      <c r="B157" s="139"/>
      <c r="C157" s="139">
        <f>SUM(C154:C156)</f>
      </c>
      <c r="D157" s="139">
        <f>SUM(D154:D156)</f>
      </c>
      <c r="E157" s="139">
        <f>SUM(E154:E156)</f>
      </c>
      <c r="F157" s="139">
        <f>SUM(F154:F156)</f>
      </c>
      <c r="G157" s="147">
        <f t="shared" si="75"/>
      </c>
      <c r="H157" s="147">
        <f t="shared" si="45"/>
      </c>
      <c r="I157" s="147">
        <f t="shared" si="15"/>
      </c>
      <c r="J157" s="147">
        <f t="shared" si="105"/>
      </c>
      <c r="K157" s="147"/>
    </row>
    <row r="158">
      <c r="A158" s="148" t="s">
        <v>273</v>
      </c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</row>
    <row r="159">
      <c r="A159" s="149" t="s">
        <v>257</v>
      </c>
      <c r="B159" s="149" t="s">
        <v>274</v>
      </c>
      <c r="C159" s="149" t="s">
        <v>275</v>
      </c>
      <c r="D159" s="149" t="s">
        <v>276</v>
      </c>
      <c r="E159" s="149" t="s">
        <v>277</v>
      </c>
      <c r="F159" s="149" t="s">
        <v>278</v>
      </c>
      <c r="G159" s="149" t="s">
        <v>279</v>
      </c>
      <c r="H159" s="150" t="s">
        <v>280</v>
      </c>
      <c r="I159" s="150" t="s">
        <v>281</v>
      </c>
      <c r="J159" s="150" t="s">
        <v>282</v>
      </c>
      <c r="K159" s="150" t="s">
        <v>256</v>
      </c>
    </row>
    <row r="160">
      <c r="A160" s="151">
        <f>SUM(D154:D156)</f>
      </c>
      <c r="B160" s="152">
        <f>SUM(E154:E156)</f>
      </c>
      <c r="C160" s="152">
        <f>B160/((K160*300)+A160)</f>
      </c>
      <c r="D160" s="153">
        <f>A160/J160</f>
      </c>
      <c r="E160" s="152">
        <f>B160/J160</f>
      </c>
      <c r="F160" s="154">
        <f>J160/I160</f>
      </c>
      <c r="G160" s="154">
        <f>H160/J160</f>
      </c>
      <c r="H160" s="155">
        <v>2</v>
      </c>
      <c r="I160" s="155">
        <v>29</v>
      </c>
      <c r="J160" s="156">
        <f>F157</f>
      </c>
      <c r="K160" s="156">
        <f>C157</f>
      </c>
    </row>
    <row r="161">
      <c r="A161" s="136" t="s">
        <v>301</v>
      </c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</row>
    <row r="162">
      <c r="A162" s="139" t="s">
        <v>254</v>
      </c>
      <c r="B162" s="139" t="s">
        <v>255</v>
      </c>
      <c r="C162" s="139" t="s">
        <v>256</v>
      </c>
      <c r="D162" s="139" t="s">
        <v>257</v>
      </c>
      <c r="E162" s="140" t="s">
        <v>258</v>
      </c>
      <c r="F162" s="139" t="s">
        <v>259</v>
      </c>
      <c r="G162" s="139" t="s">
        <v>260</v>
      </c>
      <c r="H162" s="139" t="s">
        <v>261</v>
      </c>
      <c r="I162" s="139" t="s">
        <v>262</v>
      </c>
      <c r="J162" s="139" t="s">
        <v>263</v>
      </c>
      <c r="K162" s="139"/>
    </row>
    <row r="163">
      <c r="A163" s="146" t="s">
        <v>286</v>
      </c>
      <c r="B163" s="142" t="s">
        <v>285</v>
      </c>
      <c r="C163" s="143">
        <v>4</v>
      </c>
      <c r="D163" s="144">
        <v>5548.49</v>
      </c>
      <c r="E163" s="144">
        <v>15601.2</v>
      </c>
      <c r="F163" s="144">
        <v>7</v>
      </c>
      <c r="G163" s="145">
        <f t="shared" ref="G163:G166" si="76">E163/F163</f>
      </c>
      <c r="H163" s="145">
        <f t="shared" ref="H163:H166" si="46">D163/F163</f>
      </c>
      <c r="I163" s="145">
        <f t="shared" ref="I163:I166" si="16">E163/D163</f>
      </c>
      <c r="J163" s="145">
        <f t="shared" ref="J163:J166" si="106">D163/C163</f>
      </c>
      <c r="K163" s="145"/>
    </row>
    <row r="164">
      <c r="A164" s="146" t="s">
        <v>270</v>
      </c>
      <c r="B164" s="142" t="s">
        <v>269</v>
      </c>
      <c r="C164" s="144">
        <v>4</v>
      </c>
      <c r="D164" s="143">
        <v>7079.469999999999</v>
      </c>
      <c r="E164" s="143">
        <v>6756.399999999998</v>
      </c>
      <c r="F164" s="144">
        <v>7</v>
      </c>
      <c r="G164" s="145">
        <f t="shared" si="76"/>
      </c>
      <c r="H164" s="145">
        <f t="shared" si="46"/>
      </c>
      <c r="I164" s="145">
        <f t="shared" si="16"/>
      </c>
      <c r="J164" s="145">
        <f t="shared" si="106"/>
      </c>
      <c r="K164" s="145"/>
    </row>
    <row r="165">
      <c r="A165" s="146" t="s">
        <v>268</v>
      </c>
      <c r="B165" s="142" t="s">
        <v>271</v>
      </c>
      <c r="C165" s="144">
        <v>4</v>
      </c>
      <c r="D165" s="144">
        <v>6717.97</v>
      </c>
      <c r="E165" s="144">
        <v>17312.40000000001</v>
      </c>
      <c r="F165" s="144">
        <v>8</v>
      </c>
      <c r="G165" s="145">
        <f t="shared" si="76"/>
      </c>
      <c r="H165" s="145">
        <f t="shared" si="46"/>
      </c>
      <c r="I165" s="145">
        <f t="shared" si="16"/>
      </c>
      <c r="J165" s="145">
        <f t="shared" si="106"/>
      </c>
      <c r="K165" s="145"/>
    </row>
    <row r="166">
      <c r="A166" s="139" t="s">
        <v>272</v>
      </c>
      <c r="B166" s="139"/>
      <c r="C166" s="139">
        <f>SUM(C163:C165)</f>
      </c>
      <c r="D166" s="139">
        <f>SUM(D163:D165)</f>
      </c>
      <c r="E166" s="139">
        <f>SUM(E163:E165)</f>
      </c>
      <c r="F166" s="139">
        <f>SUM(F163:F165)</f>
      </c>
      <c r="G166" s="147">
        <f t="shared" si="76"/>
      </c>
      <c r="H166" s="147">
        <f t="shared" si="46"/>
      </c>
      <c r="I166" s="147">
        <f t="shared" si="16"/>
      </c>
      <c r="J166" s="147">
        <f t="shared" si="106"/>
      </c>
      <c r="K166" s="147"/>
    </row>
    <row r="167">
      <c r="A167" s="148" t="s">
        <v>273</v>
      </c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</row>
    <row r="168">
      <c r="A168" s="149" t="s">
        <v>257</v>
      </c>
      <c r="B168" s="149" t="s">
        <v>274</v>
      </c>
      <c r="C168" s="149" t="s">
        <v>275</v>
      </c>
      <c r="D168" s="149" t="s">
        <v>276</v>
      </c>
      <c r="E168" s="149" t="s">
        <v>277</v>
      </c>
      <c r="F168" s="149" t="s">
        <v>278</v>
      </c>
      <c r="G168" s="149" t="s">
        <v>279</v>
      </c>
      <c r="H168" s="150" t="s">
        <v>280</v>
      </c>
      <c r="I168" s="150" t="s">
        <v>281</v>
      </c>
      <c r="J168" s="150" t="s">
        <v>282</v>
      </c>
      <c r="K168" s="150" t="s">
        <v>256</v>
      </c>
    </row>
    <row r="169">
      <c r="A169" s="151">
        <f>SUM(D163:D165)</f>
      </c>
      <c r="B169" s="152">
        <f>SUM(E163:E165)</f>
      </c>
      <c r="C169" s="152">
        <f>B169/((K169*300)+A169)</f>
      </c>
      <c r="D169" s="153">
        <f>A169/J169</f>
      </c>
      <c r="E169" s="152">
        <f>B169/J169</f>
      </c>
      <c r="F169" s="154">
        <f>J169/I169</f>
      </c>
      <c r="G169" s="154">
        <f>H169/J169</f>
      </c>
      <c r="H169" s="155">
        <v>4</v>
      </c>
      <c r="I169" s="155">
        <v>41</v>
      </c>
      <c r="J169" s="156">
        <f>F166</f>
      </c>
      <c r="K169" s="156">
        <f>C166</f>
      </c>
    </row>
    <row r="170">
      <c r="A170" s="136" t="s">
        <v>302</v>
      </c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</row>
    <row r="171">
      <c r="A171" s="139" t="s">
        <v>254</v>
      </c>
      <c r="B171" s="139" t="s">
        <v>255</v>
      </c>
      <c r="C171" s="139" t="s">
        <v>256</v>
      </c>
      <c r="D171" s="139" t="s">
        <v>257</v>
      </c>
      <c r="E171" s="140" t="s">
        <v>258</v>
      </c>
      <c r="F171" s="139" t="s">
        <v>259</v>
      </c>
      <c r="G171" s="139" t="s">
        <v>260</v>
      </c>
      <c r="H171" s="139" t="s">
        <v>261</v>
      </c>
      <c r="I171" s="139" t="s">
        <v>262</v>
      </c>
      <c r="J171" s="139" t="s">
        <v>263</v>
      </c>
      <c r="K171" s="139"/>
    </row>
    <row r="172">
      <c r="A172" s="146" t="s">
        <v>268</v>
      </c>
      <c r="B172" s="142" t="s">
        <v>285</v>
      </c>
      <c r="C172" s="143">
        <v>4</v>
      </c>
      <c r="D172" s="144">
        <v>7359.659999999999</v>
      </c>
      <c r="E172" s="144">
        <v>5456.400000000001</v>
      </c>
      <c r="F172" s="144">
        <v>3</v>
      </c>
      <c r="G172" s="145">
        <f t="shared" ref="G172:G175" si="77">E172/F172</f>
      </c>
      <c r="H172" s="145">
        <f t="shared" ref="H172:H175" si="47">D172/F172</f>
      </c>
      <c r="I172" s="145">
        <f t="shared" ref="I172:I175" si="17">E172/D172</f>
      </c>
      <c r="J172" s="145">
        <f t="shared" ref="J172:J175" si="107">D172/C172</f>
      </c>
      <c r="K172" s="145"/>
    </row>
    <row r="173">
      <c r="A173" s="146" t="s">
        <v>286</v>
      </c>
      <c r="B173" s="142" t="s">
        <v>269</v>
      </c>
      <c r="C173" s="144">
        <v>4</v>
      </c>
      <c r="D173" s="143">
        <v>5702.770000000001</v>
      </c>
      <c r="E173" s="143">
        <v>9117.599999999999</v>
      </c>
      <c r="F173" s="144">
        <v>8</v>
      </c>
      <c r="G173" s="145">
        <f t="shared" si="77"/>
      </c>
      <c r="H173" s="145">
        <f t="shared" si="47"/>
      </c>
      <c r="I173" s="145">
        <f t="shared" si="17"/>
      </c>
      <c r="J173" s="145">
        <f t="shared" si="107"/>
      </c>
      <c r="K173" s="145"/>
    </row>
    <row r="174">
      <c r="A174" s="146" t="s">
        <v>264</v>
      </c>
      <c r="B174" s="142" t="s">
        <v>271</v>
      </c>
      <c r="C174" s="144">
        <v>4</v>
      </c>
      <c r="D174" s="143">
        <v>5771.52</v>
      </c>
      <c r="E174" s="144">
        <v>6197.200000000001</v>
      </c>
      <c r="F174" s="144">
        <v>4</v>
      </c>
      <c r="G174" s="145">
        <f t="shared" si="77"/>
      </c>
      <c r="H174" s="145">
        <f t="shared" si="47"/>
      </c>
      <c r="I174" s="145">
        <f t="shared" si="17"/>
      </c>
      <c r="J174" s="145">
        <f t="shared" si="107"/>
      </c>
      <c r="K174" s="145"/>
    </row>
    <row r="175">
      <c r="A175" s="139" t="s">
        <v>272</v>
      </c>
      <c r="B175" s="139"/>
      <c r="C175" s="139">
        <f>SUM(C172:C174)</f>
      </c>
      <c r="D175" s="139">
        <f>SUM(D172:D174)</f>
      </c>
      <c r="E175" s="139">
        <f>SUM(E172:E174)</f>
      </c>
      <c r="F175" s="139">
        <f>SUM(F172:F174)</f>
      </c>
      <c r="G175" s="147">
        <f t="shared" si="77"/>
      </c>
      <c r="H175" s="147">
        <f t="shared" si="47"/>
      </c>
      <c r="I175" s="147">
        <f t="shared" si="17"/>
      </c>
      <c r="J175" s="147">
        <f t="shared" si="107"/>
      </c>
      <c r="K175" s="147"/>
    </row>
    <row r="176">
      <c r="A176" s="148" t="s">
        <v>273</v>
      </c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</row>
    <row r="177">
      <c r="A177" s="149" t="s">
        <v>257</v>
      </c>
      <c r="B177" s="149" t="s">
        <v>274</v>
      </c>
      <c r="C177" s="149" t="s">
        <v>275</v>
      </c>
      <c r="D177" s="149" t="s">
        <v>276</v>
      </c>
      <c r="E177" s="149" t="s">
        <v>277</v>
      </c>
      <c r="F177" s="149" t="s">
        <v>278</v>
      </c>
      <c r="G177" s="149" t="s">
        <v>279</v>
      </c>
      <c r="H177" s="150" t="s">
        <v>280</v>
      </c>
      <c r="I177" s="150" t="s">
        <v>281</v>
      </c>
      <c r="J177" s="150" t="s">
        <v>282</v>
      </c>
      <c r="K177" s="150" t="s">
        <v>256</v>
      </c>
    </row>
    <row r="178">
      <c r="A178" s="151">
        <f>SUM(D172:D174)</f>
      </c>
      <c r="B178" s="152">
        <f>SUM(E172:E174)</f>
      </c>
      <c r="C178" s="152">
        <f>B178/((K178*300)+A178)</f>
      </c>
      <c r="D178" s="153">
        <f>A178/J178</f>
      </c>
      <c r="E178" s="152">
        <f>B178/J178</f>
      </c>
      <c r="F178" s="154">
        <f>J178/I178</f>
      </c>
      <c r="G178" s="154">
        <f>H178/J178</f>
      </c>
      <c r="H178" s="155">
        <v>1</v>
      </c>
      <c r="I178" s="155">
        <v>24</v>
      </c>
      <c r="J178" s="156">
        <f>F175</f>
      </c>
      <c r="K178" s="156">
        <f>C175</f>
      </c>
    </row>
    <row r="179">
      <c r="A179" s="136" t="s">
        <v>303</v>
      </c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</row>
    <row r="180">
      <c r="A180" s="139" t="s">
        <v>254</v>
      </c>
      <c r="B180" s="139" t="s">
        <v>255</v>
      </c>
      <c r="C180" s="139" t="s">
        <v>256</v>
      </c>
      <c r="D180" s="139" t="s">
        <v>257</v>
      </c>
      <c r="E180" s="140" t="s">
        <v>258</v>
      </c>
      <c r="F180" s="139" t="s">
        <v>259</v>
      </c>
      <c r="G180" s="139" t="s">
        <v>260</v>
      </c>
      <c r="H180" s="139" t="s">
        <v>261</v>
      </c>
      <c r="I180" s="139" t="s">
        <v>262</v>
      </c>
      <c r="J180" s="139" t="s">
        <v>263</v>
      </c>
      <c r="K180" s="139"/>
    </row>
    <row r="181">
      <c r="A181" s="146" t="s">
        <v>264</v>
      </c>
      <c r="B181" s="142" t="s">
        <v>285</v>
      </c>
      <c r="C181" s="143">
        <v>4</v>
      </c>
      <c r="D181" s="144">
        <v>4880.4400000000005</v>
      </c>
      <c r="E181" s="144">
        <v>2316</v>
      </c>
      <c r="F181" s="144">
        <v>2</v>
      </c>
      <c r="G181" s="145">
        <f t="shared" ref="G181:G184" si="78">E181/F181</f>
      </c>
      <c r="H181" s="145">
        <f t="shared" ref="H181:H184" si="48">D181/F181</f>
      </c>
      <c r="I181" s="145">
        <f t="shared" ref="I181:I184" si="18">E181/D181</f>
      </c>
      <c r="J181" s="145">
        <f t="shared" ref="J181:J184" si="108">D181/C181</f>
      </c>
      <c r="K181" s="145"/>
    </row>
    <row r="182">
      <c r="A182" s="146" t="s">
        <v>270</v>
      </c>
      <c r="B182" s="142" t="s">
        <v>269</v>
      </c>
      <c r="C182" s="144">
        <v>4</v>
      </c>
      <c r="D182" s="143">
        <v>7019.139999999999</v>
      </c>
      <c r="E182" s="143">
        <v>27626.2</v>
      </c>
      <c r="F182" s="144">
        <v>12</v>
      </c>
      <c r="G182" s="145">
        <f t="shared" si="78"/>
      </c>
      <c r="H182" s="145">
        <f t="shared" si="48"/>
      </c>
      <c r="I182" s="145">
        <f t="shared" si="18"/>
      </c>
      <c r="J182" s="145">
        <f t="shared" si="108"/>
      </c>
      <c r="K182" s="145"/>
    </row>
    <row r="183">
      <c r="A183" s="146" t="s">
        <v>268</v>
      </c>
      <c r="B183" s="142" t="s">
        <v>271</v>
      </c>
      <c r="C183" s="144">
        <v>4</v>
      </c>
      <c r="D183" s="143">
        <v>9224.449999999999</v>
      </c>
      <c r="E183" s="144">
        <v>9412.8</v>
      </c>
      <c r="F183" s="144">
        <v>5</v>
      </c>
      <c r="G183" s="145">
        <f t="shared" si="78"/>
      </c>
      <c r="H183" s="145">
        <f t="shared" si="48"/>
      </c>
      <c r="I183" s="145">
        <f t="shared" si="18"/>
      </c>
      <c r="J183" s="145">
        <f t="shared" si="108"/>
      </c>
      <c r="K183" s="145"/>
    </row>
    <row r="184">
      <c r="A184" s="139" t="s">
        <v>272</v>
      </c>
      <c r="B184" s="139"/>
      <c r="C184" s="139">
        <f>SUM(C181:C183)</f>
      </c>
      <c r="D184" s="139">
        <f>SUM(D181:D183)</f>
      </c>
      <c r="E184" s="139">
        <f>SUM(E181:E183)</f>
      </c>
      <c r="F184" s="139">
        <f>SUM(F181:F183)</f>
      </c>
      <c r="G184" s="147">
        <f t="shared" si="78"/>
      </c>
      <c r="H184" s="147">
        <f t="shared" si="48"/>
      </c>
      <c r="I184" s="147">
        <f t="shared" si="18"/>
      </c>
      <c r="J184" s="147">
        <f t="shared" si="108"/>
      </c>
      <c r="K184" s="147"/>
    </row>
    <row r="185">
      <c r="A185" s="148" t="s">
        <v>273</v>
      </c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</row>
    <row r="186">
      <c r="A186" s="149" t="s">
        <v>257</v>
      </c>
      <c r="B186" s="149" t="s">
        <v>274</v>
      </c>
      <c r="C186" s="149" t="s">
        <v>275</v>
      </c>
      <c r="D186" s="149" t="s">
        <v>276</v>
      </c>
      <c r="E186" s="149" t="s">
        <v>277</v>
      </c>
      <c r="F186" s="149" t="s">
        <v>278</v>
      </c>
      <c r="G186" s="149" t="s">
        <v>279</v>
      </c>
      <c r="H186" s="150" t="s">
        <v>280</v>
      </c>
      <c r="I186" s="150" t="s">
        <v>281</v>
      </c>
      <c r="J186" s="150" t="s">
        <v>282</v>
      </c>
      <c r="K186" s="150" t="s">
        <v>256</v>
      </c>
    </row>
    <row r="187">
      <c r="A187" s="151">
        <f>SUM(D181:D183)</f>
      </c>
      <c r="B187" s="152">
        <f>SUM(E181:E183)</f>
      </c>
      <c r="C187" s="152">
        <f>B187/((K187*300)+A187)</f>
      </c>
      <c r="D187" s="153">
        <f>A187/J187</f>
      </c>
      <c r="E187" s="152">
        <f>B187/J187</f>
      </c>
      <c r="F187" s="154">
        <f>J187/I187</f>
      </c>
      <c r="G187" s="154">
        <f>H187/J187</f>
      </c>
      <c r="H187" s="155">
        <v>4</v>
      </c>
      <c r="I187" s="155">
        <v>29</v>
      </c>
      <c r="J187" s="156">
        <f>F184</f>
      </c>
      <c r="K187" s="156">
        <f>C184</f>
      </c>
    </row>
    <row r="188">
      <c r="A188" s="136" t="s">
        <v>304</v>
      </c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</row>
    <row r="189">
      <c r="A189" s="139" t="s">
        <v>254</v>
      </c>
      <c r="B189" s="139" t="s">
        <v>255</v>
      </c>
      <c r="C189" s="139" t="s">
        <v>256</v>
      </c>
      <c r="D189" s="139" t="s">
        <v>257</v>
      </c>
      <c r="E189" s="140" t="s">
        <v>258</v>
      </c>
      <c r="F189" s="139" t="s">
        <v>259</v>
      </c>
      <c r="G189" s="139" t="s">
        <v>260</v>
      </c>
      <c r="H189" s="139" t="s">
        <v>261</v>
      </c>
      <c r="I189" s="139" t="s">
        <v>262</v>
      </c>
      <c r="J189" s="139" t="s">
        <v>263</v>
      </c>
      <c r="K189" s="139"/>
    </row>
    <row r="190">
      <c r="A190" s="146" t="s">
        <v>286</v>
      </c>
      <c r="B190" s="142" t="s">
        <v>285</v>
      </c>
      <c r="C190" s="143">
        <v>4</v>
      </c>
      <c r="D190" s="144">
        <v>6082.58</v>
      </c>
      <c r="E190" s="144">
        <v>4567.799999999999</v>
      </c>
      <c r="F190" s="144">
        <v>5</v>
      </c>
      <c r="G190" s="145">
        <f t="shared" ref="G190:G193" si="79">E190/F190</f>
      </c>
      <c r="H190" s="145">
        <f t="shared" ref="H190:H193" si="49">D190/F190</f>
      </c>
      <c r="I190" s="145">
        <f t="shared" ref="I190:I193" si="19">E190/D190</f>
      </c>
      <c r="J190" s="145">
        <f t="shared" ref="J190:J193" si="109">D190/C190</f>
      </c>
      <c r="K190" s="145"/>
    </row>
    <row r="191">
      <c r="A191" s="146" t="s">
        <v>268</v>
      </c>
      <c r="B191" s="142" t="s">
        <v>269</v>
      </c>
      <c r="C191" s="144">
        <v>4</v>
      </c>
      <c r="D191" s="143">
        <v>6908.209999999999</v>
      </c>
      <c r="E191" s="143">
        <v>8422.800000000001</v>
      </c>
      <c r="F191" s="144">
        <v>2</v>
      </c>
      <c r="G191" s="145">
        <f t="shared" si="79"/>
      </c>
      <c r="H191" s="145">
        <f t="shared" si="49"/>
      </c>
      <c r="I191" s="145">
        <f t="shared" si="19"/>
      </c>
      <c r="J191" s="145">
        <f t="shared" si="109"/>
      </c>
      <c r="K191" s="145"/>
    </row>
    <row r="192">
      <c r="A192" s="146" t="s">
        <v>264</v>
      </c>
      <c r="B192" s="142" t="s">
        <v>271</v>
      </c>
      <c r="C192" s="144">
        <v>4</v>
      </c>
      <c r="D192" s="143">
        <v>4141.5</v>
      </c>
      <c r="E192" s="144">
        <v>8334.200000000003</v>
      </c>
      <c r="F192" s="144">
        <v>6</v>
      </c>
      <c r="G192" s="145">
        <f t="shared" si="79"/>
      </c>
      <c r="H192" s="145">
        <f t="shared" si="49"/>
      </c>
      <c r="I192" s="145">
        <f t="shared" si="19"/>
      </c>
      <c r="J192" s="145">
        <f t="shared" si="109"/>
      </c>
      <c r="K192" s="145"/>
    </row>
    <row r="193">
      <c r="A193" s="139" t="s">
        <v>272</v>
      </c>
      <c r="B193" s="139"/>
      <c r="C193" s="139">
        <f>SUM(C190:C192)</f>
      </c>
      <c r="D193" s="139">
        <f>SUM(D190:D192)</f>
      </c>
      <c r="E193" s="139">
        <f>SUM(E190:E192)</f>
      </c>
      <c r="F193" s="139">
        <f>SUM(F190:F192)</f>
      </c>
      <c r="G193" s="147">
        <f t="shared" si="79"/>
      </c>
      <c r="H193" s="147">
        <f t="shared" si="49"/>
      </c>
      <c r="I193" s="147">
        <f t="shared" si="19"/>
      </c>
      <c r="J193" s="147">
        <f t="shared" si="109"/>
      </c>
      <c r="K193" s="147"/>
    </row>
    <row r="194">
      <c r="A194" s="148" t="s">
        <v>273</v>
      </c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</row>
    <row r="195">
      <c r="A195" s="149" t="s">
        <v>257</v>
      </c>
      <c r="B195" s="149" t="s">
        <v>274</v>
      </c>
      <c r="C195" s="149" t="s">
        <v>275</v>
      </c>
      <c r="D195" s="149" t="s">
        <v>276</v>
      </c>
      <c r="E195" s="149" t="s">
        <v>277</v>
      </c>
      <c r="F195" s="149" t="s">
        <v>278</v>
      </c>
      <c r="G195" s="149" t="s">
        <v>279</v>
      </c>
      <c r="H195" s="150" t="s">
        <v>280</v>
      </c>
      <c r="I195" s="150" t="s">
        <v>281</v>
      </c>
      <c r="J195" s="150" t="s">
        <v>282</v>
      </c>
      <c r="K195" s="150" t="s">
        <v>256</v>
      </c>
    </row>
    <row r="196">
      <c r="A196" s="151">
        <f>SUM(D190:D192)</f>
      </c>
      <c r="B196" s="152">
        <f>SUM(E190:E192)</f>
      </c>
      <c r="C196" s="152">
        <f>B196/((K196*300)+A196)</f>
      </c>
      <c r="D196" s="153">
        <f>A196/J196</f>
      </c>
      <c r="E196" s="152">
        <f>B196/J196</f>
      </c>
      <c r="F196" s="154">
        <f>J196/I196</f>
      </c>
      <c r="G196" s="154">
        <f>H196/J196</f>
      </c>
      <c r="H196" s="155">
        <v>0</v>
      </c>
      <c r="I196" s="155">
        <v>29</v>
      </c>
      <c r="J196" s="156">
        <f>F193</f>
      </c>
      <c r="K196" s="156">
        <f>C193</f>
      </c>
    </row>
    <row r="197">
      <c r="A197" s="136" t="s">
        <v>305</v>
      </c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</row>
    <row r="198">
      <c r="A198" s="139" t="s">
        <v>254</v>
      </c>
      <c r="B198" s="139" t="s">
        <v>255</v>
      </c>
      <c r="C198" s="139" t="s">
        <v>256</v>
      </c>
      <c r="D198" s="139" t="s">
        <v>257</v>
      </c>
      <c r="E198" s="140" t="s">
        <v>258</v>
      </c>
      <c r="F198" s="139" t="s">
        <v>259</v>
      </c>
      <c r="G198" s="139" t="s">
        <v>260</v>
      </c>
      <c r="H198" s="139" t="s">
        <v>261</v>
      </c>
      <c r="I198" s="139" t="s">
        <v>262</v>
      </c>
      <c r="J198" s="139" t="s">
        <v>263</v>
      </c>
      <c r="K198" s="139"/>
    </row>
    <row r="199">
      <c r="A199" s="146" t="s">
        <v>286</v>
      </c>
      <c r="B199" s="142" t="s">
        <v>285</v>
      </c>
      <c r="C199" s="143">
        <v>4</v>
      </c>
      <c r="D199" s="144">
        <v>5547.77</v>
      </c>
      <c r="E199" s="144">
        <v>2538</v>
      </c>
      <c r="F199" s="144">
        <v>3</v>
      </c>
      <c r="G199" s="145">
        <f t="shared" ref="G199:G202" si="80">E199/F199</f>
      </c>
      <c r="H199" s="145">
        <f t="shared" ref="H199:H202" si="50">D199/F199</f>
      </c>
      <c r="I199" s="145">
        <f t="shared" ref="I199:I202" si="20">E199/D199</f>
      </c>
      <c r="J199" s="145">
        <f t="shared" ref="J199:J202" si="110">D199/C199</f>
      </c>
      <c r="K199" s="145"/>
    </row>
    <row r="200">
      <c r="A200" s="146" t="s">
        <v>268</v>
      </c>
      <c r="B200" s="142" t="s">
        <v>269</v>
      </c>
      <c r="C200" s="144">
        <v>4</v>
      </c>
      <c r="D200" s="144">
        <v>5870.05</v>
      </c>
      <c r="E200" s="144">
        <v>9819.8</v>
      </c>
      <c r="F200" s="144">
        <v>10</v>
      </c>
      <c r="G200" s="145">
        <f t="shared" si="80"/>
      </c>
      <c r="H200" s="145">
        <f t="shared" si="50"/>
      </c>
      <c r="I200" s="145">
        <f t="shared" si="20"/>
      </c>
      <c r="J200" s="145">
        <f t="shared" si="110"/>
      </c>
      <c r="K200" s="145"/>
    </row>
    <row r="201">
      <c r="A201" s="146" t="s">
        <v>264</v>
      </c>
      <c r="B201" s="142" t="s">
        <v>271</v>
      </c>
      <c r="C201" s="144">
        <v>4</v>
      </c>
      <c r="D201" s="144">
        <v>7803.57</v>
      </c>
      <c r="E201" s="144">
        <v>19458.8</v>
      </c>
      <c r="F201" s="144">
        <v>10</v>
      </c>
      <c r="G201" s="145">
        <f t="shared" si="80"/>
      </c>
      <c r="H201" s="145">
        <f t="shared" si="50"/>
      </c>
      <c r="I201" s="145">
        <f t="shared" si="20"/>
      </c>
      <c r="J201" s="145">
        <f t="shared" si="110"/>
      </c>
      <c r="K201" s="145"/>
    </row>
    <row r="202">
      <c r="A202" s="139" t="s">
        <v>272</v>
      </c>
      <c r="B202" s="139"/>
      <c r="C202" s="139">
        <f>SUM(C199:C201)</f>
      </c>
      <c r="D202" s="139">
        <f>SUM(D199:D201)</f>
      </c>
      <c r="E202" s="139">
        <f>SUM(E199:E201)</f>
      </c>
      <c r="F202" s="139">
        <f>SUM(F199:F201)</f>
      </c>
      <c r="G202" s="147">
        <f t="shared" si="80"/>
      </c>
      <c r="H202" s="147">
        <f t="shared" si="50"/>
      </c>
      <c r="I202" s="147">
        <f t="shared" si="20"/>
      </c>
      <c r="J202" s="147">
        <f t="shared" si="110"/>
      </c>
      <c r="K202" s="147"/>
    </row>
    <row r="203">
      <c r="A203" s="148" t="s">
        <v>273</v>
      </c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</row>
    <row r="204">
      <c r="A204" s="149" t="s">
        <v>257</v>
      </c>
      <c r="B204" s="149" t="s">
        <v>274</v>
      </c>
      <c r="C204" s="149" t="s">
        <v>275</v>
      </c>
      <c r="D204" s="149" t="s">
        <v>276</v>
      </c>
      <c r="E204" s="149" t="s">
        <v>277</v>
      </c>
      <c r="F204" s="149" t="s">
        <v>278</v>
      </c>
      <c r="G204" s="149" t="s">
        <v>279</v>
      </c>
      <c r="H204" s="150" t="s">
        <v>280</v>
      </c>
      <c r="I204" s="150" t="s">
        <v>281</v>
      </c>
      <c r="J204" s="150" t="s">
        <v>282</v>
      </c>
      <c r="K204" s="150" t="s">
        <v>256</v>
      </c>
    </row>
    <row r="205">
      <c r="A205" s="151">
        <f>SUM(D199:D201)</f>
      </c>
      <c r="B205" s="152">
        <f>SUM(E199:E201)</f>
      </c>
      <c r="C205" s="152">
        <f>B205/((K205*300)+A205)</f>
      </c>
      <c r="D205" s="153">
        <f>A205/J205</f>
      </c>
      <c r="E205" s="152">
        <f>B205/J205</f>
      </c>
      <c r="F205" s="154">
        <f>J205/I205</f>
      </c>
      <c r="G205" s="154">
        <f>H205/J205</f>
      </c>
      <c r="H205" s="155">
        <v>4</v>
      </c>
      <c r="I205" s="155">
        <v>40</v>
      </c>
      <c r="J205" s="156">
        <f>F202</f>
      </c>
      <c r="K205" s="156">
        <f>C202</f>
      </c>
    </row>
    <row r="206">
      <c r="A206" s="136" t="s">
        <v>306</v>
      </c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</row>
    <row r="207">
      <c r="A207" s="139" t="s">
        <v>254</v>
      </c>
      <c r="B207" s="139" t="s">
        <v>255</v>
      </c>
      <c r="C207" s="139" t="s">
        <v>256</v>
      </c>
      <c r="D207" s="139" t="s">
        <v>257</v>
      </c>
      <c r="E207" s="140" t="s">
        <v>258</v>
      </c>
      <c r="F207" s="139" t="s">
        <v>259</v>
      </c>
      <c r="G207" s="139" t="s">
        <v>260</v>
      </c>
      <c r="H207" s="139" t="s">
        <v>261</v>
      </c>
      <c r="I207" s="139" t="s">
        <v>262</v>
      </c>
      <c r="J207" s="139" t="s">
        <v>263</v>
      </c>
      <c r="K207" s="139"/>
    </row>
    <row r="208">
      <c r="A208" s="146" t="s">
        <v>264</v>
      </c>
      <c r="B208" s="142" t="s">
        <v>285</v>
      </c>
      <c r="C208" s="143">
        <v>4</v>
      </c>
      <c r="D208" s="144">
        <v>8539.68</v>
      </c>
      <c r="E208" s="144">
        <v>8684.2</v>
      </c>
      <c r="F208" s="144">
        <v>6</v>
      </c>
      <c r="G208" s="145">
        <f t="shared" ref="G208:G211" si="81">E208/F208</f>
      </c>
      <c r="H208" s="145">
        <f t="shared" ref="H208:H211" si="51">D208/F208</f>
      </c>
      <c r="I208" s="145">
        <f t="shared" ref="I208:I211" si="21">E208/D208</f>
      </c>
      <c r="J208" s="145">
        <f t="shared" ref="J208:J211" si="111">D208/C208</f>
      </c>
      <c r="K208" s="145"/>
    </row>
    <row r="209">
      <c r="A209" s="146" t="s">
        <v>286</v>
      </c>
      <c r="B209" s="142" t="s">
        <v>269</v>
      </c>
      <c r="C209" s="144">
        <v>4</v>
      </c>
      <c r="D209" s="144">
        <v>8549.43</v>
      </c>
      <c r="E209" s="144">
        <v>3566.4</v>
      </c>
      <c r="F209" s="144">
        <v>4</v>
      </c>
      <c r="G209" s="145">
        <f t="shared" si="81"/>
      </c>
      <c r="H209" s="145">
        <f t="shared" si="51"/>
      </c>
      <c r="I209" s="145">
        <f t="shared" si="21"/>
      </c>
      <c r="J209" s="145">
        <f t="shared" si="111"/>
      </c>
      <c r="K209" s="145"/>
    </row>
    <row r="210">
      <c r="A210" s="146" t="s">
        <v>268</v>
      </c>
      <c r="B210" s="142" t="s">
        <v>271</v>
      </c>
      <c r="C210" s="144">
        <v>4</v>
      </c>
      <c r="D210" s="144">
        <v>6916.44</v>
      </c>
      <c r="E210" s="144">
        <v>18177.4</v>
      </c>
      <c r="F210" s="144">
        <v>11</v>
      </c>
      <c r="G210" s="145">
        <f t="shared" si="81"/>
      </c>
      <c r="H210" s="145">
        <f t="shared" si="51"/>
      </c>
      <c r="I210" s="145">
        <f t="shared" si="21"/>
      </c>
      <c r="J210" s="145">
        <f t="shared" si="111"/>
      </c>
      <c r="K210" s="145"/>
    </row>
    <row r="211">
      <c r="A211" s="139" t="s">
        <v>272</v>
      </c>
      <c r="B211" s="139"/>
      <c r="C211" s="139">
        <f>SUM(C208:C210)</f>
      </c>
      <c r="D211" s="139">
        <f>SUM(D208:D210)</f>
      </c>
      <c r="E211" s="139">
        <f>SUM(E208:E210)</f>
      </c>
      <c r="F211" s="139">
        <f>SUM(F208:F210)</f>
      </c>
      <c r="G211" s="147">
        <f t="shared" si="81"/>
      </c>
      <c r="H211" s="147">
        <f t="shared" si="51"/>
      </c>
      <c r="I211" s="147">
        <f t="shared" si="21"/>
      </c>
      <c r="J211" s="147">
        <f t="shared" si="111"/>
      </c>
      <c r="K211" s="147"/>
    </row>
    <row r="212">
      <c r="A212" s="148" t="s">
        <v>273</v>
      </c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</row>
    <row r="213">
      <c r="A213" s="149" t="s">
        <v>257</v>
      </c>
      <c r="B213" s="149" t="s">
        <v>274</v>
      </c>
      <c r="C213" s="149" t="s">
        <v>275</v>
      </c>
      <c r="D213" s="149" t="s">
        <v>276</v>
      </c>
      <c r="E213" s="149" t="s">
        <v>277</v>
      </c>
      <c r="F213" s="149" t="s">
        <v>278</v>
      </c>
      <c r="G213" s="149" t="s">
        <v>279</v>
      </c>
      <c r="H213" s="150" t="s">
        <v>280</v>
      </c>
      <c r="I213" s="150" t="s">
        <v>281</v>
      </c>
      <c r="J213" s="150" t="s">
        <v>282</v>
      </c>
      <c r="K213" s="150" t="s">
        <v>256</v>
      </c>
    </row>
    <row r="214">
      <c r="A214" s="151">
        <f>SUM(D208:D210)</f>
      </c>
      <c r="B214" s="152">
        <f>SUM(E208:E210)</f>
      </c>
      <c r="C214" s="152">
        <f>B214/((K214*300)+A214)</f>
      </c>
      <c r="D214" s="153">
        <f>A214/J214</f>
      </c>
      <c r="E214" s="152">
        <f>B214/J214</f>
      </c>
      <c r="F214" s="154">
        <f>J214/I214</f>
      </c>
      <c r="G214" s="154">
        <f>H214/J214</f>
      </c>
      <c r="H214" s="155">
        <v>2</v>
      </c>
      <c r="I214" s="155">
        <v>40</v>
      </c>
      <c r="J214" s="156">
        <f>F211</f>
      </c>
      <c r="K214" s="156">
        <f>C211</f>
      </c>
    </row>
    <row r="215">
      <c r="A215" s="136" t="s">
        <v>307</v>
      </c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</row>
    <row r="216">
      <c r="A216" s="139" t="s">
        <v>254</v>
      </c>
      <c r="B216" s="139" t="s">
        <v>255</v>
      </c>
      <c r="C216" s="139" t="s">
        <v>256</v>
      </c>
      <c r="D216" s="139" t="s">
        <v>257</v>
      </c>
      <c r="E216" s="140" t="s">
        <v>258</v>
      </c>
      <c r="F216" s="139" t="s">
        <v>259</v>
      </c>
      <c r="G216" s="139" t="s">
        <v>260</v>
      </c>
      <c r="H216" s="139" t="s">
        <v>261</v>
      </c>
      <c r="I216" s="139" t="s">
        <v>262</v>
      </c>
      <c r="J216" s="139" t="s">
        <v>263</v>
      </c>
      <c r="K216" s="139"/>
    </row>
    <row r="217">
      <c r="A217" s="146" t="s">
        <v>286</v>
      </c>
      <c r="B217" s="142" t="s">
        <v>285</v>
      </c>
      <c r="C217" s="143">
        <v>4</v>
      </c>
      <c r="D217" s="144">
        <v>7699.4</v>
      </c>
      <c r="E217" s="144">
        <v>29088</v>
      </c>
      <c r="F217" s="144">
        <v>13</v>
      </c>
      <c r="G217" s="145">
        <f t="shared" ref="G217:G220" si="82">E217/F217</f>
      </c>
      <c r="H217" s="145">
        <f t="shared" ref="H217:H220" si="52">D217/F217</f>
      </c>
      <c r="I217" s="145">
        <f t="shared" ref="I217:I220" si="22">E217/D217</f>
      </c>
      <c r="J217" s="145">
        <f t="shared" ref="J217:J220" si="112">D217/C217</f>
      </c>
      <c r="K217" s="145"/>
    </row>
    <row r="218">
      <c r="A218" s="146" t="s">
        <v>268</v>
      </c>
      <c r="B218" s="142" t="s">
        <v>269</v>
      </c>
      <c r="C218" s="144">
        <v>4</v>
      </c>
      <c r="D218" s="144">
        <v>5248.11</v>
      </c>
      <c r="E218" s="144">
        <v>2110.8</v>
      </c>
      <c r="F218" s="144">
        <v>1</v>
      </c>
      <c r="G218" s="145">
        <f t="shared" si="82"/>
      </c>
      <c r="H218" s="145">
        <f t="shared" si="52"/>
      </c>
      <c r="I218" s="145">
        <f t="shared" si="22"/>
      </c>
      <c r="J218" s="145">
        <f t="shared" si="112"/>
      </c>
      <c r="K218" s="145"/>
    </row>
    <row r="219">
      <c r="A219" s="146" t="s">
        <v>264</v>
      </c>
      <c r="B219" s="142" t="s">
        <v>271</v>
      </c>
      <c r="C219" s="144">
        <v>4</v>
      </c>
      <c r="D219" s="144">
        <v>6959.29</v>
      </c>
      <c r="E219" s="144">
        <v>7921.2</v>
      </c>
      <c r="F219" s="144">
        <v>4</v>
      </c>
      <c r="G219" s="145">
        <f t="shared" si="82"/>
      </c>
      <c r="H219" s="145">
        <f t="shared" si="52"/>
      </c>
      <c r="I219" s="145">
        <f t="shared" si="22"/>
      </c>
      <c r="J219" s="145">
        <f t="shared" si="112"/>
      </c>
      <c r="K219" s="145"/>
    </row>
    <row r="220">
      <c r="A220" s="139" t="s">
        <v>272</v>
      </c>
      <c r="B220" s="139"/>
      <c r="C220" s="139">
        <f>SUM(C217:C219)</f>
      </c>
      <c r="D220" s="139">
        <f>SUM(D217:D219)</f>
      </c>
      <c r="E220" s="139">
        <f>SUM(E217:E219)</f>
      </c>
      <c r="F220" s="139">
        <f>SUM(F217:F219)</f>
      </c>
      <c r="G220" s="147">
        <f t="shared" si="82"/>
      </c>
      <c r="H220" s="147">
        <f t="shared" si="52"/>
      </c>
      <c r="I220" s="147">
        <f t="shared" si="22"/>
      </c>
      <c r="J220" s="147">
        <f t="shared" si="112"/>
      </c>
      <c r="K220" s="147"/>
    </row>
    <row r="221">
      <c r="A221" s="148" t="s">
        <v>273</v>
      </c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</row>
    <row r="222">
      <c r="A222" s="149" t="s">
        <v>257</v>
      </c>
      <c r="B222" s="149" t="s">
        <v>274</v>
      </c>
      <c r="C222" s="149" t="s">
        <v>275</v>
      </c>
      <c r="D222" s="149" t="s">
        <v>276</v>
      </c>
      <c r="E222" s="149" t="s">
        <v>277</v>
      </c>
      <c r="F222" s="149" t="s">
        <v>278</v>
      </c>
      <c r="G222" s="149" t="s">
        <v>279</v>
      </c>
      <c r="H222" s="150" t="s">
        <v>280</v>
      </c>
      <c r="I222" s="150" t="s">
        <v>281</v>
      </c>
      <c r="J222" s="150" t="s">
        <v>282</v>
      </c>
      <c r="K222" s="150" t="s">
        <v>256</v>
      </c>
    </row>
    <row r="223">
      <c r="A223" s="151">
        <f>SUM(D217:D219)</f>
      </c>
      <c r="B223" s="152">
        <f>SUM(E217:E219)</f>
      </c>
      <c r="C223" s="152">
        <f>B223/((K223*300)+A223)</f>
      </c>
      <c r="D223" s="153">
        <f>A223/J223</f>
      </c>
      <c r="E223" s="152">
        <f>B223/J223</f>
      </c>
      <c r="F223" s="154">
        <f>J223/I223</f>
      </c>
      <c r="G223" s="154">
        <f>H223/J223</f>
      </c>
      <c r="H223" s="155">
        <v>2</v>
      </c>
      <c r="I223" s="155">
        <v>33</v>
      </c>
      <c r="J223" s="156">
        <f>F220</f>
      </c>
      <c r="K223" s="156">
        <f>C220</f>
      </c>
    </row>
    <row r="224">
      <c r="A224" s="136" t="s">
        <v>308</v>
      </c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</row>
    <row r="225">
      <c r="A225" s="139" t="s">
        <v>254</v>
      </c>
      <c r="B225" s="139" t="s">
        <v>255</v>
      </c>
      <c r="C225" s="139" t="s">
        <v>256</v>
      </c>
      <c r="D225" s="139" t="s">
        <v>257</v>
      </c>
      <c r="E225" s="140" t="s">
        <v>258</v>
      </c>
      <c r="F225" s="139" t="s">
        <v>259</v>
      </c>
      <c r="G225" s="139" t="s">
        <v>260</v>
      </c>
      <c r="H225" s="139" t="s">
        <v>261</v>
      </c>
      <c r="I225" s="139" t="s">
        <v>262</v>
      </c>
      <c r="J225" s="139" t="s">
        <v>263</v>
      </c>
      <c r="K225" s="139"/>
    </row>
    <row r="226">
      <c r="A226" s="146" t="s">
        <v>286</v>
      </c>
      <c r="B226" s="142" t="s">
        <v>285</v>
      </c>
      <c r="C226" s="143">
        <v>4</v>
      </c>
      <c r="D226" s="144">
        <v>7396.719999999999</v>
      </c>
      <c r="E226" s="144">
        <v>9387.599999999999</v>
      </c>
      <c r="F226" s="144">
        <v>5</v>
      </c>
      <c r="G226" s="145">
        <f t="shared" ref="G226:G229" si="83">E226/F226</f>
      </c>
      <c r="H226" s="145">
        <f t="shared" ref="H226:H229" si="53">D226/F226</f>
      </c>
      <c r="I226" s="145">
        <f t="shared" ref="I226:I229" si="23">E226/D226</f>
      </c>
      <c r="J226" s="145">
        <f t="shared" ref="J226:J229" si="113">D226/C226</f>
      </c>
      <c r="K226" s="145"/>
    </row>
    <row r="227">
      <c r="A227" s="146" t="s">
        <v>264</v>
      </c>
      <c r="B227" s="142" t="s">
        <v>269</v>
      </c>
      <c r="C227" s="144">
        <v>4</v>
      </c>
      <c r="D227" s="144">
        <v>6860.46</v>
      </c>
      <c r="E227" s="144">
        <v>12503.6</v>
      </c>
      <c r="F227" s="144">
        <v>7</v>
      </c>
      <c r="G227" s="145">
        <f t="shared" si="83"/>
      </c>
      <c r="H227" s="145">
        <f t="shared" si="53"/>
      </c>
      <c r="I227" s="145">
        <f t="shared" si="23"/>
      </c>
      <c r="J227" s="145">
        <f t="shared" si="113"/>
      </c>
      <c r="K227" s="145"/>
    </row>
    <row r="228">
      <c r="A228" s="146" t="s">
        <v>268</v>
      </c>
      <c r="B228" s="142" t="s">
        <v>271</v>
      </c>
      <c r="C228" s="144">
        <v>4</v>
      </c>
      <c r="D228" s="144">
        <v>6869.56</v>
      </c>
      <c r="E228" s="144">
        <v>16161.8</v>
      </c>
      <c r="F228" s="144">
        <v>8</v>
      </c>
      <c r="G228" s="145">
        <f t="shared" si="83"/>
      </c>
      <c r="H228" s="145">
        <f t="shared" si="53"/>
      </c>
      <c r="I228" s="145">
        <f t="shared" si="23"/>
      </c>
      <c r="J228" s="145">
        <f t="shared" si="113"/>
      </c>
      <c r="K228" s="145"/>
    </row>
    <row r="229">
      <c r="A229" s="139" t="s">
        <v>272</v>
      </c>
      <c r="B229" s="139"/>
      <c r="C229" s="139">
        <f>SUM(C226:C228)</f>
      </c>
      <c r="D229" s="139">
        <f>SUM(D226:D228)</f>
      </c>
      <c r="E229" s="139">
        <f>SUM(E226:E228)</f>
      </c>
      <c r="F229" s="139">
        <f>SUM(F226:F228)</f>
      </c>
      <c r="G229" s="147">
        <f t="shared" si="83"/>
      </c>
      <c r="H229" s="147">
        <f t="shared" si="53"/>
      </c>
      <c r="I229" s="147">
        <f t="shared" si="23"/>
      </c>
      <c r="J229" s="147">
        <f t="shared" si="113"/>
      </c>
      <c r="K229" s="147"/>
    </row>
    <row r="230">
      <c r="A230" s="148" t="s">
        <v>273</v>
      </c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</row>
    <row r="231">
      <c r="A231" s="149" t="s">
        <v>257</v>
      </c>
      <c r="B231" s="149" t="s">
        <v>274</v>
      </c>
      <c r="C231" s="149" t="s">
        <v>275</v>
      </c>
      <c r="D231" s="149" t="s">
        <v>276</v>
      </c>
      <c r="E231" s="149" t="s">
        <v>277</v>
      </c>
      <c r="F231" s="149" t="s">
        <v>278</v>
      </c>
      <c r="G231" s="149" t="s">
        <v>279</v>
      </c>
      <c r="H231" s="150" t="s">
        <v>280</v>
      </c>
      <c r="I231" s="150" t="s">
        <v>281</v>
      </c>
      <c r="J231" s="150" t="s">
        <v>282</v>
      </c>
      <c r="K231" s="150" t="s">
        <v>256</v>
      </c>
    </row>
    <row r="232">
      <c r="A232" s="151">
        <f>SUM(D226:D228)</f>
      </c>
      <c r="B232" s="152">
        <f>SUM(E226:E228)</f>
      </c>
      <c r="C232" s="152">
        <f>B232/((K232*300)+A232)</f>
      </c>
      <c r="D232" s="153">
        <f>A232/J232</f>
      </c>
      <c r="E232" s="152">
        <f>B232/J232</f>
      </c>
      <c r="F232" s="154">
        <f>J232/I232</f>
      </c>
      <c r="G232" s="154">
        <f>H232/J232</f>
      </c>
      <c r="H232" s="155">
        <v>1</v>
      </c>
      <c r="I232" s="155">
        <v>41</v>
      </c>
      <c r="J232" s="156">
        <f>F229</f>
      </c>
      <c r="K232" s="156">
        <f>C229</f>
      </c>
    </row>
    <row r="233">
      <c r="A233" s="136" t="s">
        <v>309</v>
      </c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</row>
    <row r="234">
      <c r="A234" s="139" t="s">
        <v>254</v>
      </c>
      <c r="B234" s="139" t="s">
        <v>255</v>
      </c>
      <c r="C234" s="139" t="s">
        <v>256</v>
      </c>
      <c r="D234" s="139" t="s">
        <v>257</v>
      </c>
      <c r="E234" s="140" t="s">
        <v>258</v>
      </c>
      <c r="F234" s="139" t="s">
        <v>259</v>
      </c>
      <c r="G234" s="139" t="s">
        <v>260</v>
      </c>
      <c r="H234" s="139" t="s">
        <v>261</v>
      </c>
      <c r="I234" s="139" t="s">
        <v>262</v>
      </c>
      <c r="J234" s="139" t="s">
        <v>263</v>
      </c>
      <c r="K234" s="139"/>
    </row>
    <row r="235">
      <c r="A235" s="146" t="s">
        <v>286</v>
      </c>
      <c r="B235" s="142" t="s">
        <v>285</v>
      </c>
      <c r="C235" s="143">
        <v>4</v>
      </c>
      <c r="D235" s="144">
        <v>8633.22</v>
      </c>
      <c r="E235" s="144">
        <v>12384</v>
      </c>
      <c r="F235" s="144">
        <v>8</v>
      </c>
      <c r="G235" s="145">
        <f t="shared" ref="G235:G238" si="84">E235/F235</f>
      </c>
      <c r="H235" s="145">
        <f t="shared" ref="H235:H238" si="54">D235/F235</f>
      </c>
      <c r="I235" s="145">
        <f t="shared" ref="I235:I238" si="24">E235/D235</f>
      </c>
      <c r="J235" s="145">
        <f t="shared" ref="J235:J238" si="114">D235/C235</f>
      </c>
      <c r="K235" s="145"/>
    </row>
    <row r="236">
      <c r="A236" s="146" t="s">
        <v>270</v>
      </c>
      <c r="B236" s="142" t="s">
        <v>269</v>
      </c>
      <c r="C236" s="144">
        <v>4</v>
      </c>
      <c r="D236" s="144">
        <v>6262.969999999999</v>
      </c>
      <c r="E236" s="144">
        <v>6272.4000000000015</v>
      </c>
      <c r="F236" s="144">
        <v>4</v>
      </c>
      <c r="G236" s="145">
        <f t="shared" si="84"/>
      </c>
      <c r="H236" s="145">
        <f t="shared" si="54"/>
      </c>
      <c r="I236" s="145">
        <f t="shared" si="24"/>
      </c>
      <c r="J236" s="145">
        <f t="shared" si="114"/>
      </c>
      <c r="K236" s="145"/>
    </row>
    <row r="237">
      <c r="A237" s="146" t="s">
        <v>264</v>
      </c>
      <c r="B237" s="142" t="s">
        <v>271</v>
      </c>
      <c r="C237" s="144">
        <v>4</v>
      </c>
      <c r="D237" s="144">
        <v>4664.990000000002</v>
      </c>
      <c r="E237" s="144">
        <v>4196</v>
      </c>
      <c r="F237" s="144">
        <v>2</v>
      </c>
      <c r="G237" s="145">
        <f t="shared" si="84"/>
      </c>
      <c r="H237" s="145">
        <f t="shared" si="54"/>
      </c>
      <c r="I237" s="145">
        <f t="shared" si="24"/>
      </c>
      <c r="J237" s="145">
        <f t="shared" si="114"/>
      </c>
      <c r="K237" s="145"/>
    </row>
    <row r="238">
      <c r="A238" s="139" t="s">
        <v>272</v>
      </c>
      <c r="B238" s="139"/>
      <c r="C238" s="139">
        <f>SUM(C235:C237)</f>
      </c>
      <c r="D238" s="139">
        <f>SUM(D235:D237)</f>
      </c>
      <c r="E238" s="139">
        <f>SUM(E235:E237)</f>
      </c>
      <c r="F238" s="139">
        <f>SUM(F235:F237)</f>
      </c>
      <c r="G238" s="147">
        <f t="shared" si="84"/>
      </c>
      <c r="H238" s="147">
        <f t="shared" si="54"/>
      </c>
      <c r="I238" s="147">
        <f t="shared" si="24"/>
      </c>
      <c r="J238" s="147">
        <f t="shared" si="114"/>
      </c>
      <c r="K238" s="147"/>
    </row>
    <row r="239">
      <c r="A239" s="148" t="s">
        <v>273</v>
      </c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</row>
    <row r="240">
      <c r="A240" s="149" t="s">
        <v>257</v>
      </c>
      <c r="B240" s="149" t="s">
        <v>274</v>
      </c>
      <c r="C240" s="149" t="s">
        <v>275</v>
      </c>
      <c r="D240" s="149" t="s">
        <v>276</v>
      </c>
      <c r="E240" s="149" t="s">
        <v>277</v>
      </c>
      <c r="F240" s="149" t="s">
        <v>278</v>
      </c>
      <c r="G240" s="149" t="s">
        <v>279</v>
      </c>
      <c r="H240" s="150" t="s">
        <v>280</v>
      </c>
      <c r="I240" s="150" t="s">
        <v>281</v>
      </c>
      <c r="J240" s="150" t="s">
        <v>282</v>
      </c>
      <c r="K240" s="150" t="s">
        <v>256</v>
      </c>
    </row>
    <row r="241">
      <c r="A241" s="151">
        <f>SUM(D235:D237)</f>
      </c>
      <c r="B241" s="152">
        <f>SUM(E235:E237)</f>
      </c>
      <c r="C241" s="152">
        <f>B241/((K241*300)+A241)</f>
      </c>
      <c r="D241" s="153">
        <f>A241/J241</f>
      </c>
      <c r="E241" s="152">
        <f>B241/J241</f>
      </c>
      <c r="F241" s="154">
        <f>J241/I241</f>
      </c>
      <c r="G241" s="154">
        <f>H241/J241</f>
      </c>
      <c r="H241" s="155">
        <v>1</v>
      </c>
      <c r="I241" s="155">
        <v>25</v>
      </c>
      <c r="J241" s="156">
        <f>F238</f>
      </c>
      <c r="K241" s="156">
        <f>C238</f>
      </c>
    </row>
    <row r="242">
      <c r="A242" s="136" t="s">
        <v>310</v>
      </c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</row>
    <row r="243">
      <c r="A243" s="139" t="s">
        <v>254</v>
      </c>
      <c r="B243" s="139" t="s">
        <v>255</v>
      </c>
      <c r="C243" s="139" t="s">
        <v>256</v>
      </c>
      <c r="D243" s="139" t="s">
        <v>257</v>
      </c>
      <c r="E243" s="140" t="s">
        <v>258</v>
      </c>
      <c r="F243" s="139" t="s">
        <v>259</v>
      </c>
      <c r="G243" s="139" t="s">
        <v>260</v>
      </c>
      <c r="H243" s="139" t="s">
        <v>261</v>
      </c>
      <c r="I243" s="139" t="s">
        <v>262</v>
      </c>
      <c r="J243" s="139" t="s">
        <v>263</v>
      </c>
      <c r="K243" s="139"/>
    </row>
    <row r="244">
      <c r="A244" s="146" t="s">
        <v>286</v>
      </c>
      <c r="B244" s="142" t="s">
        <v>285</v>
      </c>
      <c r="C244" s="143">
        <v>4</v>
      </c>
      <c r="D244" s="144">
        <v>5880.59</v>
      </c>
      <c r="E244" s="144">
        <v>4508.4</v>
      </c>
      <c r="F244" s="144">
        <v>5</v>
      </c>
      <c r="G244" s="145">
        <f t="shared" ref="G244:G247" si="85">E244/F244</f>
      </c>
      <c r="H244" s="145">
        <f t="shared" ref="H244:H247" si="55">D244/F244</f>
      </c>
      <c r="I244" s="145">
        <f t="shared" ref="I244:I247" si="25">E244/D244</f>
      </c>
      <c r="J244" s="145">
        <f t="shared" ref="J244:J247" si="115">D244/C244</f>
      </c>
      <c r="K244" s="145"/>
    </row>
    <row r="245">
      <c r="A245" s="146" t="s">
        <v>270</v>
      </c>
      <c r="B245" s="142" t="s">
        <v>269</v>
      </c>
      <c r="C245" s="144">
        <v>4</v>
      </c>
      <c r="D245" s="144">
        <v>6925.210000000001</v>
      </c>
      <c r="E245" s="144">
        <v>6617.799999999999</v>
      </c>
      <c r="F245" s="144">
        <v>6</v>
      </c>
      <c r="G245" s="145">
        <f t="shared" si="85"/>
      </c>
      <c r="H245" s="145">
        <f t="shared" si="55"/>
      </c>
      <c r="I245" s="145">
        <f t="shared" si="25"/>
      </c>
      <c r="J245" s="145">
        <f t="shared" si="115"/>
      </c>
      <c r="K245" s="145"/>
    </row>
    <row r="246">
      <c r="A246" s="146" t="s">
        <v>264</v>
      </c>
      <c r="B246" s="142" t="s">
        <v>271</v>
      </c>
      <c r="C246" s="144">
        <v>4</v>
      </c>
      <c r="D246" s="144">
        <v>6203.08</v>
      </c>
      <c r="E246" s="144">
        <v>7829.999999999998</v>
      </c>
      <c r="F246" s="144">
        <v>4</v>
      </c>
      <c r="G246" s="145">
        <f t="shared" si="85"/>
      </c>
      <c r="H246" s="145">
        <f t="shared" si="55"/>
      </c>
      <c r="I246" s="145">
        <f t="shared" si="25"/>
      </c>
      <c r="J246" s="145">
        <f t="shared" si="115"/>
      </c>
      <c r="K246" s="145"/>
    </row>
    <row r="247">
      <c r="A247" s="139" t="s">
        <v>272</v>
      </c>
      <c r="B247" s="139"/>
      <c r="C247" s="139">
        <f>SUM(C244:C246)</f>
      </c>
      <c r="D247" s="139">
        <f>SUM(D244:D246)</f>
      </c>
      <c r="E247" s="139">
        <f>SUM(E244:E246)</f>
      </c>
      <c r="F247" s="139">
        <f>SUM(F244:F246)</f>
      </c>
      <c r="G247" s="147">
        <f t="shared" si="85"/>
      </c>
      <c r="H247" s="147">
        <f t="shared" si="55"/>
      </c>
      <c r="I247" s="147">
        <f t="shared" si="25"/>
      </c>
      <c r="J247" s="147">
        <f t="shared" si="115"/>
      </c>
      <c r="K247" s="147"/>
    </row>
    <row r="248">
      <c r="A248" s="148" t="s">
        <v>273</v>
      </c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</row>
    <row r="249">
      <c r="A249" s="149" t="s">
        <v>257</v>
      </c>
      <c r="B249" s="149" t="s">
        <v>274</v>
      </c>
      <c r="C249" s="149" t="s">
        <v>275</v>
      </c>
      <c r="D249" s="149" t="s">
        <v>276</v>
      </c>
      <c r="E249" s="149" t="s">
        <v>277</v>
      </c>
      <c r="F249" s="149" t="s">
        <v>278</v>
      </c>
      <c r="G249" s="149" t="s">
        <v>279</v>
      </c>
      <c r="H249" s="150" t="s">
        <v>280</v>
      </c>
      <c r="I249" s="150" t="s">
        <v>281</v>
      </c>
      <c r="J249" s="150" t="s">
        <v>282</v>
      </c>
      <c r="K249" s="150" t="s">
        <v>256</v>
      </c>
    </row>
    <row r="250">
      <c r="A250" s="151">
        <f>SUM(D244:D246)</f>
      </c>
      <c r="B250" s="152">
        <f>SUM(E244:E246)</f>
      </c>
      <c r="C250" s="152">
        <f>B250/((K250*300)+A250)</f>
      </c>
      <c r="D250" s="153">
        <f>A250/J250</f>
      </c>
      <c r="E250" s="152">
        <f>B250/J250</f>
      </c>
      <c r="F250" s="154">
        <f>J250/I250</f>
      </c>
      <c r="G250" s="154">
        <f>H250/J250</f>
      </c>
      <c r="H250" s="155">
        <v>0</v>
      </c>
      <c r="I250" s="155">
        <v>39</v>
      </c>
      <c r="J250" s="156">
        <f>F247</f>
      </c>
      <c r="K250" s="156">
        <f>C247</f>
      </c>
    </row>
    <row r="251">
      <c r="A251" s="136" t="s">
        <v>311</v>
      </c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</row>
    <row r="252">
      <c r="A252" s="139" t="s">
        <v>254</v>
      </c>
      <c r="B252" s="139" t="s">
        <v>255</v>
      </c>
      <c r="C252" s="139" t="s">
        <v>256</v>
      </c>
      <c r="D252" s="139" t="s">
        <v>257</v>
      </c>
      <c r="E252" s="140" t="s">
        <v>258</v>
      </c>
      <c r="F252" s="139" t="s">
        <v>259</v>
      </c>
      <c r="G252" s="139" t="s">
        <v>260</v>
      </c>
      <c r="H252" s="139" t="s">
        <v>261</v>
      </c>
      <c r="I252" s="139" t="s">
        <v>262</v>
      </c>
      <c r="J252" s="139" t="s">
        <v>263</v>
      </c>
      <c r="K252" s="139"/>
    </row>
    <row r="253">
      <c r="A253" s="146" t="s">
        <v>286</v>
      </c>
      <c r="B253" s="142" t="s">
        <v>285</v>
      </c>
      <c r="C253" s="143">
        <v>4</v>
      </c>
      <c r="D253" s="144">
        <v>5241.34</v>
      </c>
      <c r="E253" s="144">
        <v>2591.6</v>
      </c>
      <c r="F253" s="144">
        <v>2</v>
      </c>
      <c r="G253" s="145">
        <f t="shared" ref="G253:G256" si="86">E253/F253</f>
      </c>
      <c r="H253" s="145">
        <f t="shared" ref="H253:H256" si="56">D253/F253</f>
      </c>
      <c r="I253" s="145">
        <f t="shared" ref="I253:I256" si="26">E253/D253</f>
      </c>
      <c r="J253" s="145">
        <f t="shared" ref="J253:J256" si="116">D253/C253</f>
      </c>
      <c r="K253" s="145"/>
    </row>
    <row r="254">
      <c r="A254" s="146" t="s">
        <v>270</v>
      </c>
      <c r="B254" s="142" t="s">
        <v>269</v>
      </c>
      <c r="C254" s="144">
        <v>4</v>
      </c>
      <c r="D254" s="144">
        <v>3426.619999999999</v>
      </c>
      <c r="E254" s="144">
        <v>835.2000000000003</v>
      </c>
      <c r="F254" s="144">
        <v>1</v>
      </c>
      <c r="G254" s="145">
        <f t="shared" si="86"/>
      </c>
      <c r="H254" s="145">
        <f t="shared" si="56"/>
      </c>
      <c r="I254" s="145">
        <f t="shared" si="26"/>
      </c>
      <c r="J254" s="145">
        <f t="shared" si="116"/>
      </c>
      <c r="K254" s="145"/>
    </row>
    <row r="255">
      <c r="A255" s="146" t="s">
        <v>264</v>
      </c>
      <c r="B255" s="142" t="s">
        <v>271</v>
      </c>
      <c r="C255" s="144">
        <v>4</v>
      </c>
      <c r="D255" s="144">
        <v>3535.2</v>
      </c>
      <c r="E255" s="144">
        <v>1685.6000000000004</v>
      </c>
      <c r="F255" s="144">
        <v>2</v>
      </c>
      <c r="G255" s="145">
        <f t="shared" si="86"/>
      </c>
      <c r="H255" s="145">
        <f t="shared" si="56"/>
      </c>
      <c r="I255" s="145">
        <f t="shared" si="26"/>
      </c>
      <c r="J255" s="145">
        <f t="shared" si="116"/>
      </c>
      <c r="K255" s="145"/>
    </row>
    <row r="256">
      <c r="A256" s="139" t="s">
        <v>272</v>
      </c>
      <c r="B256" s="139"/>
      <c r="C256" s="139">
        <f>SUM(C253:C255)</f>
      </c>
      <c r="D256" s="139">
        <f>SUM(D253:D255)</f>
      </c>
      <c r="E256" s="139">
        <f>SUM(E253:E255)</f>
      </c>
      <c r="F256" s="139">
        <f>SUM(F253:F255)</f>
      </c>
      <c r="G256" s="147">
        <f t="shared" si="86"/>
      </c>
      <c r="H256" s="147">
        <f t="shared" si="56"/>
      </c>
      <c r="I256" s="147">
        <f t="shared" si="26"/>
      </c>
      <c r="J256" s="147">
        <f t="shared" si="116"/>
      </c>
      <c r="K256" s="147"/>
      <c r="L256">
        <f>M256-D256</f>
      </c>
      <c r="M256" s="157">
        <v>12203.16</v>
      </c>
    </row>
    <row r="257">
      <c r="A257" s="148" t="s">
        <v>273</v>
      </c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</row>
    <row r="258">
      <c r="A258" s="149" t="s">
        <v>257</v>
      </c>
      <c r="B258" s="149" t="s">
        <v>274</v>
      </c>
      <c r="C258" s="149" t="s">
        <v>275</v>
      </c>
      <c r="D258" s="149" t="s">
        <v>276</v>
      </c>
      <c r="E258" s="149" t="s">
        <v>277</v>
      </c>
      <c r="F258" s="149" t="s">
        <v>278</v>
      </c>
      <c r="G258" s="149" t="s">
        <v>279</v>
      </c>
      <c r="H258" s="150" t="s">
        <v>280</v>
      </c>
      <c r="I258" s="150" t="s">
        <v>281</v>
      </c>
      <c r="J258" s="150" t="s">
        <v>282</v>
      </c>
      <c r="K258" s="150" t="s">
        <v>256</v>
      </c>
    </row>
    <row r="259">
      <c r="A259" s="151">
        <f>SUM(D253:D255)</f>
      </c>
      <c r="B259" s="152">
        <f>SUM(E253:E255)</f>
      </c>
      <c r="C259" s="152">
        <f>B259/((K259*300)+A259)</f>
      </c>
      <c r="D259" s="153">
        <f>A259/J259</f>
      </c>
      <c r="E259" s="152">
        <f>B259/J259</f>
      </c>
      <c r="F259" s="154">
        <f>J259/I259</f>
      </c>
      <c r="G259" s="154">
        <f>H259/J259</f>
      </c>
      <c r="H259" s="155">
        <v>0</v>
      </c>
      <c r="I259" s="155">
        <v>20</v>
      </c>
      <c r="J259" s="156">
        <f>F256</f>
      </c>
      <c r="K259" s="156">
        <f>C256</f>
      </c>
    </row>
    <row r="260">
      <c r="A260" s="136" t="s">
        <v>312</v>
      </c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</row>
    <row r="261">
      <c r="A261" s="139" t="s">
        <v>254</v>
      </c>
      <c r="B261" s="139" t="s">
        <v>255</v>
      </c>
      <c r="C261" s="139" t="s">
        <v>256</v>
      </c>
      <c r="D261" s="139" t="s">
        <v>257</v>
      </c>
      <c r="E261" s="140" t="s">
        <v>258</v>
      </c>
      <c r="F261" s="139" t="s">
        <v>259</v>
      </c>
      <c r="G261" s="139" t="s">
        <v>260</v>
      </c>
      <c r="H261" s="139" t="s">
        <v>261</v>
      </c>
      <c r="I261" s="139" t="s">
        <v>262</v>
      </c>
      <c r="J261" s="139" t="s">
        <v>263</v>
      </c>
      <c r="K261" s="139"/>
    </row>
    <row r="262">
      <c r="A262" s="146" t="s">
        <v>264</v>
      </c>
      <c r="B262" s="142" t="s">
        <v>285</v>
      </c>
      <c r="C262" s="143">
        <v>4</v>
      </c>
      <c r="D262" s="144">
        <v>6147.65</v>
      </c>
      <c r="E262" s="144">
        <v>9309.2</v>
      </c>
      <c r="F262" s="144">
        <v>7</v>
      </c>
      <c r="G262" s="145">
        <f t="shared" ref="G262:G265" si="87">E262/F262</f>
      </c>
      <c r="H262" s="145">
        <f t="shared" ref="H262:H265" si="57">D262/F262</f>
      </c>
      <c r="I262" s="145">
        <f t="shared" ref="I262:I265" si="27">E262/D262</f>
      </c>
      <c r="J262" s="145">
        <f t="shared" ref="J262:J265" si="117">D262/C262</f>
      </c>
      <c r="K262" s="145"/>
    </row>
    <row r="263">
      <c r="A263" s="146" t="s">
        <v>270</v>
      </c>
      <c r="B263" s="142" t="s">
        <v>269</v>
      </c>
      <c r="C263" s="144">
        <v>4</v>
      </c>
      <c r="D263" s="144">
        <v>3672.4300000000003</v>
      </c>
      <c r="E263" s="144">
        <v>3207.3999999999996</v>
      </c>
      <c r="F263" s="144">
        <v>3</v>
      </c>
      <c r="G263" s="145">
        <f t="shared" si="87"/>
      </c>
      <c r="H263" s="145">
        <f t="shared" si="57"/>
      </c>
      <c r="I263" s="145">
        <f t="shared" si="27"/>
      </c>
      <c r="J263" s="145">
        <f t="shared" si="117"/>
      </c>
      <c r="K263" s="145"/>
    </row>
    <row r="264">
      <c r="A264" s="146" t="s">
        <v>286</v>
      </c>
      <c r="B264" s="142" t="s">
        <v>271</v>
      </c>
      <c r="C264" s="144">
        <v>4</v>
      </c>
      <c r="D264" s="144">
        <v>6073.69</v>
      </c>
      <c r="E264" s="144">
        <v>10457.599999999997</v>
      </c>
      <c r="F264" s="144">
        <v>7</v>
      </c>
      <c r="G264" s="145">
        <f t="shared" si="87"/>
      </c>
      <c r="H264" s="145">
        <f t="shared" si="57"/>
      </c>
      <c r="I264" s="145">
        <f t="shared" si="27"/>
      </c>
      <c r="J264" s="145">
        <f t="shared" si="117"/>
      </c>
      <c r="K264" s="145"/>
    </row>
    <row r="265">
      <c r="A265" s="139" t="s">
        <v>272</v>
      </c>
      <c r="B265" s="139"/>
      <c r="C265" s="139">
        <f>SUM(C262:C264)</f>
      </c>
      <c r="D265" s="139">
        <f>SUM(D262:D264)</f>
      </c>
      <c r="E265" s="139">
        <f>SUM(E262:E264)</f>
      </c>
      <c r="F265" s="139">
        <f>SUM(F262:F264)</f>
      </c>
      <c r="G265" s="147">
        <f t="shared" si="87"/>
      </c>
      <c r="H265" s="147">
        <f t="shared" si="57"/>
      </c>
      <c r="I265" s="147">
        <f t="shared" si="27"/>
      </c>
      <c r="J265" s="147">
        <f t="shared" si="117"/>
      </c>
      <c r="K265" s="147"/>
    </row>
    <row r="266">
      <c r="A266" s="148" t="s">
        <v>273</v>
      </c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</row>
    <row r="267">
      <c r="A267" s="149" t="s">
        <v>257</v>
      </c>
      <c r="B267" s="149" t="s">
        <v>274</v>
      </c>
      <c r="C267" s="149" t="s">
        <v>275</v>
      </c>
      <c r="D267" s="149" t="s">
        <v>276</v>
      </c>
      <c r="E267" s="149" t="s">
        <v>277</v>
      </c>
      <c r="F267" s="149" t="s">
        <v>278</v>
      </c>
      <c r="G267" s="149" t="s">
        <v>279</v>
      </c>
      <c r="H267" s="150" t="s">
        <v>280</v>
      </c>
      <c r="I267" s="150" t="s">
        <v>281</v>
      </c>
      <c r="J267" s="150" t="s">
        <v>282</v>
      </c>
      <c r="K267" s="150" t="s">
        <v>256</v>
      </c>
    </row>
    <row r="268">
      <c r="A268" s="151">
        <f>SUM(D262:D264)</f>
      </c>
      <c r="B268" s="152">
        <f>SUM(E262:E264)</f>
      </c>
      <c r="C268" s="152">
        <f>B268/((K268*300)+A268)</f>
      </c>
      <c r="D268" s="153">
        <f>A268/J268</f>
      </c>
      <c r="E268" s="152">
        <f>B268/J268</f>
      </c>
      <c r="F268" s="154">
        <f>J268/I268</f>
      </c>
      <c r="G268" s="154">
        <f>H268/J268</f>
      </c>
      <c r="H268" s="155">
        <v>2</v>
      </c>
      <c r="I268" s="155">
        <v>26</v>
      </c>
      <c r="J268" s="156">
        <f>F265</f>
      </c>
      <c r="K268" s="156">
        <f>C265</f>
      </c>
    </row>
    <row r="269">
      <c r="A269" s="136" t="s">
        <v>313</v>
      </c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</row>
    <row r="270">
      <c r="A270" s="139" t="s">
        <v>254</v>
      </c>
      <c r="B270" s="139" t="s">
        <v>255</v>
      </c>
      <c r="C270" s="139" t="s">
        <v>256</v>
      </c>
      <c r="D270" s="139" t="s">
        <v>257</v>
      </c>
      <c r="E270" s="140" t="s">
        <v>258</v>
      </c>
      <c r="F270" s="139" t="s">
        <v>259</v>
      </c>
      <c r="G270" s="139" t="s">
        <v>260</v>
      </c>
      <c r="H270" s="139" t="s">
        <v>261</v>
      </c>
      <c r="I270" s="139" t="s">
        <v>262</v>
      </c>
      <c r="J270" s="139" t="s">
        <v>263</v>
      </c>
      <c r="K270" s="139"/>
    </row>
    <row r="271">
      <c r="A271" s="146" t="s">
        <v>264</v>
      </c>
      <c r="B271" s="142" t="s">
        <v>285</v>
      </c>
      <c r="C271" s="143">
        <v>4</v>
      </c>
      <c r="D271" s="144">
        <v>6446.219999999999</v>
      </c>
      <c r="E271" s="144">
        <v>5693.2</v>
      </c>
      <c r="F271" s="144">
        <v>5</v>
      </c>
      <c r="G271" s="145">
        <f t="shared" ref="G271:G274" si="88">E271/F271</f>
      </c>
      <c r="H271" s="145">
        <f t="shared" ref="H271:H274" si="58">D271/F271</f>
      </c>
      <c r="I271" s="145">
        <f t="shared" ref="I271:I274" si="28">E271/D271</f>
      </c>
      <c r="J271" s="145">
        <f t="shared" ref="J271:J274" si="118">D271/C271</f>
      </c>
      <c r="K271" s="145"/>
    </row>
    <row r="272">
      <c r="A272" s="146" t="s">
        <v>270</v>
      </c>
      <c r="B272" s="142" t="s">
        <v>269</v>
      </c>
      <c r="C272" s="144">
        <v>4</v>
      </c>
      <c r="D272" s="144">
        <v>7422.050000000001</v>
      </c>
      <c r="E272" s="144">
        <v>9978</v>
      </c>
      <c r="F272" s="144">
        <v>5</v>
      </c>
      <c r="G272" s="145">
        <f t="shared" si="88"/>
      </c>
      <c r="H272" s="145">
        <f t="shared" si="58"/>
      </c>
      <c r="I272" s="145">
        <f t="shared" si="28"/>
      </c>
      <c r="J272" s="145">
        <f t="shared" si="118"/>
      </c>
      <c r="K272" s="145"/>
    </row>
    <row r="273">
      <c r="A273" s="146" t="s">
        <v>286</v>
      </c>
      <c r="B273" s="142" t="s">
        <v>271</v>
      </c>
      <c r="C273" s="144">
        <v>4</v>
      </c>
      <c r="D273" s="144">
        <v>7799.889999999996</v>
      </c>
      <c r="E273" s="144">
        <v>8437.399999999998</v>
      </c>
      <c r="F273" s="144">
        <v>4</v>
      </c>
      <c r="G273" s="145">
        <f t="shared" si="88"/>
      </c>
      <c r="H273" s="145">
        <f t="shared" si="58"/>
      </c>
      <c r="I273" s="145">
        <f t="shared" si="28"/>
      </c>
      <c r="J273" s="145">
        <f t="shared" si="118"/>
      </c>
      <c r="K273" s="145"/>
    </row>
    <row r="274">
      <c r="A274" s="139" t="s">
        <v>272</v>
      </c>
      <c r="B274" s="139"/>
      <c r="C274" s="139">
        <f>SUM(C271:C273)</f>
      </c>
      <c r="D274" s="139">
        <f>SUM(D271:D273)</f>
      </c>
      <c r="E274" s="139">
        <f>SUM(E271:E273)</f>
      </c>
      <c r="F274" s="139">
        <f>SUM(F271:F273)</f>
      </c>
      <c r="G274" s="147">
        <f t="shared" si="88"/>
      </c>
      <c r="H274" s="147">
        <f t="shared" si="58"/>
      </c>
      <c r="I274" s="147">
        <f t="shared" si="28"/>
      </c>
      <c r="J274" s="147">
        <f t="shared" si="118"/>
      </c>
      <c r="K274" s="147"/>
    </row>
    <row r="275">
      <c r="A275" s="148" t="s">
        <v>273</v>
      </c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</row>
    <row r="276">
      <c r="A276" s="149" t="s">
        <v>257</v>
      </c>
      <c r="B276" s="149" t="s">
        <v>274</v>
      </c>
      <c r="C276" s="149" t="s">
        <v>275</v>
      </c>
      <c r="D276" s="149" t="s">
        <v>276</v>
      </c>
      <c r="E276" s="149" t="s">
        <v>277</v>
      </c>
      <c r="F276" s="149" t="s">
        <v>278</v>
      </c>
      <c r="G276" s="149" t="s">
        <v>279</v>
      </c>
      <c r="H276" s="150" t="s">
        <v>280</v>
      </c>
      <c r="I276" s="150" t="s">
        <v>281</v>
      </c>
      <c r="J276" s="150" t="s">
        <v>282</v>
      </c>
      <c r="K276" s="150" t="s">
        <v>256</v>
      </c>
    </row>
    <row r="277">
      <c r="A277" s="151">
        <f>SUM(D271:D273)</f>
      </c>
      <c r="B277" s="152">
        <f>SUM(E271:E273)</f>
      </c>
      <c r="C277" s="152">
        <f>B277/((K277*300)+A277)</f>
      </c>
      <c r="D277" s="153">
        <f>A277/J277</f>
      </c>
      <c r="E277" s="152">
        <f>B277/J277</f>
      </c>
      <c r="F277" s="154">
        <f>J277/I277</f>
      </c>
      <c r="G277" s="154">
        <f>H277/J277</f>
      </c>
      <c r="H277" s="155">
        <v>2</v>
      </c>
      <c r="I277" s="155">
        <v>35</v>
      </c>
      <c r="J277" s="156">
        <f>F274</f>
      </c>
      <c r="K277" s="156">
        <f>C274</f>
      </c>
    </row>
    <row r="278">
      <c r="A278" s="136" t="s">
        <v>314</v>
      </c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</row>
    <row r="279">
      <c r="A279" s="139" t="s">
        <v>254</v>
      </c>
      <c r="B279" s="139" t="s">
        <v>255</v>
      </c>
      <c r="C279" s="139" t="s">
        <v>256</v>
      </c>
      <c r="D279" s="139" t="s">
        <v>257</v>
      </c>
      <c r="E279" s="140" t="s">
        <v>258</v>
      </c>
      <c r="F279" s="139" t="s">
        <v>259</v>
      </c>
      <c r="G279" s="139" t="s">
        <v>260</v>
      </c>
      <c r="H279" s="139" t="s">
        <v>261</v>
      </c>
      <c r="I279" s="139" t="s">
        <v>262</v>
      </c>
      <c r="J279" s="139" t="s">
        <v>263</v>
      </c>
      <c r="K279" s="139"/>
    </row>
    <row r="280">
      <c r="A280" s="146" t="s">
        <v>286</v>
      </c>
      <c r="B280" s="142" t="s">
        <v>285</v>
      </c>
      <c r="C280" s="143">
        <v>4</v>
      </c>
      <c r="D280" s="144">
        <v>5758.51</v>
      </c>
      <c r="E280" s="144">
        <v>0</v>
      </c>
      <c r="F280" s="144">
        <v>0</v>
      </c>
      <c r="G280" s="145">
        <f t="shared" ref="G280:G282" si="89">E280/F280</f>
      </c>
      <c r="H280" s="145">
        <f t="shared" ref="H280:H282" si="59">D280/F280</f>
      </c>
      <c r="I280" s="145">
        <f t="shared" ref="I280:I282" si="29">E280/D280</f>
      </c>
      <c r="J280" s="145">
        <f t="shared" ref="J280:J282" si="119">D280/C280</f>
      </c>
      <c r="K280" s="145"/>
    </row>
    <row r="281">
      <c r="A281" s="146" t="s">
        <v>270</v>
      </c>
      <c r="B281" s="142" t="s">
        <v>269</v>
      </c>
      <c r="C281" s="144">
        <v>4</v>
      </c>
      <c r="D281" s="144">
        <v>4148.450000000001</v>
      </c>
      <c r="E281" s="144">
        <v>4442.4</v>
      </c>
      <c r="F281" s="158">
        <v>3</v>
      </c>
      <c r="G281" s="145">
        <f t="shared" si="89"/>
      </c>
      <c r="H281" s="145">
        <f t="shared" si="59"/>
      </c>
      <c r="I281" s="145">
        <f t="shared" si="29"/>
      </c>
      <c r="J281" s="145">
        <f t="shared" si="119"/>
      </c>
      <c r="K281" s="145"/>
    </row>
    <row r="282">
      <c r="A282" s="139" t="s">
        <v>272</v>
      </c>
      <c r="B282" s="139"/>
      <c r="C282" s="139">
        <f>SUM(C280:C281)</f>
      </c>
      <c r="D282" s="139">
        <f>SUM(D280:D281)</f>
      </c>
      <c r="E282" s="139">
        <f>SUM(E280:E281)</f>
      </c>
      <c r="F282" s="139">
        <f>SUM(F280:F281)</f>
      </c>
      <c r="G282" s="147">
        <f t="shared" si="89"/>
      </c>
      <c r="H282" s="147">
        <f t="shared" si="59"/>
      </c>
      <c r="I282" s="147">
        <f t="shared" si="29"/>
      </c>
      <c r="J282" s="147">
        <f t="shared" si="119"/>
      </c>
      <c r="K282" s="147"/>
    </row>
    <row r="283">
      <c r="A283" s="148" t="s">
        <v>273</v>
      </c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</row>
    <row r="284">
      <c r="A284" s="149" t="s">
        <v>257</v>
      </c>
      <c r="B284" s="149" t="s">
        <v>274</v>
      </c>
      <c r="C284" s="149" t="s">
        <v>275</v>
      </c>
      <c r="D284" s="149" t="s">
        <v>276</v>
      </c>
      <c r="E284" s="149" t="s">
        <v>277</v>
      </c>
      <c r="F284" s="149" t="s">
        <v>278</v>
      </c>
      <c r="G284" s="149" t="s">
        <v>279</v>
      </c>
      <c r="H284" s="150" t="s">
        <v>280</v>
      </c>
      <c r="I284" s="150" t="s">
        <v>281</v>
      </c>
      <c r="J284" s="150" t="s">
        <v>282</v>
      </c>
      <c r="K284" s="150" t="s">
        <v>256</v>
      </c>
    </row>
    <row r="285">
      <c r="A285" s="151">
        <f>SUM(D280:D281)</f>
      </c>
      <c r="B285" s="152">
        <f>SUM(E280:E281)</f>
      </c>
      <c r="C285" s="152">
        <f>B285/((K285*300)+A285)</f>
      </c>
      <c r="D285" s="153">
        <f>A285/J285</f>
      </c>
      <c r="E285" s="152">
        <f>B285/J285</f>
      </c>
      <c r="F285" s="154">
        <f>J285/I285</f>
      </c>
      <c r="G285" s="154">
        <f>H285/J285</f>
      </c>
      <c r="H285" s="155">
        <v>0</v>
      </c>
      <c r="I285" s="159">
        <v>18</v>
      </c>
      <c r="J285" s="156">
        <f>F282</f>
      </c>
      <c r="K285" s="156">
        <f>C282</f>
      </c>
    </row>
    <row r="286">
      <c r="A286" s="138"/>
      <c r="B286" s="138"/>
      <c r="C286" s="138"/>
      <c r="D286" s="160">
        <f>D287-D282</f>
      </c>
      <c r="E286" s="138"/>
      <c r="F286" s="138">
        <f>F287-F282</f>
      </c>
      <c r="G286" s="138"/>
      <c r="H286" s="138"/>
      <c r="I286" s="138"/>
      <c r="J286" s="138"/>
      <c r="K286" s="138"/>
    </row>
    <row r="287">
      <c r="A287" s="138"/>
      <c r="B287" s="138"/>
      <c r="C287" s="138"/>
      <c r="D287" s="161">
        <v>9906.960000000001</v>
      </c>
      <c r="E287" s="161"/>
      <c r="F287" s="161"/>
      <c r="G287" s="138"/>
      <c r="H287" s="138"/>
      <c r="I287" s="138"/>
      <c r="J287" s="138"/>
      <c r="K287" s="138"/>
    </row>
  </sheetData>
  <mergeCells>
    <mergeCell ref="A283:K283"/>
    <mergeCell ref="J282:K282"/>
    <mergeCell ref="J281:K281"/>
    <mergeCell ref="J280:K280"/>
    <mergeCell ref="J279:K279"/>
    <mergeCell ref="A278:K278"/>
    <mergeCell ref="A275:K275"/>
    <mergeCell ref="J274:K274"/>
    <mergeCell ref="J273:K273"/>
    <mergeCell ref="J272:K272"/>
    <mergeCell ref="J271:K271"/>
    <mergeCell ref="J270:K270"/>
    <mergeCell ref="A269:K269"/>
    <mergeCell ref="A266:K266"/>
    <mergeCell ref="J265:K265"/>
    <mergeCell ref="J264:K264"/>
    <mergeCell ref="J263:K263"/>
    <mergeCell ref="J262:K262"/>
    <mergeCell ref="J261:K261"/>
    <mergeCell ref="A260:K260"/>
    <mergeCell ref="A257:K257"/>
    <mergeCell ref="J256:K256"/>
    <mergeCell ref="J255:K255"/>
    <mergeCell ref="J254:K254"/>
    <mergeCell ref="J253:K253"/>
    <mergeCell ref="J252:K252"/>
    <mergeCell ref="A251:K251"/>
    <mergeCell ref="A248:K248"/>
    <mergeCell ref="J247:K247"/>
    <mergeCell ref="J246:K246"/>
    <mergeCell ref="J245:K245"/>
    <mergeCell ref="J244:K244"/>
    <mergeCell ref="J243:K243"/>
    <mergeCell ref="A242:K242"/>
    <mergeCell ref="A239:K239"/>
    <mergeCell ref="J238:K238"/>
    <mergeCell ref="J237:K237"/>
    <mergeCell ref="J236:K236"/>
    <mergeCell ref="J235:K235"/>
    <mergeCell ref="J234:K234"/>
    <mergeCell ref="A233:K233"/>
    <mergeCell ref="A230:K230"/>
    <mergeCell ref="J229:K229"/>
    <mergeCell ref="J228:K228"/>
    <mergeCell ref="J227:K227"/>
    <mergeCell ref="J226:K226"/>
    <mergeCell ref="J225:K225"/>
    <mergeCell ref="A224:K224"/>
    <mergeCell ref="A221:K221"/>
    <mergeCell ref="J220:K220"/>
    <mergeCell ref="J219:K219"/>
    <mergeCell ref="J218:K218"/>
    <mergeCell ref="J217:K217"/>
    <mergeCell ref="J216:K216"/>
    <mergeCell ref="A215:K215"/>
    <mergeCell ref="A212:K212"/>
    <mergeCell ref="J211:K211"/>
    <mergeCell ref="J210:K210"/>
    <mergeCell ref="J209:K209"/>
    <mergeCell ref="J208:K208"/>
    <mergeCell ref="J207:K207"/>
    <mergeCell ref="A206:K206"/>
    <mergeCell ref="A203:K203"/>
    <mergeCell ref="J202:K202"/>
    <mergeCell ref="J201:K201"/>
    <mergeCell ref="J200:K200"/>
    <mergeCell ref="J199:K199"/>
    <mergeCell ref="J198:K198"/>
    <mergeCell ref="A197:K197"/>
    <mergeCell ref="A194:K194"/>
    <mergeCell ref="J193:K193"/>
    <mergeCell ref="J192:K192"/>
    <mergeCell ref="J191:K191"/>
    <mergeCell ref="J190:K190"/>
    <mergeCell ref="J189:K189"/>
    <mergeCell ref="A188:K188"/>
    <mergeCell ref="A185:K185"/>
    <mergeCell ref="J184:K184"/>
    <mergeCell ref="J183:K183"/>
    <mergeCell ref="J182:K182"/>
    <mergeCell ref="J181:K181"/>
    <mergeCell ref="J180:K180"/>
    <mergeCell ref="A179:K179"/>
    <mergeCell ref="A176:K176"/>
    <mergeCell ref="J175:K175"/>
    <mergeCell ref="J174:K174"/>
    <mergeCell ref="J173:K173"/>
    <mergeCell ref="J172:K172"/>
    <mergeCell ref="J171:K171"/>
    <mergeCell ref="A170:K170"/>
    <mergeCell ref="A167:K167"/>
    <mergeCell ref="J166:K166"/>
    <mergeCell ref="J165:K165"/>
    <mergeCell ref="J164:K164"/>
    <mergeCell ref="J163:K163"/>
    <mergeCell ref="J162:K162"/>
    <mergeCell ref="A161:K161"/>
    <mergeCell ref="A158:K158"/>
    <mergeCell ref="J157:K157"/>
    <mergeCell ref="J156:K156"/>
    <mergeCell ref="J155:K155"/>
    <mergeCell ref="J154:K154"/>
    <mergeCell ref="J153:K153"/>
    <mergeCell ref="A152:K152"/>
    <mergeCell ref="A149:K149"/>
    <mergeCell ref="J148:K148"/>
    <mergeCell ref="J147:K147"/>
    <mergeCell ref="J146:K146"/>
    <mergeCell ref="J145:K145"/>
    <mergeCell ref="J144:K144"/>
    <mergeCell ref="A143:K143"/>
    <mergeCell ref="A140:K140"/>
    <mergeCell ref="J139:K139"/>
    <mergeCell ref="J138:K138"/>
    <mergeCell ref="J137:K137"/>
    <mergeCell ref="J136:K136"/>
    <mergeCell ref="J135:K135"/>
    <mergeCell ref="A134:K134"/>
    <mergeCell ref="A131:K131"/>
    <mergeCell ref="J130:K130"/>
    <mergeCell ref="J129:K129"/>
    <mergeCell ref="J128:K128"/>
    <mergeCell ref="J127:K127"/>
    <mergeCell ref="J126:K126"/>
    <mergeCell ref="A125:K125"/>
    <mergeCell ref="A122:K122"/>
    <mergeCell ref="J121:K121"/>
    <mergeCell ref="J120:K120"/>
    <mergeCell ref="J119:K119"/>
    <mergeCell ref="J118:K118"/>
    <mergeCell ref="J117:K117"/>
    <mergeCell ref="A116:K116"/>
    <mergeCell ref="A112:K112"/>
    <mergeCell ref="J111:K111"/>
    <mergeCell ref="J110:K110"/>
    <mergeCell ref="J109:K109"/>
    <mergeCell ref="J108:K108"/>
    <mergeCell ref="J107:K107"/>
    <mergeCell ref="A106:K106"/>
    <mergeCell ref="A28:K28"/>
    <mergeCell ref="J27:K27"/>
    <mergeCell ref="J26:K26"/>
    <mergeCell ref="J25:K25"/>
    <mergeCell ref="J24:K24"/>
    <mergeCell ref="J23:K23"/>
    <mergeCell ref="J22:K22"/>
    <mergeCell ref="A21:K21"/>
    <mergeCell ref="A1:K1"/>
    <mergeCell ref="J2:K2"/>
    <mergeCell ref="J3:K3"/>
    <mergeCell ref="J4:K4"/>
    <mergeCell ref="J5:K5"/>
    <mergeCell ref="J6:K6"/>
    <mergeCell ref="J7:K7"/>
    <mergeCell ref="A8:K8"/>
    <mergeCell ref="A11:K11"/>
    <mergeCell ref="J12:K12"/>
    <mergeCell ref="J13:K13"/>
    <mergeCell ref="J14:K14"/>
    <mergeCell ref="J15:K15"/>
    <mergeCell ref="J16:K16"/>
    <mergeCell ref="J17:K17"/>
    <mergeCell ref="A18:K18"/>
    <mergeCell ref="A31:K31"/>
    <mergeCell ref="J32:K32"/>
    <mergeCell ref="J33:K33"/>
    <mergeCell ref="J34:K34"/>
    <mergeCell ref="J35:K35"/>
    <mergeCell ref="J36:K36"/>
    <mergeCell ref="J37:K37"/>
    <mergeCell ref="A38:K38"/>
    <mergeCell ref="A41:K41"/>
    <mergeCell ref="J42:K42"/>
    <mergeCell ref="J43:K43"/>
    <mergeCell ref="J44:K44"/>
    <mergeCell ref="J45:K45"/>
    <mergeCell ref="J46:K46"/>
    <mergeCell ref="J47:K47"/>
    <mergeCell ref="A48:K48"/>
    <mergeCell ref="A52:K52"/>
    <mergeCell ref="J53:K53"/>
    <mergeCell ref="J54:K54"/>
    <mergeCell ref="J55:K55"/>
    <mergeCell ref="J56:K56"/>
    <mergeCell ref="J57:K57"/>
    <mergeCell ref="J58:K58"/>
    <mergeCell ref="A59:K59"/>
    <mergeCell ref="A63:K63"/>
    <mergeCell ref="J64:K64"/>
    <mergeCell ref="J65:K65"/>
    <mergeCell ref="J66:K66"/>
    <mergeCell ref="J67:K67"/>
    <mergeCell ref="J68:K68"/>
    <mergeCell ref="J69:K69"/>
    <mergeCell ref="A70:K70"/>
    <mergeCell ref="A74:K74"/>
    <mergeCell ref="J75:K75"/>
    <mergeCell ref="J76:K76"/>
    <mergeCell ref="J77:K77"/>
    <mergeCell ref="J78:K78"/>
    <mergeCell ref="J79:K79"/>
    <mergeCell ref="J80:K80"/>
    <mergeCell ref="A81:K81"/>
    <mergeCell ref="A85:K85"/>
    <mergeCell ref="J86:K86"/>
    <mergeCell ref="J87:K87"/>
    <mergeCell ref="J88:K88"/>
    <mergeCell ref="J89:K89"/>
    <mergeCell ref="J90:K90"/>
    <mergeCell ref="J91:K91"/>
    <mergeCell ref="A92:K92"/>
    <mergeCell ref="A96:K96"/>
    <mergeCell ref="J97:K97"/>
    <mergeCell ref="J98:K98"/>
    <mergeCell ref="J99:K99"/>
    <mergeCell ref="J100:K100"/>
    <mergeCell ref="J101:K101"/>
    <mergeCell ref="A102:K10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62" t="s">
        <v>315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>
      <c r="A2" s="163" t="s">
        <v>316</v>
      </c>
      <c r="B2" s="163" t="s">
        <v>317</v>
      </c>
      <c r="C2" s="163" t="s">
        <v>318</v>
      </c>
      <c r="D2" s="163" t="s">
        <v>319</v>
      </c>
      <c r="E2" s="164" t="s">
        <v>320</v>
      </c>
      <c r="F2" s="163" t="s">
        <v>321</v>
      </c>
      <c r="G2" s="163" t="s">
        <v>322</v>
      </c>
      <c r="H2" s="163" t="s">
        <v>323</v>
      </c>
      <c r="I2" s="163" t="s">
        <v>324</v>
      </c>
      <c r="J2" s="163" t="s">
        <v>325</v>
      </c>
      <c r="K2" s="163"/>
    </row>
    <row r="3">
      <c r="A3" s="165" t="s">
        <v>326</v>
      </c>
      <c r="B3" s="166" t="s">
        <v>327</v>
      </c>
      <c r="C3" s="167">
        <v>4</v>
      </c>
      <c r="D3" s="167">
        <v>6859.3</v>
      </c>
      <c r="E3" s="167">
        <v>6456</v>
      </c>
      <c r="F3" s="167">
        <v>6</v>
      </c>
      <c r="G3" s="168">
        <f t="shared" ref="G3:G7" si="93">E3/F3</f>
      </c>
      <c r="H3" s="168">
        <f t="shared" ref="H3:H7" si="0">D3/F3</f>
      </c>
      <c r="I3" s="168">
        <f t="shared" ref="I3:I7" si="31">E3/D3</f>
      </c>
      <c r="J3" s="168">
        <f t="shared" ref="J3:J7" si="62">D3/C3</f>
      </c>
      <c r="K3" s="168"/>
    </row>
    <row r="4">
      <c r="A4" s="165" t="s">
        <v>328</v>
      </c>
      <c r="B4" s="166" t="s">
        <v>329</v>
      </c>
      <c r="C4" s="167">
        <v>2</v>
      </c>
      <c r="D4" s="167">
        <v>3033.580000000001</v>
      </c>
      <c r="E4" s="167">
        <v>2058</v>
      </c>
      <c r="F4" s="167">
        <v>1</v>
      </c>
      <c r="G4" s="168">
        <f t="shared" si="93"/>
      </c>
      <c r="H4" s="168">
        <f t="shared" si="0"/>
      </c>
      <c r="I4" s="168">
        <f t="shared" si="31"/>
      </c>
      <c r="J4" s="168">
        <f t="shared" si="62"/>
      </c>
      <c r="K4" s="168"/>
    </row>
    <row r="5">
      <c r="A5" s="165" t="s">
        <v>330</v>
      </c>
      <c r="B5" s="166" t="s">
        <v>331</v>
      </c>
      <c r="C5" s="167">
        <v>5</v>
      </c>
      <c r="D5" s="167">
        <v>6214.489999999998</v>
      </c>
      <c r="E5" s="167">
        <v>13870.400000000001</v>
      </c>
      <c r="F5" s="167">
        <v>6</v>
      </c>
      <c r="G5" s="168">
        <f t="shared" si="93"/>
      </c>
      <c r="H5" s="168">
        <f t="shared" si="0"/>
      </c>
      <c r="I5" s="168">
        <f t="shared" si="31"/>
      </c>
      <c r="J5" s="168">
        <f t="shared" si="62"/>
      </c>
      <c r="K5" s="168"/>
    </row>
    <row r="6">
      <c r="A6" s="165" t="s">
        <v>332</v>
      </c>
      <c r="B6" s="166" t="s">
        <v>333</v>
      </c>
      <c r="C6" s="167">
        <v>5</v>
      </c>
      <c r="D6" s="167">
        <v>7569.78</v>
      </c>
      <c r="E6" s="167">
        <v>5702.4000000000015</v>
      </c>
      <c r="F6" s="167">
        <v>4</v>
      </c>
      <c r="G6" s="168">
        <f t="shared" si="93"/>
      </c>
      <c r="H6" s="168">
        <f t="shared" si="0"/>
      </c>
      <c r="I6" s="168">
        <f t="shared" si="31"/>
      </c>
      <c r="J6" s="168">
        <f t="shared" si="62"/>
      </c>
      <c r="K6" s="168"/>
    </row>
    <row r="7">
      <c r="A7" s="163" t="s">
        <v>334</v>
      </c>
      <c r="B7" s="163"/>
      <c r="C7" s="163">
        <f>SUM(C3:C6)</f>
      </c>
      <c r="D7" s="163">
        <f>SUM(D3:D6)</f>
      </c>
      <c r="E7" s="163">
        <f>SUM(E3:E6)</f>
      </c>
      <c r="F7" s="163">
        <f>SUM(F3:F6)</f>
      </c>
      <c r="G7" s="169">
        <f t="shared" si="93"/>
      </c>
      <c r="H7" s="169">
        <f t="shared" si="0"/>
      </c>
      <c r="I7" s="169">
        <f t="shared" si="31"/>
      </c>
      <c r="J7" s="169">
        <f t="shared" si="62"/>
      </c>
      <c r="K7" s="169"/>
    </row>
    <row r="8">
      <c r="A8" s="170" t="s">
        <v>335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</row>
    <row r="9">
      <c r="A9" s="171" t="s">
        <v>319</v>
      </c>
      <c r="B9" s="171" t="s">
        <v>336</v>
      </c>
      <c r="C9" s="171" t="s">
        <v>337</v>
      </c>
      <c r="D9" s="171" t="s">
        <v>338</v>
      </c>
      <c r="E9" s="171" t="s">
        <v>339</v>
      </c>
      <c r="F9" s="171" t="s">
        <v>340</v>
      </c>
      <c r="G9" s="171" t="s">
        <v>341</v>
      </c>
      <c r="H9" s="172" t="s">
        <v>342</v>
      </c>
      <c r="I9" s="172" t="s">
        <v>343</v>
      </c>
      <c r="J9" s="172" t="s">
        <v>344</v>
      </c>
      <c r="K9" s="172" t="s">
        <v>318</v>
      </c>
    </row>
    <row customHeight="true" ht="18.452380952380953" r="10">
      <c r="A10" s="173">
        <f>SUM(D3:D6)</f>
      </c>
      <c r="B10" s="174">
        <f>SUM(E3:E6)</f>
      </c>
      <c r="C10" s="174">
        <f>B10/((K10*300)+A10)</f>
      </c>
      <c r="D10" s="175">
        <f>A10/J10</f>
      </c>
      <c r="E10" s="174">
        <f>B10/J10</f>
      </c>
      <c r="F10" s="176">
        <f>J10/I10</f>
      </c>
      <c r="G10" s="176">
        <f>H10/J10</f>
      </c>
      <c r="H10" s="177">
        <v>2</v>
      </c>
      <c r="I10" s="177">
        <v>35</v>
      </c>
      <c r="J10" s="177">
        <f>F7</f>
      </c>
      <c r="K10" s="177">
        <f>C7</f>
      </c>
      <c r="L10" s="178"/>
    </row>
    <row r="11">
      <c r="A11" s="162" t="s">
        <v>345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</row>
    <row r="12">
      <c r="A12" s="163" t="s">
        <v>316</v>
      </c>
      <c r="B12" s="163" t="s">
        <v>317</v>
      </c>
      <c r="C12" s="163" t="s">
        <v>318</v>
      </c>
      <c r="D12" s="163" t="s">
        <v>319</v>
      </c>
      <c r="E12" s="164" t="s">
        <v>320</v>
      </c>
      <c r="F12" s="163" t="s">
        <v>321</v>
      </c>
      <c r="G12" s="163" t="s">
        <v>322</v>
      </c>
      <c r="H12" s="163" t="s">
        <v>323</v>
      </c>
      <c r="I12" s="163" t="s">
        <v>324</v>
      </c>
      <c r="J12" s="163" t="s">
        <v>325</v>
      </c>
      <c r="K12" s="163"/>
    </row>
    <row r="13">
      <c r="A13" s="165" t="s">
        <v>326</v>
      </c>
      <c r="B13" s="166" t="s">
        <v>327</v>
      </c>
      <c r="C13" s="167">
        <v>4</v>
      </c>
      <c r="D13" s="167">
        <v>4880.53</v>
      </c>
      <c r="E13" s="167">
        <v>0</v>
      </c>
      <c r="F13" s="167">
        <v>0</v>
      </c>
      <c r="G13" s="168">
        <f t="shared" ref="G13:G15" si="94">E13/F13</f>
      </c>
      <c r="H13" s="168">
        <f t="shared" ref="H13:H15" si="1">D13/F13</f>
      </c>
      <c r="I13" s="168">
        <f t="shared" ref="I13:I15" si="32">E13/D13</f>
      </c>
      <c r="J13" s="168">
        <f t="shared" ref="J13:J15" si="63">D13/C13</f>
      </c>
      <c r="K13" s="168"/>
    </row>
    <row r="14">
      <c r="A14" s="165" t="s">
        <v>328</v>
      </c>
      <c r="B14" s="166" t="s">
        <v>329</v>
      </c>
      <c r="C14" s="167">
        <v>2</v>
      </c>
      <c r="D14" s="167">
        <v>1786.51</v>
      </c>
      <c r="E14" s="167">
        <v>0</v>
      </c>
      <c r="F14" s="167">
        <v>0</v>
      </c>
      <c r="G14" s="168">
        <f t="shared" si="94"/>
      </c>
      <c r="H14" s="168">
        <f t="shared" si="1"/>
      </c>
      <c r="I14" s="168">
        <f t="shared" si="32"/>
      </c>
      <c r="J14" s="168">
        <f t="shared" si="63"/>
      </c>
      <c r="K14" s="168"/>
    </row>
    <row r="15">
      <c r="A15" s="163" t="s">
        <v>334</v>
      </c>
      <c r="B15" s="163"/>
      <c r="C15" s="163">
        <f>SUM(C13:C14)</f>
      </c>
      <c r="D15" s="163">
        <f>SUM(D13:D14)</f>
      </c>
      <c r="E15" s="163">
        <f>SUM(E13:E14)</f>
      </c>
      <c r="F15" s="163">
        <f>SUM(F13:F14)</f>
      </c>
      <c r="G15" s="169">
        <f t="shared" si="94"/>
      </c>
      <c r="H15" s="169">
        <f t="shared" si="1"/>
      </c>
      <c r="I15" s="169">
        <f t="shared" si="32"/>
      </c>
      <c r="J15" s="169">
        <f t="shared" si="63"/>
      </c>
      <c r="K15" s="169"/>
    </row>
    <row r="16">
      <c r="A16" s="179" t="s">
        <v>335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</row>
    <row r="17">
      <c r="A17" s="180" t="s">
        <v>319</v>
      </c>
      <c r="B17" s="180" t="s">
        <v>336</v>
      </c>
      <c r="C17" s="180" t="s">
        <v>337</v>
      </c>
      <c r="D17" s="180" t="s">
        <v>338</v>
      </c>
      <c r="E17" s="180" t="s">
        <v>339</v>
      </c>
      <c r="F17" s="180" t="s">
        <v>340</v>
      </c>
      <c r="G17" s="180" t="s">
        <v>341</v>
      </c>
      <c r="H17" s="181" t="s">
        <v>342</v>
      </c>
      <c r="I17" s="181" t="s">
        <v>343</v>
      </c>
      <c r="J17" s="181" t="s">
        <v>344</v>
      </c>
      <c r="K17" s="181" t="s">
        <v>318</v>
      </c>
    </row>
    <row r="18">
      <c r="A18" s="173">
        <f>SUM(D13:D14)</f>
      </c>
      <c r="B18" s="173">
        <f>SUM(E13:E14)</f>
      </c>
      <c r="C18" s="174">
        <f>B18/((K18*300)+A18)</f>
      </c>
      <c r="D18" s="175">
        <f>A18/J18</f>
      </c>
      <c r="E18" s="174">
        <f>B18/J18</f>
      </c>
      <c r="F18" s="176">
        <f>J18/I18</f>
      </c>
      <c r="G18" s="176">
        <f>H18/J18</f>
      </c>
      <c r="H18" s="177">
        <v>0</v>
      </c>
      <c r="I18" s="177">
        <v>4</v>
      </c>
      <c r="J18" s="177">
        <f>F15</f>
      </c>
      <c r="K18" s="177">
        <f>C15</f>
      </c>
    </row>
    <row r="19">
      <c r="A19" s="162" t="s">
        <v>346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</row>
    <row r="20">
      <c r="A20" s="163" t="s">
        <v>316</v>
      </c>
      <c r="B20" s="163" t="s">
        <v>317</v>
      </c>
      <c r="C20" s="163" t="s">
        <v>318</v>
      </c>
      <c r="D20" s="163" t="s">
        <v>319</v>
      </c>
      <c r="E20" s="164" t="s">
        <v>320</v>
      </c>
      <c r="F20" s="163" t="s">
        <v>321</v>
      </c>
      <c r="G20" s="163" t="s">
        <v>322</v>
      </c>
      <c r="H20" s="163" t="s">
        <v>323</v>
      </c>
      <c r="I20" s="163" t="s">
        <v>324</v>
      </c>
      <c r="J20" s="163" t="s">
        <v>325</v>
      </c>
      <c r="K20" s="163"/>
    </row>
    <row r="21">
      <c r="A21" s="165" t="s">
        <v>332</v>
      </c>
      <c r="B21" s="166" t="s">
        <v>347</v>
      </c>
      <c r="C21" s="167">
        <v>5</v>
      </c>
      <c r="D21" s="167">
        <v>11765.97</v>
      </c>
      <c r="E21" s="167">
        <v>17043.4</v>
      </c>
      <c r="F21" s="167">
        <v>9</v>
      </c>
      <c r="G21" s="168">
        <f t="shared" ref="G21:G25" si="95">E21/F21</f>
      </c>
      <c r="H21" s="168">
        <f t="shared" ref="H21:H25" si="2">D21/F21</f>
      </c>
      <c r="I21" s="168">
        <f t="shared" ref="I21:I25" si="33">E21/D21</f>
      </c>
      <c r="J21" s="168">
        <f t="shared" ref="J21:J25" si="64">D21/C21</f>
      </c>
      <c r="K21" s="168"/>
    </row>
    <row r="22">
      <c r="A22" s="165" t="s">
        <v>348</v>
      </c>
      <c r="B22" s="166" t="s">
        <v>349</v>
      </c>
      <c r="C22" s="167">
        <v>4</v>
      </c>
      <c r="D22" s="167">
        <v>9848.489999999996</v>
      </c>
      <c r="E22" s="167">
        <v>3614.5999999999985</v>
      </c>
      <c r="F22" s="167">
        <v>4</v>
      </c>
      <c r="G22" s="168">
        <f t="shared" si="95"/>
      </c>
      <c r="H22" s="168">
        <f t="shared" si="2"/>
      </c>
      <c r="I22" s="168">
        <f t="shared" si="33"/>
      </c>
      <c r="J22" s="168">
        <f t="shared" si="64"/>
      </c>
      <c r="K22" s="168"/>
    </row>
    <row r="23">
      <c r="A23" s="165" t="s">
        <v>328</v>
      </c>
      <c r="B23" s="166" t="s">
        <v>350</v>
      </c>
      <c r="C23" s="167">
        <v>2</v>
      </c>
      <c r="D23" s="167">
        <v>4590.720000000001</v>
      </c>
      <c r="E23" s="167">
        <v>956</v>
      </c>
      <c r="F23" s="167">
        <v>1</v>
      </c>
      <c r="G23" s="168">
        <f t="shared" si="95"/>
      </c>
      <c r="H23" s="168">
        <f t="shared" si="2"/>
      </c>
      <c r="I23" s="168">
        <f t="shared" si="33"/>
      </c>
      <c r="J23" s="168">
        <f t="shared" si="64"/>
      </c>
      <c r="K23" s="168"/>
    </row>
    <row r="24">
      <c r="A24" s="165" t="s">
        <v>330</v>
      </c>
      <c r="B24" s="166" t="s">
        <v>333</v>
      </c>
      <c r="C24" s="167">
        <v>5</v>
      </c>
      <c r="D24" s="167">
        <v>11371.34</v>
      </c>
      <c r="E24" s="167">
        <v>16955.200000000004</v>
      </c>
      <c r="F24" s="167">
        <v>11</v>
      </c>
      <c r="G24" s="168">
        <f t="shared" si="95"/>
      </c>
      <c r="H24" s="168">
        <f t="shared" si="2"/>
      </c>
      <c r="I24" s="168">
        <f t="shared" si="33"/>
      </c>
      <c r="J24" s="168">
        <f t="shared" si="64"/>
      </c>
      <c r="K24" s="168"/>
    </row>
    <row r="25">
      <c r="A25" s="163" t="s">
        <v>334</v>
      </c>
      <c r="B25" s="163"/>
      <c r="C25" s="163">
        <f>SUM(C21:C24)</f>
      </c>
      <c r="D25" s="163">
        <f>SUM(D21:D24)</f>
      </c>
      <c r="E25" s="163">
        <f>SUM(E21:E24)</f>
      </c>
      <c r="F25" s="163">
        <f>SUM(F21:F24)</f>
      </c>
      <c r="G25" s="169">
        <f t="shared" si="95"/>
      </c>
      <c r="H25" s="169">
        <f t="shared" si="2"/>
      </c>
      <c r="I25" s="169">
        <f t="shared" si="33"/>
      </c>
      <c r="J25" s="169">
        <f t="shared" si="64"/>
      </c>
      <c r="K25" s="169"/>
    </row>
    <row r="26">
      <c r="A26" s="179" t="s">
        <v>335</v>
      </c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>
      <c r="A27" s="180" t="s">
        <v>319</v>
      </c>
      <c r="B27" s="180" t="s">
        <v>336</v>
      </c>
      <c r="C27" s="180" t="s">
        <v>337</v>
      </c>
      <c r="D27" s="180" t="s">
        <v>338</v>
      </c>
      <c r="E27" s="180" t="s">
        <v>339</v>
      </c>
      <c r="F27" s="180" t="s">
        <v>340</v>
      </c>
      <c r="G27" s="180" t="s">
        <v>341</v>
      </c>
      <c r="H27" s="181" t="s">
        <v>342</v>
      </c>
      <c r="I27" s="181" t="s">
        <v>343</v>
      </c>
      <c r="J27" s="181" t="s">
        <v>344</v>
      </c>
      <c r="K27" s="181" t="s">
        <v>318</v>
      </c>
    </row>
    <row r="28">
      <c r="A28" s="173">
        <f>SUM(D21:D24)</f>
      </c>
      <c r="B28" s="174">
        <f>SUM(E21:E24)</f>
      </c>
      <c r="C28" s="174">
        <f>B28/((K28*300)+A28)</f>
      </c>
      <c r="D28" s="175">
        <f>A28/J28</f>
      </c>
      <c r="E28" s="174">
        <f>B28/J28</f>
      </c>
      <c r="F28" s="176">
        <f>J28/I28</f>
      </c>
      <c r="G28" s="176">
        <f>H28/J28</f>
      </c>
      <c r="H28" s="177">
        <v>2</v>
      </c>
      <c r="I28" s="177">
        <v>42</v>
      </c>
      <c r="J28" s="177">
        <f>F25</f>
      </c>
      <c r="K28" s="177">
        <f>C25</f>
      </c>
      <c r="L28" s="178"/>
    </row>
    <row r="29">
      <c r="A29" s="162" t="s">
        <v>351</v>
      </c>
      <c r="B29" s="162"/>
      <c r="C29" s="162"/>
      <c r="D29" s="162"/>
      <c r="E29" s="162"/>
      <c r="F29" s="162"/>
      <c r="G29" s="162"/>
      <c r="H29" s="162"/>
      <c r="I29" s="162"/>
      <c r="J29" s="162"/>
      <c r="K29" s="162"/>
    </row>
    <row r="30">
      <c r="A30" s="163" t="s">
        <v>316</v>
      </c>
      <c r="B30" s="163" t="s">
        <v>317</v>
      </c>
      <c r="C30" s="163" t="s">
        <v>318</v>
      </c>
      <c r="D30" s="163" t="s">
        <v>319</v>
      </c>
      <c r="E30" s="164" t="s">
        <v>320</v>
      </c>
      <c r="F30" s="163" t="s">
        <v>321</v>
      </c>
      <c r="G30" s="163" t="s">
        <v>322</v>
      </c>
      <c r="H30" s="163" t="s">
        <v>323</v>
      </c>
      <c r="I30" s="163" t="s">
        <v>324</v>
      </c>
      <c r="J30" s="163" t="s">
        <v>325</v>
      </c>
      <c r="K30" s="163"/>
    </row>
    <row r="31">
      <c r="A31" s="165" t="s">
        <v>352</v>
      </c>
      <c r="B31" s="166" t="s">
        <v>327</v>
      </c>
      <c r="C31" s="167">
        <v>4</v>
      </c>
      <c r="D31" s="167">
        <v>3879.9599999999996</v>
      </c>
      <c r="E31" s="167">
        <v>441.6</v>
      </c>
      <c r="F31" s="167">
        <v>1</v>
      </c>
      <c r="G31" s="168">
        <f t="shared" ref="G31:G35" si="96">E31/F31</f>
      </c>
      <c r="H31" s="168">
        <f t="shared" ref="H31:H35" si="3">D31/F31</f>
      </c>
      <c r="I31" s="168">
        <f t="shared" ref="I31:I35" si="34">E31/D31</f>
      </c>
      <c r="J31" s="168">
        <f t="shared" ref="J31:J35" si="65">D31/C31</f>
      </c>
      <c r="K31" s="168"/>
    </row>
    <row r="32">
      <c r="A32" s="165" t="s">
        <v>328</v>
      </c>
      <c r="B32" s="166" t="s">
        <v>329</v>
      </c>
      <c r="C32" s="167">
        <v>2</v>
      </c>
      <c r="D32" s="167">
        <v>2482.56</v>
      </c>
      <c r="E32" s="167">
        <v>879.6</v>
      </c>
      <c r="F32" s="167">
        <v>1</v>
      </c>
      <c r="G32" s="168">
        <f t="shared" si="96"/>
      </c>
      <c r="H32" s="168">
        <f t="shared" si="3"/>
      </c>
      <c r="I32" s="168">
        <f t="shared" si="34"/>
      </c>
      <c r="J32" s="168">
        <f t="shared" si="65"/>
      </c>
      <c r="K32" s="168"/>
    </row>
    <row r="33">
      <c r="A33" s="165" t="s">
        <v>326</v>
      </c>
      <c r="B33" s="166" t="s">
        <v>331</v>
      </c>
      <c r="C33" s="167">
        <v>5</v>
      </c>
      <c r="D33" s="167">
        <v>6259.989999999999</v>
      </c>
      <c r="E33" s="167">
        <v>10819.2</v>
      </c>
      <c r="F33" s="167">
        <v>5</v>
      </c>
      <c r="G33" s="168">
        <f t="shared" si="96"/>
      </c>
      <c r="H33" s="168">
        <f t="shared" si="3"/>
      </c>
      <c r="I33" s="168">
        <f t="shared" si="34"/>
      </c>
      <c r="J33" s="168">
        <f t="shared" si="65"/>
      </c>
      <c r="K33" s="168"/>
    </row>
    <row r="34">
      <c r="A34" s="165" t="s">
        <v>348</v>
      </c>
      <c r="B34" s="166" t="s">
        <v>333</v>
      </c>
      <c r="C34" s="167">
        <v>5</v>
      </c>
      <c r="D34" s="167">
        <v>7739.47</v>
      </c>
      <c r="E34" s="167">
        <v>10176.799999999996</v>
      </c>
      <c r="F34" s="167">
        <v>9</v>
      </c>
      <c r="G34" s="168">
        <f t="shared" si="96"/>
      </c>
      <c r="H34" s="168">
        <f t="shared" si="3"/>
      </c>
      <c r="I34" s="168">
        <f t="shared" si="34"/>
      </c>
      <c r="J34" s="168">
        <f t="shared" si="65"/>
      </c>
      <c r="K34" s="168"/>
    </row>
    <row r="35">
      <c r="A35" s="163" t="s">
        <v>334</v>
      </c>
      <c r="B35" s="163"/>
      <c r="C35" s="163">
        <f>SUM(C31:C34)</f>
      </c>
      <c r="D35" s="163">
        <f>SUM(D31:D34)</f>
      </c>
      <c r="E35" s="163">
        <f>SUM(E31:E34)</f>
      </c>
      <c r="F35" s="163">
        <f>SUM(F31:F34)</f>
      </c>
      <c r="G35" s="169">
        <f t="shared" si="96"/>
      </c>
      <c r="H35" s="169">
        <f t="shared" si="3"/>
      </c>
      <c r="I35" s="169">
        <f t="shared" si="34"/>
      </c>
      <c r="J35" s="169">
        <f t="shared" si="65"/>
      </c>
      <c r="K35" s="169"/>
    </row>
    <row r="36">
      <c r="A36" s="179" t="s">
        <v>335</v>
      </c>
      <c r="B36" s="179"/>
      <c r="C36" s="179"/>
      <c r="D36" s="179"/>
      <c r="E36" s="179"/>
      <c r="F36" s="179"/>
      <c r="G36" s="179"/>
      <c r="H36" s="179"/>
      <c r="I36" s="179"/>
      <c r="J36" s="179"/>
      <c r="K36" s="179"/>
    </row>
    <row r="37">
      <c r="A37" s="180" t="s">
        <v>319</v>
      </c>
      <c r="B37" s="180" t="s">
        <v>336</v>
      </c>
      <c r="C37" s="180" t="s">
        <v>337</v>
      </c>
      <c r="D37" s="180" t="s">
        <v>338</v>
      </c>
      <c r="E37" s="180" t="s">
        <v>339</v>
      </c>
      <c r="F37" s="180" t="s">
        <v>340</v>
      </c>
      <c r="G37" s="180" t="s">
        <v>341</v>
      </c>
      <c r="H37" s="181" t="s">
        <v>342</v>
      </c>
      <c r="I37" s="181" t="s">
        <v>343</v>
      </c>
      <c r="J37" s="181" t="s">
        <v>344</v>
      </c>
      <c r="K37" s="181" t="s">
        <v>318</v>
      </c>
    </row>
    <row r="38">
      <c r="A38" s="173">
        <f>SUM(D31:D34)</f>
      </c>
      <c r="B38" s="174">
        <f>SUM(E31:E34)</f>
      </c>
      <c r="C38" s="174">
        <f>B38/((K38*300)+A38)</f>
      </c>
      <c r="D38" s="175">
        <f>A38/J38</f>
      </c>
      <c r="E38" s="174">
        <f>B38/J38</f>
      </c>
      <c r="F38" s="176">
        <f>J38/I38</f>
      </c>
      <c r="G38" s="176">
        <f>H38/J38</f>
      </c>
      <c r="H38" s="177">
        <v>2</v>
      </c>
      <c r="I38" s="177">
        <v>23</v>
      </c>
      <c r="J38" s="177">
        <f>F35</f>
      </c>
      <c r="K38" s="177">
        <f>C35</f>
      </c>
      <c r="L38" s="178"/>
    </row>
    <row r="39">
      <c r="A39" s="162" t="s">
        <v>353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</row>
    <row r="40">
      <c r="A40" s="163" t="s">
        <v>316</v>
      </c>
      <c r="B40" s="163" t="s">
        <v>317</v>
      </c>
      <c r="C40" s="163" t="s">
        <v>318</v>
      </c>
      <c r="D40" s="163" t="s">
        <v>319</v>
      </c>
      <c r="E40" s="164" t="s">
        <v>320</v>
      </c>
      <c r="F40" s="163" t="s">
        <v>321</v>
      </c>
      <c r="G40" s="163" t="s">
        <v>322</v>
      </c>
      <c r="H40" s="163" t="s">
        <v>323</v>
      </c>
      <c r="I40" s="163" t="s">
        <v>324</v>
      </c>
      <c r="J40" s="163" t="s">
        <v>325</v>
      </c>
      <c r="K40" s="163"/>
    </row>
    <row r="41">
      <c r="A41" s="165" t="s">
        <v>326</v>
      </c>
      <c r="B41" s="166" t="s">
        <v>327</v>
      </c>
      <c r="C41" s="167">
        <v>4</v>
      </c>
      <c r="D41" s="167">
        <v>4187.94</v>
      </c>
      <c r="E41" s="167">
        <v>3898.8</v>
      </c>
      <c r="F41" s="167">
        <v>2</v>
      </c>
      <c r="G41" s="168">
        <f t="shared" ref="G41:G45" si="97">E41/F41</f>
      </c>
      <c r="H41" s="168">
        <f t="shared" ref="H41:H45" si="4">D41/F41</f>
      </c>
      <c r="I41" s="168">
        <f t="shared" ref="I41:I45" si="35">E41/D41</f>
      </c>
      <c r="J41" s="168">
        <f t="shared" ref="J41:J45" si="66">D41/C41</f>
      </c>
      <c r="K41" s="168"/>
    </row>
    <row r="42">
      <c r="A42" s="165" t="s">
        <v>328</v>
      </c>
      <c r="B42" s="166" t="s">
        <v>329</v>
      </c>
      <c r="C42" s="167">
        <v>2</v>
      </c>
      <c r="D42" s="167">
        <v>2072.87</v>
      </c>
      <c r="E42" s="167">
        <v>879.5999999999995</v>
      </c>
      <c r="F42" s="167">
        <v>1</v>
      </c>
      <c r="G42" s="168">
        <f t="shared" si="97"/>
      </c>
      <c r="H42" s="168">
        <f t="shared" si="4"/>
      </c>
      <c r="I42" s="168">
        <f t="shared" si="35"/>
      </c>
      <c r="J42" s="168">
        <f t="shared" si="66"/>
      </c>
      <c r="K42" s="168"/>
    </row>
    <row r="43">
      <c r="A43" s="165" t="s">
        <v>348</v>
      </c>
      <c r="B43" s="166" t="s">
        <v>331</v>
      </c>
      <c r="C43" s="167">
        <v>5</v>
      </c>
      <c r="D43" s="167">
        <v>6184.790000000003</v>
      </c>
      <c r="E43" s="167">
        <v>0</v>
      </c>
      <c r="F43" s="167">
        <v>0</v>
      </c>
      <c r="G43" s="168">
        <f t="shared" si="97"/>
      </c>
      <c r="H43" s="168">
        <f t="shared" si="4"/>
      </c>
      <c r="I43" s="168">
        <f t="shared" si="35"/>
      </c>
      <c r="J43" s="168">
        <f t="shared" si="66"/>
      </c>
      <c r="K43" s="168"/>
    </row>
    <row r="44">
      <c r="A44" s="165" t="s">
        <v>332</v>
      </c>
      <c r="B44" s="166" t="s">
        <v>333</v>
      </c>
      <c r="C44" s="167">
        <v>5</v>
      </c>
      <c r="D44" s="167">
        <v>12154.189999999999</v>
      </c>
      <c r="E44" s="167">
        <v>20628.6</v>
      </c>
      <c r="F44" s="167">
        <v>18</v>
      </c>
      <c r="G44" s="168">
        <f t="shared" si="97"/>
      </c>
      <c r="H44" s="168">
        <f t="shared" si="4"/>
      </c>
      <c r="I44" s="168">
        <f t="shared" si="35"/>
      </c>
      <c r="J44" s="168">
        <f t="shared" si="66"/>
      </c>
      <c r="K44" s="168"/>
    </row>
    <row r="45">
      <c r="A45" s="163" t="s">
        <v>334</v>
      </c>
      <c r="B45" s="163"/>
      <c r="C45" s="163">
        <f>SUM(C41:C44)</f>
      </c>
      <c r="D45" s="163">
        <f>SUM(D41:D44)</f>
      </c>
      <c r="E45" s="163">
        <f>SUM(E41:E44)</f>
      </c>
      <c r="F45" s="163">
        <f>SUM(F41:F44)</f>
      </c>
      <c r="G45" s="169">
        <f t="shared" si="97"/>
      </c>
      <c r="H45" s="169">
        <f t="shared" si="4"/>
      </c>
      <c r="I45" s="169">
        <f t="shared" si="35"/>
      </c>
      <c r="J45" s="169">
        <f t="shared" si="66"/>
      </c>
      <c r="K45" s="169"/>
    </row>
    <row r="46">
      <c r="A46" s="179" t="s">
        <v>335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>
      <c r="A47" s="180" t="s">
        <v>319</v>
      </c>
      <c r="B47" s="180" t="s">
        <v>336</v>
      </c>
      <c r="C47" s="180" t="s">
        <v>337</v>
      </c>
      <c r="D47" s="180" t="s">
        <v>338</v>
      </c>
      <c r="E47" s="180" t="s">
        <v>339</v>
      </c>
      <c r="F47" s="180" t="s">
        <v>340</v>
      </c>
      <c r="G47" s="180" t="s">
        <v>341</v>
      </c>
      <c r="H47" s="181" t="s">
        <v>342</v>
      </c>
      <c r="I47" s="181" t="s">
        <v>343</v>
      </c>
      <c r="J47" s="181" t="s">
        <v>344</v>
      </c>
      <c r="K47" s="181" t="s">
        <v>318</v>
      </c>
    </row>
    <row r="48">
      <c r="A48" s="173">
        <f>SUM(D41:D44)</f>
      </c>
      <c r="B48" s="174">
        <f>SUM(E41:E44)</f>
      </c>
      <c r="C48" s="174">
        <f>B48/((K48*300)+A48)</f>
      </c>
      <c r="D48" s="175">
        <f>A48/J48</f>
      </c>
      <c r="E48" s="174">
        <f>B48/J48</f>
      </c>
      <c r="F48" s="176">
        <f>J48/I48</f>
      </c>
      <c r="G48" s="176">
        <f>H48/J48</f>
      </c>
      <c r="H48" s="177">
        <v>2</v>
      </c>
      <c r="I48" s="177">
        <v>34</v>
      </c>
      <c r="J48" s="177">
        <f>F45</f>
      </c>
      <c r="K48" s="177">
        <f>C45</f>
      </c>
      <c r="L48" s="178"/>
    </row>
    <row r="49">
      <c r="A49" s="162" t="s">
        <v>354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</row>
    <row r="50">
      <c r="A50" s="163" t="s">
        <v>316</v>
      </c>
      <c r="B50" s="163" t="s">
        <v>317</v>
      </c>
      <c r="C50" s="163" t="s">
        <v>318</v>
      </c>
      <c r="D50" s="163" t="s">
        <v>319</v>
      </c>
      <c r="E50" s="164" t="s">
        <v>320</v>
      </c>
      <c r="F50" s="163" t="s">
        <v>321</v>
      </c>
      <c r="G50" s="163" t="s">
        <v>322</v>
      </c>
      <c r="H50" s="163" t="s">
        <v>323</v>
      </c>
      <c r="I50" s="163" t="s">
        <v>324</v>
      </c>
      <c r="J50" s="163" t="s">
        <v>325</v>
      </c>
      <c r="K50" s="163"/>
    </row>
    <row r="51">
      <c r="A51" s="165" t="s">
        <v>326</v>
      </c>
      <c r="B51" s="166" t="s">
        <v>327</v>
      </c>
      <c r="C51" s="167">
        <v>4</v>
      </c>
      <c r="D51" s="167">
        <v>5265.46</v>
      </c>
      <c r="E51" s="167">
        <v>6495.2</v>
      </c>
      <c r="F51" s="167">
        <v>4</v>
      </c>
      <c r="G51" s="168">
        <f t="shared" ref="G51:G55" si="98">E51/F51</f>
      </c>
      <c r="H51" s="168">
        <f t="shared" ref="H51:H55" si="5">D51/F51</f>
      </c>
      <c r="I51" s="168">
        <f t="shared" ref="I51:I55" si="36">E51/D51</f>
      </c>
      <c r="J51" s="168">
        <f t="shared" ref="J51:J55" si="67">D51/C51</f>
      </c>
      <c r="K51" s="168"/>
    </row>
    <row r="52">
      <c r="A52" s="165" t="s">
        <v>328</v>
      </c>
      <c r="B52" s="166" t="s">
        <v>329</v>
      </c>
      <c r="C52" s="167">
        <v>2</v>
      </c>
      <c r="D52" s="167">
        <v>3089.4700000000003</v>
      </c>
      <c r="E52" s="167">
        <v>3219.5999999999995</v>
      </c>
      <c r="F52" s="167">
        <v>3</v>
      </c>
      <c r="G52" s="168">
        <f t="shared" si="98"/>
      </c>
      <c r="H52" s="168">
        <f t="shared" si="5"/>
      </c>
      <c r="I52" s="168">
        <f t="shared" si="36"/>
      </c>
      <c r="J52" s="168">
        <f t="shared" si="67"/>
      </c>
      <c r="K52" s="168"/>
    </row>
    <row r="53">
      <c r="A53" s="165" t="s">
        <v>332</v>
      </c>
      <c r="B53" s="166" t="s">
        <v>331</v>
      </c>
      <c r="C53" s="167">
        <v>5</v>
      </c>
      <c r="D53" s="167">
        <v>5102.07</v>
      </c>
      <c r="E53" s="167">
        <v>1418.4000000000015</v>
      </c>
      <c r="F53" s="167">
        <v>2</v>
      </c>
      <c r="G53" s="168">
        <f t="shared" si="98"/>
      </c>
      <c r="H53" s="168">
        <f t="shared" si="5"/>
      </c>
      <c r="I53" s="168">
        <f t="shared" si="36"/>
      </c>
      <c r="J53" s="168">
        <f t="shared" si="67"/>
      </c>
      <c r="K53" s="168"/>
    </row>
    <row r="54">
      <c r="A54" s="165" t="s">
        <v>348</v>
      </c>
      <c r="B54" s="166" t="s">
        <v>333</v>
      </c>
      <c r="C54" s="167">
        <v>5</v>
      </c>
      <c r="D54" s="167">
        <v>9637.29</v>
      </c>
      <c r="E54" s="167">
        <v>16615.4</v>
      </c>
      <c r="F54" s="167">
        <v>12</v>
      </c>
      <c r="G54" s="168">
        <f t="shared" si="98"/>
      </c>
      <c r="H54" s="168">
        <f t="shared" si="5"/>
      </c>
      <c r="I54" s="168">
        <f t="shared" si="36"/>
      </c>
      <c r="J54" s="168">
        <f t="shared" si="67"/>
      </c>
      <c r="K54" s="168"/>
    </row>
    <row r="55">
      <c r="A55" s="163" t="s">
        <v>334</v>
      </c>
      <c r="B55" s="163"/>
      <c r="C55" s="163">
        <f>SUM(C51:C54)</f>
      </c>
      <c r="D55" s="163">
        <f>SUM(D51:D54)</f>
      </c>
      <c r="E55" s="163">
        <f>SUM(E51:E54)</f>
      </c>
      <c r="F55" s="163">
        <f>SUM(F51:F54)</f>
      </c>
      <c r="G55" s="169">
        <f t="shared" si="98"/>
      </c>
      <c r="H55" s="169">
        <f t="shared" si="5"/>
      </c>
      <c r="I55" s="169">
        <f t="shared" si="36"/>
      </c>
      <c r="J55" s="169">
        <f t="shared" si="67"/>
      </c>
      <c r="K55" s="169"/>
    </row>
    <row r="56">
      <c r="A56" s="179" t="s">
        <v>335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</row>
    <row r="57">
      <c r="A57" s="180" t="s">
        <v>319</v>
      </c>
      <c r="B57" s="180" t="s">
        <v>336</v>
      </c>
      <c r="C57" s="180" t="s">
        <v>337</v>
      </c>
      <c r="D57" s="180" t="s">
        <v>338</v>
      </c>
      <c r="E57" s="180" t="s">
        <v>339</v>
      </c>
      <c r="F57" s="180" t="s">
        <v>340</v>
      </c>
      <c r="G57" s="180" t="s">
        <v>341</v>
      </c>
      <c r="H57" s="181" t="s">
        <v>342</v>
      </c>
      <c r="I57" s="181" t="s">
        <v>343</v>
      </c>
      <c r="J57" s="181" t="s">
        <v>344</v>
      </c>
      <c r="K57" s="181" t="s">
        <v>318</v>
      </c>
    </row>
    <row r="58">
      <c r="A58" s="173">
        <f>SUM(D51:D54)</f>
      </c>
      <c r="B58" s="174">
        <f>SUM(E51:E54)</f>
      </c>
      <c r="C58" s="174">
        <f>B58/((K58*300)+A58)</f>
      </c>
      <c r="D58" s="175">
        <f>A58/J58</f>
      </c>
      <c r="E58" s="174">
        <f>B58/J58</f>
      </c>
      <c r="F58" s="176">
        <f>J58/I58</f>
      </c>
      <c r="G58" s="176">
        <f>H58/J58</f>
      </c>
      <c r="H58" s="177">
        <v>2</v>
      </c>
      <c r="I58" s="177">
        <v>29</v>
      </c>
      <c r="J58" s="177">
        <f>F55</f>
      </c>
      <c r="K58" s="177">
        <f>C55</f>
      </c>
      <c r="L58" s="178"/>
    </row>
    <row r="59">
      <c r="A59" s="162" t="s">
        <v>355</v>
      </c>
      <c r="B59" s="162"/>
      <c r="C59" s="162"/>
      <c r="D59" s="162"/>
      <c r="E59" s="162"/>
      <c r="F59" s="162"/>
      <c r="G59" s="162"/>
      <c r="H59" s="162"/>
      <c r="I59" s="162"/>
      <c r="J59" s="162"/>
      <c r="K59" s="162"/>
    </row>
    <row r="60">
      <c r="A60" s="163" t="s">
        <v>316</v>
      </c>
      <c r="B60" s="163" t="s">
        <v>317</v>
      </c>
      <c r="C60" s="163" t="s">
        <v>318</v>
      </c>
      <c r="D60" s="163" t="s">
        <v>319</v>
      </c>
      <c r="E60" s="164" t="s">
        <v>320</v>
      </c>
      <c r="F60" s="163" t="s">
        <v>321</v>
      </c>
      <c r="G60" s="163" t="s">
        <v>322</v>
      </c>
      <c r="H60" s="163" t="s">
        <v>323</v>
      </c>
      <c r="I60" s="163" t="s">
        <v>324</v>
      </c>
      <c r="J60" s="163" t="s">
        <v>325</v>
      </c>
      <c r="K60" s="163"/>
    </row>
    <row r="61">
      <c r="A61" s="165" t="s">
        <v>326</v>
      </c>
      <c r="B61" s="166" t="s">
        <v>327</v>
      </c>
      <c r="C61" s="167">
        <v>4</v>
      </c>
      <c r="D61" s="167">
        <v>4967.38</v>
      </c>
      <c r="E61" s="167">
        <v>9935.2</v>
      </c>
      <c r="F61" s="167">
        <v>11</v>
      </c>
      <c r="G61" s="168">
        <f t="shared" ref="G61:G65" si="99">E61/F61</f>
      </c>
      <c r="H61" s="168">
        <f t="shared" ref="H61:H65" si="6">D61/F61</f>
      </c>
      <c r="I61" s="168">
        <f t="shared" ref="I61:I65" si="37">E61/D61</f>
      </c>
      <c r="J61" s="168">
        <f t="shared" ref="J61:J65" si="68">D61/C61</f>
      </c>
      <c r="K61" s="168"/>
    </row>
    <row r="62">
      <c r="A62" s="165" t="s">
        <v>328</v>
      </c>
      <c r="B62" s="166" t="s">
        <v>329</v>
      </c>
      <c r="C62" s="167">
        <v>2</v>
      </c>
      <c r="D62" s="167">
        <v>3368.8399999999992</v>
      </c>
      <c r="E62" s="167">
        <v>2665.199999999999</v>
      </c>
      <c r="F62" s="167">
        <v>3</v>
      </c>
      <c r="G62" s="168">
        <f t="shared" si="99"/>
      </c>
      <c r="H62" s="168">
        <f t="shared" si="6"/>
      </c>
      <c r="I62" s="168">
        <f t="shared" si="37"/>
      </c>
      <c r="J62" s="168">
        <f t="shared" si="68"/>
      </c>
      <c r="K62" s="168"/>
    </row>
    <row r="63">
      <c r="A63" s="165" t="s">
        <v>332</v>
      </c>
      <c r="B63" s="166" t="s">
        <v>331</v>
      </c>
      <c r="C63" s="167">
        <v>5</v>
      </c>
      <c r="D63" s="167">
        <v>8480.000000000002</v>
      </c>
      <c r="E63" s="167">
        <v>11171.999999999998</v>
      </c>
      <c r="F63" s="167">
        <v>8</v>
      </c>
      <c r="G63" s="168">
        <f t="shared" si="99"/>
      </c>
      <c r="H63" s="168">
        <f t="shared" si="6"/>
      </c>
      <c r="I63" s="168">
        <f t="shared" si="37"/>
      </c>
      <c r="J63" s="168">
        <f t="shared" si="68"/>
      </c>
      <c r="K63" s="168"/>
    </row>
    <row r="64">
      <c r="A64" s="165" t="s">
        <v>330</v>
      </c>
      <c r="B64" s="166" t="s">
        <v>333</v>
      </c>
      <c r="C64" s="167">
        <v>5</v>
      </c>
      <c r="D64" s="167">
        <v>9716.2</v>
      </c>
      <c r="E64" s="167">
        <v>29566.599999999995</v>
      </c>
      <c r="F64" s="167">
        <v>11</v>
      </c>
      <c r="G64" s="168">
        <f t="shared" si="99"/>
      </c>
      <c r="H64" s="168">
        <f t="shared" si="6"/>
      </c>
      <c r="I64" s="168">
        <f t="shared" si="37"/>
      </c>
      <c r="J64" s="168">
        <f t="shared" si="68"/>
      </c>
      <c r="K64" s="168"/>
    </row>
    <row r="65">
      <c r="A65" s="163" t="s">
        <v>334</v>
      </c>
      <c r="B65" s="163"/>
      <c r="C65" s="163">
        <f>SUM(C61:C64)</f>
      </c>
      <c r="D65" s="163">
        <f>SUM(D61:D64)</f>
      </c>
      <c r="E65" s="163">
        <f>SUM(E61:E64)</f>
      </c>
      <c r="F65" s="163">
        <f>SUM(F61:F64)</f>
      </c>
      <c r="G65" s="169">
        <f t="shared" si="99"/>
      </c>
      <c r="H65" s="169">
        <f t="shared" si="6"/>
      </c>
      <c r="I65" s="169">
        <f t="shared" si="37"/>
      </c>
      <c r="J65" s="169">
        <f t="shared" si="68"/>
      </c>
      <c r="K65" s="169"/>
    </row>
    <row r="66">
      <c r="A66" s="179" t="s">
        <v>335</v>
      </c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>
      <c r="A67" s="180" t="s">
        <v>319</v>
      </c>
      <c r="B67" s="180" t="s">
        <v>336</v>
      </c>
      <c r="C67" s="180" t="s">
        <v>337</v>
      </c>
      <c r="D67" s="180" t="s">
        <v>338</v>
      </c>
      <c r="E67" s="180" t="s">
        <v>339</v>
      </c>
      <c r="F67" s="180" t="s">
        <v>340</v>
      </c>
      <c r="G67" s="180" t="s">
        <v>341</v>
      </c>
      <c r="H67" s="181" t="s">
        <v>342</v>
      </c>
      <c r="I67" s="181" t="s">
        <v>343</v>
      </c>
      <c r="J67" s="181" t="s">
        <v>344</v>
      </c>
      <c r="K67" s="181" t="s">
        <v>318</v>
      </c>
    </row>
    <row r="68">
      <c r="A68" s="173">
        <f>SUM(D61:D64)</f>
      </c>
      <c r="B68" s="174">
        <f>SUM(E61:E64)</f>
      </c>
      <c r="C68" s="174">
        <f>B68/((K68*300)+A68)</f>
      </c>
      <c r="D68" s="175">
        <f>A68/J68</f>
      </c>
      <c r="E68" s="174">
        <f>B68/J68</f>
      </c>
      <c r="F68" s="176">
        <f>J68/I68</f>
      </c>
      <c r="G68" s="176">
        <f>H68/J68</f>
      </c>
      <c r="H68" s="177">
        <v>5</v>
      </c>
      <c r="I68" s="177">
        <v>41</v>
      </c>
      <c r="J68" s="177">
        <f>F65</f>
      </c>
      <c r="K68" s="177">
        <f>C65</f>
      </c>
    </row>
    <row r="69">
      <c r="A69" s="162" t="s">
        <v>356</v>
      </c>
      <c r="B69" s="162"/>
      <c r="C69" s="162"/>
      <c r="D69" s="162"/>
      <c r="E69" s="162"/>
      <c r="F69" s="162"/>
      <c r="G69" s="162"/>
      <c r="H69" s="162"/>
      <c r="I69" s="162"/>
      <c r="J69" s="162"/>
      <c r="K69" s="162"/>
    </row>
    <row r="70">
      <c r="A70" s="163" t="s">
        <v>316</v>
      </c>
      <c r="B70" s="163" t="s">
        <v>317</v>
      </c>
      <c r="C70" s="163" t="s">
        <v>318</v>
      </c>
      <c r="D70" s="163" t="s">
        <v>319</v>
      </c>
      <c r="E70" s="164" t="s">
        <v>320</v>
      </c>
      <c r="F70" s="163" t="s">
        <v>321</v>
      </c>
      <c r="G70" s="163" t="s">
        <v>322</v>
      </c>
      <c r="H70" s="163" t="s">
        <v>323</v>
      </c>
      <c r="I70" s="163" t="s">
        <v>324</v>
      </c>
      <c r="J70" s="163" t="s">
        <v>325</v>
      </c>
      <c r="K70" s="163"/>
    </row>
    <row r="71">
      <c r="A71" s="165" t="s">
        <v>326</v>
      </c>
      <c r="B71" s="166" t="s">
        <v>327</v>
      </c>
      <c r="C71" s="167">
        <v>4</v>
      </c>
      <c r="D71" s="167">
        <v>4098.860000000001</v>
      </c>
      <c r="E71" s="167">
        <v>5623.2</v>
      </c>
      <c r="F71" s="167">
        <v>4</v>
      </c>
      <c r="G71" s="168">
        <f t="shared" ref="G71:G75" si="100">E71/F71</f>
      </c>
      <c r="H71" s="168">
        <f t="shared" ref="H71:H75" si="7">D71/F71</f>
      </c>
      <c r="I71" s="168">
        <f t="shared" ref="I71:I75" si="38">E71/D71</f>
      </c>
      <c r="J71" s="168">
        <f t="shared" ref="J71:J75" si="69">D71/C71</f>
      </c>
      <c r="K71" s="168"/>
    </row>
    <row r="72">
      <c r="A72" s="165" t="s">
        <v>328</v>
      </c>
      <c r="B72" s="166" t="s">
        <v>329</v>
      </c>
      <c r="C72" s="167">
        <v>2</v>
      </c>
      <c r="D72" s="167">
        <v>2818.0799999999995</v>
      </c>
      <c r="E72" s="167">
        <v>0</v>
      </c>
      <c r="F72" s="167">
        <v>0</v>
      </c>
      <c r="G72" s="168">
        <f t="shared" si="100"/>
      </c>
      <c r="H72" s="168">
        <f t="shared" si="7"/>
      </c>
      <c r="I72" s="168">
        <f t="shared" si="38"/>
      </c>
      <c r="J72" s="168">
        <f t="shared" si="69"/>
      </c>
      <c r="K72" s="168"/>
    </row>
    <row r="73">
      <c r="A73" s="165" t="s">
        <v>330</v>
      </c>
      <c r="B73" s="166" t="s">
        <v>331</v>
      </c>
      <c r="C73" s="167">
        <v>5</v>
      </c>
      <c r="D73" s="167">
        <v>7058.85</v>
      </c>
      <c r="E73" s="167">
        <v>6075.599999999999</v>
      </c>
      <c r="F73" s="167">
        <v>3</v>
      </c>
      <c r="G73" s="168">
        <f t="shared" si="100"/>
      </c>
      <c r="H73" s="168">
        <f t="shared" si="7"/>
      </c>
      <c r="I73" s="168">
        <f t="shared" si="38"/>
      </c>
      <c r="J73" s="168">
        <f t="shared" si="69"/>
      </c>
      <c r="K73" s="168"/>
    </row>
    <row r="74">
      <c r="A74" s="165" t="s">
        <v>348</v>
      </c>
      <c r="B74" s="166" t="s">
        <v>333</v>
      </c>
      <c r="C74" s="167">
        <v>5</v>
      </c>
      <c r="D74" s="167">
        <v>4444.290000000001</v>
      </c>
      <c r="E74" s="167">
        <v>806</v>
      </c>
      <c r="F74" s="167">
        <v>1</v>
      </c>
      <c r="G74" s="168">
        <f t="shared" si="100"/>
      </c>
      <c r="H74" s="168">
        <f t="shared" si="7"/>
      </c>
      <c r="I74" s="168">
        <f t="shared" si="38"/>
      </c>
      <c r="J74" s="168">
        <f t="shared" si="69"/>
      </c>
      <c r="K74" s="168"/>
    </row>
    <row r="75">
      <c r="A75" s="163" t="s">
        <v>334</v>
      </c>
      <c r="B75" s="163"/>
      <c r="C75" s="163">
        <f>SUM(C71:C74)</f>
      </c>
      <c r="D75" s="163">
        <f>SUM(D71:D74)</f>
      </c>
      <c r="E75" s="163">
        <f>SUM(E71:E74)</f>
      </c>
      <c r="F75" s="163">
        <f>SUM(F71:F74)</f>
      </c>
      <c r="G75" s="169">
        <f t="shared" si="100"/>
      </c>
      <c r="H75" s="169">
        <f t="shared" si="7"/>
      </c>
      <c r="I75" s="169">
        <f t="shared" si="38"/>
      </c>
      <c r="J75" s="169">
        <f t="shared" si="69"/>
      </c>
      <c r="K75" s="169"/>
    </row>
    <row r="76">
      <c r="A76" s="179" t="s">
        <v>335</v>
      </c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>
      <c r="A77" s="180" t="s">
        <v>319</v>
      </c>
      <c r="B77" s="180" t="s">
        <v>336</v>
      </c>
      <c r="C77" s="180" t="s">
        <v>337</v>
      </c>
      <c r="D77" s="180" t="s">
        <v>338</v>
      </c>
      <c r="E77" s="180" t="s">
        <v>339</v>
      </c>
      <c r="F77" s="180" t="s">
        <v>340</v>
      </c>
      <c r="G77" s="180" t="s">
        <v>341</v>
      </c>
      <c r="H77" s="181" t="s">
        <v>342</v>
      </c>
      <c r="I77" s="181" t="s">
        <v>343</v>
      </c>
      <c r="J77" s="181" t="s">
        <v>344</v>
      </c>
      <c r="K77" s="181" t="s">
        <v>318</v>
      </c>
    </row>
    <row r="78">
      <c r="A78" s="173">
        <f>SUM(D71:D74)</f>
      </c>
      <c r="B78" s="174">
        <f>SUM(E71:E74)</f>
      </c>
      <c r="C78" s="174">
        <f>B78/((K78*300)+A78)</f>
      </c>
      <c r="D78" s="175">
        <f>A78/J78</f>
      </c>
      <c r="E78" s="174">
        <f>B78/J78</f>
      </c>
      <c r="F78" s="176">
        <f>J78/I78</f>
      </c>
      <c r="G78" s="176">
        <f>H78/J78</f>
      </c>
      <c r="H78" s="177">
        <v>0</v>
      </c>
      <c r="I78" s="177">
        <v>23</v>
      </c>
      <c r="J78" s="177">
        <f>F75</f>
      </c>
      <c r="K78" s="177">
        <f>C75</f>
      </c>
    </row>
    <row r="79">
      <c r="A79" s="162" t="s">
        <v>357</v>
      </c>
      <c r="B79" s="162"/>
      <c r="C79" s="162"/>
      <c r="D79" s="162"/>
      <c r="E79" s="162"/>
      <c r="F79" s="162"/>
      <c r="G79" s="162"/>
      <c r="H79" s="162"/>
      <c r="I79" s="162"/>
      <c r="J79" s="162"/>
      <c r="K79" s="162"/>
    </row>
    <row r="80">
      <c r="A80" s="163" t="s">
        <v>316</v>
      </c>
      <c r="B80" s="163" t="s">
        <v>317</v>
      </c>
      <c r="C80" s="163" t="s">
        <v>318</v>
      </c>
      <c r="D80" s="163" t="s">
        <v>319</v>
      </c>
      <c r="E80" s="164" t="s">
        <v>320</v>
      </c>
      <c r="F80" s="163" t="s">
        <v>321</v>
      </c>
      <c r="G80" s="163" t="s">
        <v>322</v>
      </c>
      <c r="H80" s="163" t="s">
        <v>323</v>
      </c>
      <c r="I80" s="163" t="s">
        <v>324</v>
      </c>
      <c r="J80" s="163" t="s">
        <v>325</v>
      </c>
      <c r="K80" s="163"/>
    </row>
    <row r="81">
      <c r="A81" s="165" t="s">
        <v>326</v>
      </c>
      <c r="B81" s="166" t="s">
        <v>358</v>
      </c>
      <c r="C81" s="167">
        <v>4</v>
      </c>
      <c r="D81" s="167">
        <v>3315.23</v>
      </c>
      <c r="E81" s="167">
        <v>1879.2</v>
      </c>
      <c r="F81" s="167">
        <v>2</v>
      </c>
      <c r="G81" s="168">
        <f t="shared" ref="G81:G84" si="101">E81/F81</f>
      </c>
      <c r="H81" s="168">
        <f t="shared" ref="H81:H84" si="8">D81/F81</f>
      </c>
      <c r="I81" s="168">
        <f t="shared" ref="I81:I84" si="39">E81/D81</f>
      </c>
      <c r="J81" s="168">
        <f t="shared" ref="J81:J84" si="70">D81/C81</f>
      </c>
      <c r="K81" s="168"/>
    </row>
    <row r="82">
      <c r="A82" s="165" t="s">
        <v>332</v>
      </c>
      <c r="B82" s="166" t="s">
        <v>359</v>
      </c>
      <c r="C82" s="167">
        <v>4</v>
      </c>
      <c r="D82" s="167">
        <v>3399.52</v>
      </c>
      <c r="E82" s="167">
        <v>3627.6000000000004</v>
      </c>
      <c r="F82" s="167">
        <v>4</v>
      </c>
      <c r="G82" s="168">
        <f t="shared" si="101"/>
      </c>
      <c r="H82" s="168">
        <f t="shared" si="8"/>
      </c>
      <c r="I82" s="168">
        <f t="shared" si="39"/>
      </c>
      <c r="J82" s="168">
        <f t="shared" si="70"/>
      </c>
      <c r="K82" s="168"/>
    </row>
    <row r="83">
      <c r="A83" s="165" t="s">
        <v>348</v>
      </c>
      <c r="B83" s="182" t="s">
        <v>360</v>
      </c>
      <c r="C83" s="167">
        <v>4</v>
      </c>
      <c r="D83" s="167">
        <v>2874.38</v>
      </c>
      <c r="E83" s="167">
        <v>2711.999999999999</v>
      </c>
      <c r="F83" s="167">
        <v>1</v>
      </c>
      <c r="G83" s="168">
        <f t="shared" si="101"/>
      </c>
      <c r="H83" s="168">
        <f t="shared" si="8"/>
      </c>
      <c r="I83" s="168">
        <f t="shared" si="39"/>
      </c>
      <c r="J83" s="168">
        <f t="shared" si="70"/>
      </c>
      <c r="K83" s="168"/>
    </row>
    <row r="84">
      <c r="A84" s="163" t="s">
        <v>334</v>
      </c>
      <c r="B84" s="163"/>
      <c r="C84" s="163">
        <f>SUM(C81:C83)</f>
      </c>
      <c r="D84" s="163">
        <f>SUM(D81:D83)</f>
      </c>
      <c r="E84" s="163">
        <f>SUM(E81:E83)</f>
      </c>
      <c r="F84" s="163">
        <f>SUM(F81:F83)</f>
      </c>
      <c r="G84" s="169">
        <f t="shared" si="101"/>
      </c>
      <c r="H84" s="169">
        <f t="shared" si="8"/>
      </c>
      <c r="I84" s="169">
        <f t="shared" si="39"/>
      </c>
      <c r="J84" s="169">
        <f t="shared" si="70"/>
      </c>
      <c r="K84" s="169"/>
    </row>
    <row r="85">
      <c r="A85" s="179" t="s">
        <v>335</v>
      </c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>
      <c r="A86" s="180" t="s">
        <v>319</v>
      </c>
      <c r="B86" s="180" t="s">
        <v>336</v>
      </c>
      <c r="C86" s="180" t="s">
        <v>337</v>
      </c>
      <c r="D86" s="180" t="s">
        <v>338</v>
      </c>
      <c r="E86" s="180" t="s">
        <v>339</v>
      </c>
      <c r="F86" s="180" t="s">
        <v>340</v>
      </c>
      <c r="G86" s="180" t="s">
        <v>341</v>
      </c>
      <c r="H86" s="181" t="s">
        <v>342</v>
      </c>
      <c r="I86" s="181" t="s">
        <v>343</v>
      </c>
      <c r="J86" s="181" t="s">
        <v>344</v>
      </c>
      <c r="K86" s="181" t="s">
        <v>318</v>
      </c>
    </row>
    <row r="87">
      <c r="A87" s="173">
        <f>SUM(D81:D83)</f>
      </c>
      <c r="B87" s="174">
        <f>SUM(E81:E83)</f>
      </c>
      <c r="C87" s="174">
        <f>B87/((K87*300)+A87)</f>
      </c>
      <c r="D87" s="175">
        <f>A87/J87</f>
      </c>
      <c r="E87" s="174">
        <f>B87/J87</f>
      </c>
      <c r="F87" s="176">
        <f>J87/I87</f>
      </c>
      <c r="G87" s="176">
        <f>H87/J87</f>
      </c>
      <c r="H87" s="177">
        <v>0</v>
      </c>
      <c r="I87" s="177">
        <v>13</v>
      </c>
      <c r="J87" s="177">
        <f>F84</f>
      </c>
      <c r="K87" s="177">
        <f>C84</f>
      </c>
    </row>
    <row r="88">
      <c r="A88" s="162" t="s">
        <v>361</v>
      </c>
      <c r="B88" s="162"/>
      <c r="C88" s="162"/>
      <c r="D88" s="162"/>
      <c r="E88" s="162"/>
      <c r="F88" s="162"/>
      <c r="G88" s="162"/>
      <c r="H88" s="162"/>
      <c r="I88" s="162"/>
      <c r="J88" s="162"/>
      <c r="K88" s="162"/>
    </row>
    <row r="89">
      <c r="A89" s="163" t="s">
        <v>316</v>
      </c>
      <c r="B89" s="163" t="s">
        <v>317</v>
      </c>
      <c r="C89" s="163" t="s">
        <v>318</v>
      </c>
      <c r="D89" s="163" t="s">
        <v>319</v>
      </c>
      <c r="E89" s="164" t="s">
        <v>320</v>
      </c>
      <c r="F89" s="163" t="s">
        <v>321</v>
      </c>
      <c r="G89" s="163" t="s">
        <v>322</v>
      </c>
      <c r="H89" s="163" t="s">
        <v>323</v>
      </c>
      <c r="I89" s="163" t="s">
        <v>324</v>
      </c>
      <c r="J89" s="163" t="s">
        <v>325</v>
      </c>
      <c r="K89" s="163"/>
    </row>
    <row r="90">
      <c r="A90" s="165" t="s">
        <v>332</v>
      </c>
      <c r="B90" s="166" t="s">
        <v>347</v>
      </c>
      <c r="C90" s="167">
        <v>5</v>
      </c>
      <c r="D90" s="167">
        <v>8028.459999999999</v>
      </c>
      <c r="E90" s="167">
        <v>15583.000000000002</v>
      </c>
      <c r="F90" s="167">
        <v>7</v>
      </c>
      <c r="G90" s="168">
        <f t="shared" ref="G90:G94" si="102">E90/F90</f>
      </c>
      <c r="H90" s="168">
        <f t="shared" ref="H90:H94" si="9">D90/F90</f>
      </c>
      <c r="I90" s="168">
        <f t="shared" ref="I90:I94" si="40">E90/D90</f>
      </c>
      <c r="J90" s="168">
        <f t="shared" ref="J90:J94" si="71">D90/C90</f>
      </c>
      <c r="K90" s="168"/>
    </row>
    <row r="91">
      <c r="A91" s="165" t="s">
        <v>326</v>
      </c>
      <c r="B91" s="166" t="s">
        <v>349</v>
      </c>
      <c r="C91" s="167">
        <v>4</v>
      </c>
      <c r="D91" s="167">
        <v>6507.5700000000015</v>
      </c>
      <c r="E91" s="167">
        <v>6305.999999999998</v>
      </c>
      <c r="F91" s="167">
        <v>3</v>
      </c>
      <c r="G91" s="168">
        <f t="shared" si="102"/>
      </c>
      <c r="H91" s="168">
        <f t="shared" si="9"/>
      </c>
      <c r="I91" s="168">
        <f t="shared" si="40"/>
      </c>
      <c r="J91" s="168">
        <f t="shared" si="71"/>
      </c>
      <c r="K91" s="168"/>
    </row>
    <row r="92">
      <c r="A92" s="165" t="s">
        <v>328</v>
      </c>
      <c r="B92" s="166" t="s">
        <v>350</v>
      </c>
      <c r="C92" s="167">
        <v>2</v>
      </c>
      <c r="D92" s="167">
        <v>2876.029999999997</v>
      </c>
      <c r="E92" s="167">
        <v>0</v>
      </c>
      <c r="F92" s="167">
        <v>0</v>
      </c>
      <c r="G92" s="168">
        <f t="shared" si="102"/>
      </c>
      <c r="H92" s="168">
        <f t="shared" si="9"/>
      </c>
      <c r="I92" s="168">
        <f t="shared" si="40"/>
      </c>
      <c r="J92" s="168">
        <f t="shared" si="71"/>
      </c>
      <c r="K92" s="168"/>
    </row>
    <row r="93">
      <c r="A93" s="165" t="s">
        <v>330</v>
      </c>
      <c r="B93" s="166" t="s">
        <v>333</v>
      </c>
      <c r="C93" s="167">
        <v>5</v>
      </c>
      <c r="D93" s="167">
        <v>6503.91</v>
      </c>
      <c r="E93" s="167">
        <v>3201</v>
      </c>
      <c r="F93" s="167">
        <v>4</v>
      </c>
      <c r="G93" s="168">
        <f t="shared" si="102"/>
      </c>
      <c r="H93" s="168">
        <f t="shared" si="9"/>
      </c>
      <c r="I93" s="168">
        <f t="shared" si="40"/>
      </c>
      <c r="J93" s="168">
        <f t="shared" si="71"/>
      </c>
      <c r="K93" s="168"/>
    </row>
    <row r="94">
      <c r="A94" s="163" t="s">
        <v>334</v>
      </c>
      <c r="B94" s="163"/>
      <c r="C94" s="163">
        <f>SUM(C90:C93)</f>
      </c>
      <c r="D94" s="163">
        <f>SUM(D90:D93)</f>
      </c>
      <c r="E94" s="163">
        <f>SUM(E90:E93)</f>
      </c>
      <c r="F94" s="163">
        <f>SUM(F90:F93)</f>
      </c>
      <c r="G94" s="169">
        <f t="shared" si="102"/>
      </c>
      <c r="H94" s="169">
        <f t="shared" si="9"/>
      </c>
      <c r="I94" s="169">
        <f t="shared" si="40"/>
      </c>
      <c r="J94" s="169">
        <f t="shared" si="71"/>
      </c>
      <c r="K94" s="169"/>
    </row>
    <row r="95">
      <c r="A95" s="179" t="s">
        <v>335</v>
      </c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>
      <c r="A96" s="180" t="s">
        <v>319</v>
      </c>
      <c r="B96" s="180" t="s">
        <v>336</v>
      </c>
      <c r="C96" s="180" t="s">
        <v>337</v>
      </c>
      <c r="D96" s="180" t="s">
        <v>338</v>
      </c>
      <c r="E96" s="180" t="s">
        <v>339</v>
      </c>
      <c r="F96" s="180" t="s">
        <v>340</v>
      </c>
      <c r="G96" s="180" t="s">
        <v>341</v>
      </c>
      <c r="H96" s="181" t="s">
        <v>342</v>
      </c>
      <c r="I96" s="181" t="s">
        <v>343</v>
      </c>
      <c r="J96" s="181" t="s">
        <v>344</v>
      </c>
      <c r="K96" s="181" t="s">
        <v>318</v>
      </c>
    </row>
    <row r="97">
      <c r="A97" s="173">
        <f>SUM(D90:D93)</f>
      </c>
      <c r="B97" s="174">
        <f>SUM(E90:E93)</f>
      </c>
      <c r="C97" s="174">
        <f>B97/((K97*300)+A97)</f>
      </c>
      <c r="D97" s="175">
        <f>A97/J97</f>
      </c>
      <c r="E97" s="174">
        <f>B97/J97</f>
      </c>
      <c r="F97" s="176">
        <f>J97/I97</f>
      </c>
      <c r="G97" s="176">
        <f>H97/J97</f>
      </c>
      <c r="H97" s="177">
        <v>0</v>
      </c>
      <c r="I97" s="177">
        <v>23</v>
      </c>
      <c r="J97" s="177">
        <f>F94</f>
      </c>
      <c r="K97" s="177">
        <f>C94</f>
      </c>
    </row>
    <row r="98">
      <c r="A98" s="162" t="s">
        <v>362</v>
      </c>
      <c r="B98" s="183"/>
      <c r="C98" s="183"/>
      <c r="D98" s="183"/>
      <c r="E98" s="183"/>
      <c r="F98" s="183"/>
      <c r="G98" s="183"/>
      <c r="H98" s="183"/>
      <c r="I98" s="183"/>
      <c r="J98" s="183"/>
      <c r="K98" s="183"/>
    </row>
    <row r="99">
      <c r="A99" s="163" t="s">
        <v>316</v>
      </c>
      <c r="B99" s="163" t="s">
        <v>317</v>
      </c>
      <c r="C99" s="163" t="s">
        <v>318</v>
      </c>
      <c r="D99" s="163" t="s">
        <v>319</v>
      </c>
      <c r="E99" s="164" t="s">
        <v>320</v>
      </c>
      <c r="F99" s="163" t="s">
        <v>321</v>
      </c>
      <c r="G99" s="163" t="s">
        <v>322</v>
      </c>
      <c r="H99" s="163" t="s">
        <v>323</v>
      </c>
      <c r="I99" s="163" t="s">
        <v>324</v>
      </c>
      <c r="J99" s="163" t="s">
        <v>325</v>
      </c>
      <c r="K99" s="163"/>
    </row>
    <row r="100">
      <c r="A100" s="184" t="s">
        <v>332</v>
      </c>
      <c r="B100" s="182" t="s">
        <v>347</v>
      </c>
      <c r="C100" s="185">
        <v>5</v>
      </c>
      <c r="D100" s="185">
        <v>6426.39</v>
      </c>
      <c r="E100" s="185">
        <v>11824.199999999999</v>
      </c>
      <c r="F100" s="167">
        <v>7</v>
      </c>
      <c r="G100" s="168">
        <f t="shared" ref="G100:G104" si="103">E100/F100</f>
      </c>
      <c r="H100" s="168">
        <f t="shared" ref="H100:H104" si="10">D100/F100</f>
      </c>
      <c r="I100" s="168">
        <f t="shared" ref="I100:I104" si="41">E100/D100</f>
      </c>
      <c r="J100" s="168">
        <f t="shared" ref="J100:J104" si="72">D100/C100</f>
      </c>
      <c r="K100" s="168"/>
    </row>
    <row r="101">
      <c r="A101" s="184" t="s">
        <v>330</v>
      </c>
      <c r="B101" s="182" t="s">
        <v>349</v>
      </c>
      <c r="C101" s="185">
        <v>4</v>
      </c>
      <c r="D101" s="185">
        <v>6090.48</v>
      </c>
      <c r="E101" s="185">
        <v>8161.4</v>
      </c>
      <c r="F101" s="167">
        <v>6</v>
      </c>
      <c r="G101" s="168">
        <f t="shared" si="103"/>
      </c>
      <c r="H101" s="168">
        <f t="shared" si="10"/>
      </c>
      <c r="I101" s="168">
        <f t="shared" si="41"/>
      </c>
      <c r="J101" s="168">
        <f t="shared" si="72"/>
      </c>
      <c r="K101" s="168"/>
    </row>
    <row r="102">
      <c r="A102" s="184" t="s">
        <v>328</v>
      </c>
      <c r="B102" s="182" t="s">
        <v>350</v>
      </c>
      <c r="C102" s="185">
        <v>2</v>
      </c>
      <c r="D102" s="185">
        <v>2179.069999999998</v>
      </c>
      <c r="E102" s="185">
        <v>1186.7999999999993</v>
      </c>
      <c r="F102" s="167">
        <v>1</v>
      </c>
      <c r="G102" s="168">
        <f t="shared" si="103"/>
      </c>
      <c r="H102" s="168">
        <f t="shared" si="10"/>
      </c>
      <c r="I102" s="168">
        <f t="shared" si="41"/>
      </c>
      <c r="J102" s="168">
        <f t="shared" si="72"/>
      </c>
      <c r="K102" s="168"/>
    </row>
    <row r="103">
      <c r="A103" s="165" t="s">
        <v>348</v>
      </c>
      <c r="B103" s="182" t="s">
        <v>333</v>
      </c>
      <c r="C103" s="185">
        <v>5</v>
      </c>
      <c r="D103" s="185">
        <v>11665.06</v>
      </c>
      <c r="E103" s="185">
        <v>28631.400000000005</v>
      </c>
      <c r="F103" s="167">
        <v>18</v>
      </c>
      <c r="G103" s="168">
        <f t="shared" si="103"/>
      </c>
      <c r="H103" s="168">
        <f t="shared" si="10"/>
      </c>
      <c r="I103" s="168">
        <f t="shared" si="41"/>
      </c>
      <c r="J103" s="168">
        <f t="shared" si="72"/>
      </c>
      <c r="K103" s="168"/>
    </row>
    <row r="104">
      <c r="A104" s="163" t="s">
        <v>334</v>
      </c>
      <c r="B104" s="163"/>
      <c r="C104" s="163">
        <f>SUM(C100:C103)</f>
      </c>
      <c r="D104" s="163">
        <f>SUM(D100:D103)</f>
      </c>
      <c r="E104" s="163">
        <f>SUM(E100:E103)</f>
      </c>
      <c r="F104" s="163">
        <f>SUM(F100:F103)</f>
      </c>
      <c r="G104" s="169">
        <f t="shared" si="103"/>
      </c>
      <c r="H104" s="169">
        <f t="shared" si="10"/>
      </c>
      <c r="I104" s="169">
        <f t="shared" si="41"/>
      </c>
      <c r="J104" s="169">
        <f t="shared" si="72"/>
      </c>
      <c r="K104" s="169"/>
    </row>
    <row r="105">
      <c r="A105" s="179" t="s">
        <v>335</v>
      </c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>
      <c r="A106" s="180" t="s">
        <v>319</v>
      </c>
      <c r="B106" s="180" t="s">
        <v>336</v>
      </c>
      <c r="C106" s="180" t="s">
        <v>337</v>
      </c>
      <c r="D106" s="180" t="s">
        <v>338</v>
      </c>
      <c r="E106" s="180" t="s">
        <v>339</v>
      </c>
      <c r="F106" s="180" t="s">
        <v>340</v>
      </c>
      <c r="G106" s="180" t="s">
        <v>341</v>
      </c>
      <c r="H106" s="181" t="s">
        <v>342</v>
      </c>
      <c r="I106" s="181" t="s">
        <v>343</v>
      </c>
      <c r="J106" s="181" t="s">
        <v>344</v>
      </c>
      <c r="K106" s="181" t="s">
        <v>318</v>
      </c>
    </row>
    <row r="107">
      <c r="A107" s="186">
        <f>SUM(D100:D103)</f>
      </c>
      <c r="B107" s="187">
        <f>SUM(E100:E103)</f>
      </c>
      <c r="C107" s="187">
        <f>B107/((K107*300)+A107)</f>
      </c>
      <c r="D107" s="188">
        <f>A107/J107</f>
      </c>
      <c r="E107" s="187">
        <f>B107/J107</f>
      </c>
      <c r="F107" s="189">
        <f>J107/I107</f>
      </c>
      <c r="G107" s="189">
        <f>H107/J107</f>
      </c>
      <c r="H107" s="190">
        <v>5</v>
      </c>
      <c r="I107" s="190">
        <v>45</v>
      </c>
      <c r="J107" s="190">
        <v>32</v>
      </c>
      <c r="K107" s="191">
        <f>C104</f>
      </c>
    </row>
    <row r="108">
      <c r="A108" s="162" t="s">
        <v>363</v>
      </c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</row>
    <row r="109">
      <c r="A109" s="163" t="s">
        <v>316</v>
      </c>
      <c r="B109" s="163" t="s">
        <v>317</v>
      </c>
      <c r="C109" s="163" t="s">
        <v>318</v>
      </c>
      <c r="D109" s="163" t="s">
        <v>319</v>
      </c>
      <c r="E109" s="164" t="s">
        <v>320</v>
      </c>
      <c r="F109" s="163" t="s">
        <v>321</v>
      </c>
      <c r="G109" s="163" t="s">
        <v>322</v>
      </c>
      <c r="H109" s="163" t="s">
        <v>323</v>
      </c>
      <c r="I109" s="163" t="s">
        <v>324</v>
      </c>
      <c r="J109" s="163" t="s">
        <v>325</v>
      </c>
      <c r="K109" s="163"/>
    </row>
    <row r="110">
      <c r="A110" s="165" t="s">
        <v>326</v>
      </c>
      <c r="B110" s="166" t="s">
        <v>327</v>
      </c>
      <c r="C110" s="167">
        <v>4</v>
      </c>
      <c r="D110" s="185">
        <v>3598.4900000000007</v>
      </c>
      <c r="E110" s="185">
        <v>13726.2</v>
      </c>
      <c r="F110" s="167">
        <v>7</v>
      </c>
      <c r="G110" s="168">
        <f t="shared" ref="G110:G114" si="104">E110/F110</f>
      </c>
      <c r="H110" s="168">
        <f t="shared" ref="H110:H114" si="11">D110/F110</f>
      </c>
      <c r="I110" s="168">
        <f t="shared" ref="I110:I114" si="42">E110/D110</f>
      </c>
      <c r="J110" s="168">
        <f t="shared" ref="J110:J114" si="73">D110/C110</f>
      </c>
      <c r="K110" s="168"/>
    </row>
    <row r="111">
      <c r="A111" s="184" t="s">
        <v>328</v>
      </c>
      <c r="B111" s="166" t="s">
        <v>329</v>
      </c>
      <c r="C111" s="167">
        <v>2</v>
      </c>
      <c r="D111" s="185">
        <v>1913.1700000000005</v>
      </c>
      <c r="E111" s="185">
        <v>2486</v>
      </c>
      <c r="F111" s="167">
        <v>1</v>
      </c>
      <c r="G111" s="168">
        <f t="shared" si="104"/>
      </c>
      <c r="H111" s="168">
        <f t="shared" si="11"/>
      </c>
      <c r="I111" s="168">
        <f t="shared" si="42"/>
      </c>
      <c r="J111" s="168">
        <f t="shared" si="73"/>
      </c>
      <c r="K111" s="168"/>
    </row>
    <row r="112">
      <c r="A112" s="184" t="s">
        <v>330</v>
      </c>
      <c r="B112" s="166" t="s">
        <v>331</v>
      </c>
      <c r="C112" s="167">
        <v>5</v>
      </c>
      <c r="D112" s="185">
        <v>7586.869999999997</v>
      </c>
      <c r="E112" s="185">
        <v>16146.599999999999</v>
      </c>
      <c r="F112" s="167">
        <v>11</v>
      </c>
      <c r="G112" s="168">
        <f t="shared" si="104"/>
      </c>
      <c r="H112" s="168">
        <f t="shared" si="11"/>
      </c>
      <c r="I112" s="168">
        <f t="shared" si="42"/>
      </c>
      <c r="J112" s="168">
        <f t="shared" si="73"/>
      </c>
      <c r="K112" s="168"/>
    </row>
    <row r="113">
      <c r="A113" s="165" t="s">
        <v>348</v>
      </c>
      <c r="B113" s="166" t="s">
        <v>333</v>
      </c>
      <c r="C113" s="167">
        <v>5</v>
      </c>
      <c r="D113" s="185">
        <v>9232.65</v>
      </c>
      <c r="E113" s="185">
        <v>13700.599999999999</v>
      </c>
      <c r="F113" s="167">
        <v>7</v>
      </c>
      <c r="G113" s="168">
        <f t="shared" si="104"/>
      </c>
      <c r="H113" s="168">
        <f t="shared" si="11"/>
      </c>
      <c r="I113" s="168">
        <f t="shared" si="42"/>
      </c>
      <c r="J113" s="168">
        <f t="shared" si="73"/>
      </c>
      <c r="K113" s="168"/>
    </row>
    <row r="114">
      <c r="A114" s="163" t="s">
        <v>334</v>
      </c>
      <c r="B114" s="163"/>
      <c r="C114" s="163">
        <f>SUM(C110:C113)</f>
      </c>
      <c r="D114" s="163">
        <f>SUM(D110:D113)</f>
      </c>
      <c r="E114" s="163">
        <f>SUM(E110:E113)</f>
      </c>
      <c r="F114" s="163">
        <f>SUM(F110:F113)</f>
      </c>
      <c r="G114" s="169">
        <f t="shared" si="104"/>
      </c>
      <c r="H114" s="169">
        <f t="shared" si="11"/>
      </c>
      <c r="I114" s="169">
        <f t="shared" si="42"/>
      </c>
      <c r="J114" s="169">
        <f t="shared" si="73"/>
      </c>
      <c r="K114" s="169"/>
    </row>
    <row r="115">
      <c r="A115" s="179" t="s">
        <v>335</v>
      </c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>
      <c r="A116" s="180" t="s">
        <v>319</v>
      </c>
      <c r="B116" s="180" t="s">
        <v>336</v>
      </c>
      <c r="C116" s="180" t="s">
        <v>337</v>
      </c>
      <c r="D116" s="180" t="s">
        <v>338</v>
      </c>
      <c r="E116" s="180" t="s">
        <v>339</v>
      </c>
      <c r="F116" s="180" t="s">
        <v>340</v>
      </c>
      <c r="G116" s="180" t="s">
        <v>341</v>
      </c>
      <c r="H116" s="181" t="s">
        <v>342</v>
      </c>
      <c r="I116" s="181" t="s">
        <v>343</v>
      </c>
      <c r="J116" s="181" t="s">
        <v>344</v>
      </c>
      <c r="K116" s="181" t="s">
        <v>318</v>
      </c>
    </row>
    <row r="117">
      <c r="A117" s="186">
        <f>SUM(D110:D113)</f>
      </c>
      <c r="B117" s="187">
        <f>SUM(E110:E113)</f>
      </c>
      <c r="C117" s="187">
        <f>B117/((K117*300)+A117)</f>
      </c>
      <c r="D117" s="188">
        <f>A117/J117</f>
      </c>
      <c r="E117" s="187">
        <f>B117/J117</f>
      </c>
      <c r="F117" s="189">
        <f>J117/I117</f>
      </c>
      <c r="G117" s="189">
        <f>H117/J117</f>
      </c>
      <c r="H117" s="190">
        <v>5</v>
      </c>
      <c r="I117" s="190">
        <v>33</v>
      </c>
      <c r="J117" s="190">
        <f>F114</f>
      </c>
      <c r="K117" s="191">
        <f>C114</f>
      </c>
    </row>
    <row r="118">
      <c r="A118" s="162" t="s">
        <v>364</v>
      </c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</row>
    <row r="119">
      <c r="A119" s="163" t="s">
        <v>316</v>
      </c>
      <c r="B119" s="163" t="s">
        <v>317</v>
      </c>
      <c r="C119" s="163" t="s">
        <v>318</v>
      </c>
      <c r="D119" s="163" t="s">
        <v>319</v>
      </c>
      <c r="E119" s="164" t="s">
        <v>320</v>
      </c>
      <c r="F119" s="163" t="s">
        <v>321</v>
      </c>
      <c r="G119" s="163" t="s">
        <v>322</v>
      </c>
      <c r="H119" s="163" t="s">
        <v>323</v>
      </c>
      <c r="I119" s="163" t="s">
        <v>324</v>
      </c>
      <c r="J119" s="163" t="s">
        <v>325</v>
      </c>
      <c r="K119" s="163"/>
    </row>
    <row r="120">
      <c r="A120" s="165" t="s">
        <v>326</v>
      </c>
      <c r="B120" s="182" t="s">
        <v>358</v>
      </c>
      <c r="C120" s="185">
        <v>4</v>
      </c>
      <c r="D120" s="185">
        <v>4536.87</v>
      </c>
      <c r="E120" s="185">
        <v>2873.6</v>
      </c>
      <c r="F120" s="167">
        <v>3</v>
      </c>
      <c r="G120" s="168">
        <f t="shared" ref="G120:G124" si="105">E120/F120</f>
      </c>
      <c r="H120" s="168">
        <f t="shared" ref="H120:H124" si="12">D120/F120</f>
      </c>
      <c r="I120" s="168">
        <f t="shared" ref="I120:I124" si="43">E120/D120</f>
      </c>
      <c r="J120" s="168">
        <f t="shared" ref="J120:J124" si="74">D120/C120</f>
      </c>
      <c r="K120" s="168"/>
    </row>
    <row r="121">
      <c r="A121" s="165" t="s">
        <v>348</v>
      </c>
      <c r="B121" s="182" t="s">
        <v>359</v>
      </c>
      <c r="C121" s="167">
        <v>4</v>
      </c>
      <c r="D121" s="185">
        <v>5412.920000000001</v>
      </c>
      <c r="E121" s="185">
        <v>664.8000000000006</v>
      </c>
      <c r="F121" s="167">
        <v>1</v>
      </c>
      <c r="G121" s="168">
        <f t="shared" si="105"/>
      </c>
      <c r="H121" s="168">
        <f t="shared" si="12"/>
      </c>
      <c r="I121" s="168">
        <f t="shared" si="43"/>
      </c>
      <c r="J121" s="168">
        <f t="shared" si="74"/>
      </c>
      <c r="K121" s="168"/>
    </row>
    <row r="122">
      <c r="A122" s="184" t="s">
        <v>330</v>
      </c>
      <c r="B122" s="182" t="s">
        <v>360</v>
      </c>
      <c r="C122" s="167">
        <v>4</v>
      </c>
      <c r="D122" s="185">
        <v>2884.0399999999972</v>
      </c>
      <c r="E122" s="185">
        <v>5722.399999999999</v>
      </c>
      <c r="F122" s="167">
        <v>3</v>
      </c>
      <c r="G122" s="168">
        <f t="shared" si="105"/>
      </c>
      <c r="H122" s="168">
        <f t="shared" si="12"/>
      </c>
      <c r="I122" s="168">
        <f t="shared" si="43"/>
      </c>
      <c r="J122" s="168">
        <f t="shared" si="74"/>
      </c>
      <c r="K122" s="168"/>
    </row>
    <row r="123">
      <c r="A123" s="184" t="s">
        <v>332</v>
      </c>
      <c r="B123" s="182" t="s">
        <v>365</v>
      </c>
      <c r="C123" s="167">
        <v>4</v>
      </c>
      <c r="D123" s="185">
        <v>3164.1899999999987</v>
      </c>
      <c r="E123" s="185">
        <v>1197.6000000000004</v>
      </c>
      <c r="F123" s="167">
        <v>2</v>
      </c>
      <c r="G123" s="168">
        <f t="shared" si="105"/>
      </c>
      <c r="H123" s="168">
        <f t="shared" si="12"/>
      </c>
      <c r="I123" s="168">
        <f t="shared" si="43"/>
      </c>
      <c r="J123" s="168">
        <f t="shared" si="74"/>
      </c>
      <c r="K123" s="168"/>
    </row>
    <row r="124">
      <c r="A124" s="163" t="s">
        <v>334</v>
      </c>
      <c r="B124" s="163"/>
      <c r="C124" s="163">
        <f>SUM(C120:C123)</f>
      </c>
      <c r="D124" s="163">
        <f>SUM(D120:D123)</f>
      </c>
      <c r="E124" s="163">
        <f>SUM(E120:E123)</f>
      </c>
      <c r="F124" s="163">
        <f>SUM(F120:F123)</f>
      </c>
      <c r="G124" s="169">
        <f t="shared" si="105"/>
      </c>
      <c r="H124" s="169">
        <f t="shared" si="12"/>
      </c>
      <c r="I124" s="169">
        <f t="shared" si="43"/>
      </c>
      <c r="J124" s="169">
        <f t="shared" si="74"/>
      </c>
      <c r="K124" s="169"/>
    </row>
    <row r="125">
      <c r="A125" s="179" t="s">
        <v>335</v>
      </c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>
      <c r="A126" s="180" t="s">
        <v>319</v>
      </c>
      <c r="B126" s="180" t="s">
        <v>336</v>
      </c>
      <c r="C126" s="180" t="s">
        <v>337</v>
      </c>
      <c r="D126" s="180" t="s">
        <v>338</v>
      </c>
      <c r="E126" s="180" t="s">
        <v>339</v>
      </c>
      <c r="F126" s="180" t="s">
        <v>340</v>
      </c>
      <c r="G126" s="180" t="s">
        <v>341</v>
      </c>
      <c r="H126" s="181" t="s">
        <v>342</v>
      </c>
      <c r="I126" s="181" t="s">
        <v>343</v>
      </c>
      <c r="J126" s="181" t="s">
        <v>344</v>
      </c>
      <c r="K126" s="181" t="s">
        <v>318</v>
      </c>
    </row>
    <row r="127">
      <c r="A127" s="186">
        <f>SUM(D120:D123)</f>
      </c>
      <c r="B127" s="187">
        <f>SUM(E120:E123)</f>
      </c>
      <c r="C127" s="187">
        <f>B127/((K127*300)+A127)</f>
      </c>
      <c r="D127" s="188">
        <f>A127/J127</f>
      </c>
      <c r="E127" s="187">
        <f>B127/J127</f>
      </c>
      <c r="F127" s="189">
        <f>J127/I127</f>
      </c>
      <c r="G127" s="189">
        <f>H127/J127</f>
      </c>
      <c r="H127" s="190">
        <v>1</v>
      </c>
      <c r="I127" s="190">
        <v>13</v>
      </c>
      <c r="J127" s="190">
        <v>9</v>
      </c>
      <c r="K127" s="191">
        <f>C124</f>
      </c>
    </row>
    <row r="128">
      <c r="A128" s="162" t="s">
        <v>366</v>
      </c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</row>
    <row r="129">
      <c r="A129" s="163" t="s">
        <v>316</v>
      </c>
      <c r="B129" s="163" t="s">
        <v>317</v>
      </c>
      <c r="C129" s="163" t="s">
        <v>318</v>
      </c>
      <c r="D129" s="163" t="s">
        <v>319</v>
      </c>
      <c r="E129" s="164" t="s">
        <v>320</v>
      </c>
      <c r="F129" s="163" t="s">
        <v>321</v>
      </c>
      <c r="G129" s="163" t="s">
        <v>322</v>
      </c>
      <c r="H129" s="163" t="s">
        <v>323</v>
      </c>
      <c r="I129" s="163" t="s">
        <v>324</v>
      </c>
      <c r="J129" s="163" t="s">
        <v>325</v>
      </c>
      <c r="K129" s="163"/>
    </row>
    <row r="130">
      <c r="A130" s="165" t="s">
        <v>326</v>
      </c>
      <c r="B130" s="166" t="s">
        <v>327</v>
      </c>
      <c r="C130" s="167">
        <v>4</v>
      </c>
      <c r="D130" s="185">
        <v>3227.48</v>
      </c>
      <c r="E130" s="185">
        <v>6344</v>
      </c>
      <c r="F130" s="167">
        <v>8</v>
      </c>
      <c r="G130" s="168">
        <f t="shared" ref="G130:G134" si="106">E130/F130</f>
      </c>
      <c r="H130" s="168">
        <f t="shared" ref="H130:H134" si="13">D130/F130</f>
      </c>
      <c r="I130" s="168">
        <f t="shared" ref="I130:I134" si="44">E130/D130</f>
      </c>
      <c r="J130" s="168">
        <f t="shared" ref="J130:J134" si="75">D130/C130</f>
      </c>
      <c r="K130" s="168"/>
    </row>
    <row r="131">
      <c r="A131" s="184" t="s">
        <v>328</v>
      </c>
      <c r="B131" s="166" t="s">
        <v>329</v>
      </c>
      <c r="C131" s="167">
        <v>2</v>
      </c>
      <c r="D131" s="185">
        <v>2272.0099999999998</v>
      </c>
      <c r="E131" s="185">
        <v>0</v>
      </c>
      <c r="F131" s="167">
        <v>0</v>
      </c>
      <c r="G131" s="168">
        <f t="shared" si="106"/>
      </c>
      <c r="H131" s="168">
        <f t="shared" si="13"/>
      </c>
      <c r="I131" s="168">
        <f t="shared" si="44"/>
      </c>
      <c r="J131" s="168">
        <f t="shared" si="75"/>
      </c>
      <c r="K131" s="168"/>
    </row>
    <row r="132">
      <c r="A132" s="184" t="s">
        <v>332</v>
      </c>
      <c r="B132" s="166" t="s">
        <v>331</v>
      </c>
      <c r="C132" s="167">
        <v>5</v>
      </c>
      <c r="D132" s="185">
        <v>5095.07</v>
      </c>
      <c r="E132" s="185">
        <v>1872</v>
      </c>
      <c r="F132" s="167">
        <v>3</v>
      </c>
      <c r="G132" s="168">
        <f t="shared" si="106"/>
      </c>
      <c r="H132" s="168">
        <f t="shared" si="13"/>
      </c>
      <c r="I132" s="168">
        <f t="shared" si="44"/>
      </c>
      <c r="J132" s="168">
        <f t="shared" si="75"/>
      </c>
      <c r="K132" s="168"/>
    </row>
    <row r="133">
      <c r="A133" s="184" t="s">
        <v>330</v>
      </c>
      <c r="B133" s="166" t="s">
        <v>333</v>
      </c>
      <c r="C133" s="167">
        <v>5</v>
      </c>
      <c r="D133" s="185">
        <v>5645.06</v>
      </c>
      <c r="E133" s="185">
        <v>10083.199999999999</v>
      </c>
      <c r="F133" s="167">
        <v>7</v>
      </c>
      <c r="G133" s="168">
        <f t="shared" si="106"/>
      </c>
      <c r="H133" s="168">
        <f t="shared" si="13"/>
      </c>
      <c r="I133" s="168">
        <f t="shared" si="44"/>
      </c>
      <c r="J133" s="168">
        <f t="shared" si="75"/>
      </c>
      <c r="K133" s="168"/>
    </row>
    <row r="134">
      <c r="A134" s="163" t="s">
        <v>334</v>
      </c>
      <c r="B134" s="163"/>
      <c r="C134" s="163">
        <f>SUM(C130:C133)</f>
      </c>
      <c r="D134" s="163">
        <f>SUM(D130:D133)</f>
      </c>
      <c r="E134" s="163">
        <f>SUM(E130:E133)</f>
      </c>
      <c r="F134" s="163">
        <f>SUM(F130:F133)</f>
      </c>
      <c r="G134" s="169">
        <f t="shared" si="106"/>
      </c>
      <c r="H134" s="169">
        <f t="shared" si="13"/>
      </c>
      <c r="I134" s="169">
        <f t="shared" si="44"/>
      </c>
      <c r="J134" s="169">
        <f t="shared" si="75"/>
      </c>
      <c r="K134" s="169"/>
    </row>
    <row r="135">
      <c r="A135" s="179" t="s">
        <v>335</v>
      </c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>
      <c r="A136" s="180" t="s">
        <v>319</v>
      </c>
      <c r="B136" s="180" t="s">
        <v>336</v>
      </c>
      <c r="C136" s="180" t="s">
        <v>337</v>
      </c>
      <c r="D136" s="180" t="s">
        <v>338</v>
      </c>
      <c r="E136" s="180" t="s">
        <v>339</v>
      </c>
      <c r="F136" s="180" t="s">
        <v>340</v>
      </c>
      <c r="G136" s="180" t="s">
        <v>341</v>
      </c>
      <c r="H136" s="181" t="s">
        <v>342</v>
      </c>
      <c r="I136" s="181" t="s">
        <v>343</v>
      </c>
      <c r="J136" s="181" t="s">
        <v>344</v>
      </c>
      <c r="K136" s="181" t="s">
        <v>318</v>
      </c>
    </row>
    <row r="137">
      <c r="A137" s="186">
        <f>SUM(D130:D133)</f>
      </c>
      <c r="B137" s="187">
        <f>SUM(E130:E133)</f>
      </c>
      <c r="C137" s="187">
        <f>B137/((K137*300)+A137)</f>
      </c>
      <c r="D137" s="188">
        <f>A137/J137</f>
      </c>
      <c r="E137" s="187">
        <f>B137/J137</f>
      </c>
      <c r="F137" s="189">
        <f>J137/I137</f>
      </c>
      <c r="G137" s="189">
        <f>H137/J137</f>
      </c>
      <c r="H137" s="190">
        <v>2</v>
      </c>
      <c r="I137" s="190">
        <v>30</v>
      </c>
      <c r="J137" s="190">
        <f>F134</f>
      </c>
      <c r="K137" s="191">
        <f>C134</f>
      </c>
    </row>
    <row r="138">
      <c r="A138" s="162" t="s">
        <v>367</v>
      </c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</row>
    <row r="139">
      <c r="A139" s="163" t="s">
        <v>316</v>
      </c>
      <c r="B139" s="163" t="s">
        <v>317</v>
      </c>
      <c r="C139" s="163" t="s">
        <v>318</v>
      </c>
      <c r="D139" s="163" t="s">
        <v>319</v>
      </c>
      <c r="E139" s="164" t="s">
        <v>320</v>
      </c>
      <c r="F139" s="163" t="s">
        <v>321</v>
      </c>
      <c r="G139" s="163" t="s">
        <v>322</v>
      </c>
      <c r="H139" s="163" t="s">
        <v>323</v>
      </c>
      <c r="I139" s="163" t="s">
        <v>324</v>
      </c>
      <c r="J139" s="163" t="s">
        <v>325</v>
      </c>
      <c r="K139" s="163"/>
    </row>
    <row r="140">
      <c r="A140" s="165" t="s">
        <v>326</v>
      </c>
      <c r="B140" s="166" t="s">
        <v>327</v>
      </c>
      <c r="C140" s="167">
        <v>4</v>
      </c>
      <c r="D140" s="185">
        <v>5895.27</v>
      </c>
      <c r="E140" s="185">
        <v>3835.2</v>
      </c>
      <c r="F140" s="167">
        <v>5</v>
      </c>
      <c r="G140" s="168">
        <f t="shared" ref="G140:G144" si="107">E140/F140</f>
      </c>
      <c r="H140" s="168">
        <f t="shared" ref="H140:H144" si="14">D140/F140</f>
      </c>
      <c r="I140" s="168">
        <f t="shared" ref="I140:I144" si="45">E140/D140</f>
      </c>
      <c r="J140" s="168">
        <f t="shared" ref="J140:J144" si="76">D140/C140</f>
      </c>
      <c r="K140" s="168"/>
    </row>
    <row r="141">
      <c r="A141" s="165" t="s">
        <v>348</v>
      </c>
      <c r="B141" s="166" t="s">
        <v>359</v>
      </c>
      <c r="C141" s="167">
        <v>4</v>
      </c>
      <c r="D141" s="185">
        <v>4712.21</v>
      </c>
      <c r="E141" s="185">
        <v>4450.8</v>
      </c>
      <c r="F141" s="167">
        <v>4</v>
      </c>
      <c r="G141" s="168">
        <f t="shared" si="107"/>
      </c>
      <c r="H141" s="168">
        <f t="shared" si="14"/>
      </c>
      <c r="I141" s="168">
        <f t="shared" si="45"/>
      </c>
      <c r="J141" s="168">
        <f t="shared" si="76"/>
      </c>
      <c r="K141" s="168"/>
    </row>
    <row r="142">
      <c r="A142" s="165" t="s">
        <v>330</v>
      </c>
      <c r="B142" s="166" t="s">
        <v>360</v>
      </c>
      <c r="C142" s="167">
        <v>4</v>
      </c>
      <c r="D142" s="185">
        <v>5219.89</v>
      </c>
      <c r="E142" s="185">
        <v>17235.6</v>
      </c>
      <c r="F142" s="167">
        <v>6</v>
      </c>
      <c r="G142" s="168">
        <f t="shared" si="107"/>
      </c>
      <c r="H142" s="168">
        <f t="shared" si="14"/>
      </c>
      <c r="I142" s="168">
        <f t="shared" si="45"/>
      </c>
      <c r="J142" s="168">
        <f t="shared" si="76"/>
      </c>
      <c r="K142" s="168"/>
    </row>
    <row r="143">
      <c r="A143" s="165" t="s">
        <v>332</v>
      </c>
      <c r="B143" s="166" t="s">
        <v>365</v>
      </c>
      <c r="C143" s="167">
        <v>4</v>
      </c>
      <c r="D143" s="185">
        <v>8011.52</v>
      </c>
      <c r="E143" s="185">
        <v>21778.8</v>
      </c>
      <c r="F143" s="167">
        <v>8</v>
      </c>
      <c r="G143" s="168">
        <f t="shared" si="107"/>
      </c>
      <c r="H143" s="168">
        <f t="shared" si="14"/>
      </c>
      <c r="I143" s="168">
        <f t="shared" si="45"/>
      </c>
      <c r="J143" s="168">
        <f t="shared" si="76"/>
      </c>
      <c r="K143" s="168"/>
    </row>
    <row r="144">
      <c r="A144" s="163" t="s">
        <v>334</v>
      </c>
      <c r="B144" s="163"/>
      <c r="C144" s="163">
        <f>SUM(C140:C143)</f>
      </c>
      <c r="D144" s="163">
        <f>SUM(D140:D143)</f>
      </c>
      <c r="E144" s="163">
        <f>SUM(E140:E143)</f>
      </c>
      <c r="F144" s="163">
        <f>SUM(F140:F143)</f>
      </c>
      <c r="G144" s="169">
        <f t="shared" si="107"/>
      </c>
      <c r="H144" s="169">
        <f t="shared" si="14"/>
      </c>
      <c r="I144" s="169">
        <f t="shared" si="45"/>
      </c>
      <c r="J144" s="169">
        <f t="shared" si="76"/>
      </c>
      <c r="K144" s="169"/>
    </row>
    <row r="145">
      <c r="A145" s="179" t="s">
        <v>335</v>
      </c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>
      <c r="A146" s="180" t="s">
        <v>319</v>
      </c>
      <c r="B146" s="180" t="s">
        <v>336</v>
      </c>
      <c r="C146" s="180" t="s">
        <v>337</v>
      </c>
      <c r="D146" s="180" t="s">
        <v>338</v>
      </c>
      <c r="E146" s="180" t="s">
        <v>339</v>
      </c>
      <c r="F146" s="180" t="s">
        <v>340</v>
      </c>
      <c r="G146" s="180" t="s">
        <v>341</v>
      </c>
      <c r="H146" s="181" t="s">
        <v>342</v>
      </c>
      <c r="I146" s="181" t="s">
        <v>343</v>
      </c>
      <c r="J146" s="181" t="s">
        <v>344</v>
      </c>
      <c r="K146" s="181" t="s">
        <v>318</v>
      </c>
    </row>
    <row r="147">
      <c r="A147" s="186">
        <f>SUM(D140:D143)</f>
      </c>
      <c r="B147" s="187">
        <f>SUM(E140:E143)</f>
      </c>
      <c r="C147" s="187">
        <f>B147/((K147*300)+A147)</f>
      </c>
      <c r="D147" s="188">
        <f>A147/J147</f>
      </c>
      <c r="E147" s="187">
        <f>B147/J147</f>
      </c>
      <c r="F147" s="189">
        <f>J147/I147</f>
      </c>
      <c r="G147" s="189">
        <f>H147/J147</f>
      </c>
      <c r="H147" s="190">
        <v>4</v>
      </c>
      <c r="I147" s="190">
        <v>39</v>
      </c>
      <c r="J147" s="190">
        <f>F144</f>
      </c>
      <c r="K147" s="191">
        <f>C144</f>
      </c>
    </row>
    <row r="148">
      <c r="A148" s="183" t="s">
        <v>368</v>
      </c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</row>
    <row r="149">
      <c r="A149" s="163" t="s">
        <v>316</v>
      </c>
      <c r="B149" s="163" t="s">
        <v>317</v>
      </c>
      <c r="C149" s="163" t="s">
        <v>318</v>
      </c>
      <c r="D149" s="163" t="s">
        <v>319</v>
      </c>
      <c r="E149" s="164" t="s">
        <v>320</v>
      </c>
      <c r="F149" s="163" t="s">
        <v>321</v>
      </c>
      <c r="G149" s="163" t="s">
        <v>322</v>
      </c>
      <c r="H149" s="163" t="s">
        <v>323</v>
      </c>
      <c r="I149" s="163" t="s">
        <v>324</v>
      </c>
      <c r="J149" s="163" t="s">
        <v>325</v>
      </c>
      <c r="K149" s="163"/>
    </row>
    <row r="150">
      <c r="A150" s="184" t="s">
        <v>326</v>
      </c>
      <c r="B150" s="182" t="s">
        <v>327</v>
      </c>
      <c r="C150" s="185">
        <v>4</v>
      </c>
      <c r="D150" s="185">
        <v>9611.81</v>
      </c>
      <c r="E150" s="185">
        <v>7917.6</v>
      </c>
      <c r="F150" s="185">
        <v>6</v>
      </c>
      <c r="G150" s="168">
        <f t="shared" ref="G150:G154" si="108">E150/F150</f>
      </c>
      <c r="H150" s="168">
        <f t="shared" ref="H150:H154" si="15">D150/F150</f>
      </c>
      <c r="I150" s="168">
        <f t="shared" ref="I150:I154" si="46">E150/D150</f>
      </c>
      <c r="J150" s="168">
        <f t="shared" ref="J150:J154" si="77">D150/C150</f>
      </c>
      <c r="K150" s="168"/>
    </row>
    <row r="151">
      <c r="A151" s="184" t="s">
        <v>348</v>
      </c>
      <c r="B151" s="182" t="s">
        <v>359</v>
      </c>
      <c r="C151" s="185">
        <v>4</v>
      </c>
      <c r="D151" s="185">
        <v>10724.13</v>
      </c>
      <c r="E151" s="185">
        <v>8611.2</v>
      </c>
      <c r="F151" s="185">
        <v>7</v>
      </c>
      <c r="G151" s="168">
        <f t="shared" si="108"/>
      </c>
      <c r="H151" s="168">
        <f t="shared" si="15"/>
      </c>
      <c r="I151" s="168">
        <f t="shared" si="46"/>
      </c>
      <c r="J151" s="168">
        <f t="shared" si="77"/>
      </c>
      <c r="K151" s="168"/>
    </row>
    <row r="152">
      <c r="A152" s="184" t="s">
        <v>330</v>
      </c>
      <c r="B152" s="182" t="s">
        <v>360</v>
      </c>
      <c r="C152" s="185">
        <v>4</v>
      </c>
      <c r="D152" s="185">
        <v>5689.83</v>
      </c>
      <c r="E152" s="185">
        <v>6773.8</v>
      </c>
      <c r="F152" s="185">
        <v>5</v>
      </c>
      <c r="G152" s="168">
        <f t="shared" si="108"/>
      </c>
      <c r="H152" s="168">
        <f t="shared" si="15"/>
      </c>
      <c r="I152" s="168">
        <f t="shared" si="46"/>
      </c>
      <c r="J152" s="168">
        <f t="shared" si="77"/>
      </c>
      <c r="K152" s="168"/>
    </row>
    <row r="153">
      <c r="A153" s="184" t="s">
        <v>332</v>
      </c>
      <c r="B153" s="182" t="s">
        <v>365</v>
      </c>
      <c r="C153" s="185">
        <v>4</v>
      </c>
      <c r="D153" s="185">
        <v>8700.56</v>
      </c>
      <c r="E153" s="185">
        <v>11385.4</v>
      </c>
      <c r="F153" s="185">
        <v>7</v>
      </c>
      <c r="G153" s="168">
        <f t="shared" si="108"/>
      </c>
      <c r="H153" s="168">
        <f t="shared" si="15"/>
      </c>
      <c r="I153" s="168">
        <f t="shared" si="46"/>
      </c>
      <c r="J153" s="168">
        <f t="shared" si="77"/>
      </c>
      <c r="K153" s="168"/>
    </row>
    <row r="154">
      <c r="A154" s="163" t="s">
        <v>334</v>
      </c>
      <c r="B154" s="163"/>
      <c r="C154" s="163">
        <f>SUM(C150:C153)</f>
      </c>
      <c r="D154" s="163">
        <f>SUM(D150:D153)</f>
      </c>
      <c r="E154" s="163">
        <f>SUM(E150:E153)</f>
      </c>
      <c r="F154" s="163">
        <f>SUM(F150:F153)</f>
      </c>
      <c r="G154" s="169">
        <f t="shared" si="108"/>
      </c>
      <c r="H154" s="169">
        <f t="shared" si="15"/>
      </c>
      <c r="I154" s="169">
        <f t="shared" si="46"/>
      </c>
      <c r="J154" s="169">
        <f t="shared" si="77"/>
      </c>
      <c r="K154" s="169"/>
    </row>
    <row r="155">
      <c r="A155" s="179" t="s">
        <v>335</v>
      </c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>
      <c r="A156" s="180" t="s">
        <v>319</v>
      </c>
      <c r="B156" s="180" t="s">
        <v>336</v>
      </c>
      <c r="C156" s="180" t="s">
        <v>337</v>
      </c>
      <c r="D156" s="180" t="s">
        <v>338</v>
      </c>
      <c r="E156" s="180" t="s">
        <v>339</v>
      </c>
      <c r="F156" s="180" t="s">
        <v>340</v>
      </c>
      <c r="G156" s="180" t="s">
        <v>341</v>
      </c>
      <c r="H156" s="181" t="s">
        <v>342</v>
      </c>
      <c r="I156" s="181" t="s">
        <v>343</v>
      </c>
      <c r="J156" s="181" t="s">
        <v>344</v>
      </c>
      <c r="K156" s="181" t="s">
        <v>318</v>
      </c>
    </row>
    <row r="157">
      <c r="A157" s="186">
        <f>SUM(D150:D153)</f>
      </c>
      <c r="B157" s="187">
        <f>SUM(E150:E153)</f>
      </c>
      <c r="C157" s="187">
        <f>B157/((K157*300)+A157)</f>
      </c>
      <c r="D157" s="188">
        <f>A157/J157</f>
      </c>
      <c r="E157" s="187">
        <f>B157/J157</f>
      </c>
      <c r="F157" s="189">
        <f>J157/I157</f>
      </c>
      <c r="G157" s="189">
        <f>H157/J157</f>
      </c>
      <c r="H157" s="191">
        <v>1</v>
      </c>
      <c r="I157" s="191">
        <v>34</v>
      </c>
      <c r="J157" s="191">
        <f>F154</f>
      </c>
      <c r="K157" s="191">
        <f>C154</f>
      </c>
    </row>
    <row r="158">
      <c r="A158" s="162" t="s">
        <v>369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</row>
    <row r="159">
      <c r="A159" s="163" t="s">
        <v>316</v>
      </c>
      <c r="B159" s="163" t="s">
        <v>317</v>
      </c>
      <c r="C159" s="163" t="s">
        <v>318</v>
      </c>
      <c r="D159" s="163" t="s">
        <v>319</v>
      </c>
      <c r="E159" s="164" t="s">
        <v>320</v>
      </c>
      <c r="F159" s="163" t="s">
        <v>321</v>
      </c>
      <c r="G159" s="163" t="s">
        <v>322</v>
      </c>
      <c r="H159" s="163" t="s">
        <v>323</v>
      </c>
      <c r="I159" s="163" t="s">
        <v>324</v>
      </c>
      <c r="J159" s="163" t="s">
        <v>325</v>
      </c>
      <c r="K159" s="163"/>
    </row>
    <row r="160">
      <c r="A160" s="165" t="s">
        <v>326</v>
      </c>
      <c r="B160" s="166" t="s">
        <v>327</v>
      </c>
      <c r="C160" s="167">
        <v>4</v>
      </c>
      <c r="D160" s="167">
        <v>4295.91</v>
      </c>
      <c r="E160" s="185">
        <v>1686.8</v>
      </c>
      <c r="F160" s="167">
        <v>2</v>
      </c>
      <c r="G160" s="168">
        <f t="shared" ref="G160:G164" si="109">E160/F160</f>
      </c>
      <c r="H160" s="168">
        <f t="shared" ref="H160:H164" si="16">D160/F160</f>
      </c>
      <c r="I160" s="168">
        <f t="shared" ref="I160:I164" si="47">E160/D160</f>
      </c>
      <c r="J160" s="168">
        <f t="shared" ref="J160:J164" si="78">D160/C160</f>
      </c>
      <c r="K160" s="168"/>
    </row>
    <row r="161">
      <c r="A161" s="165" t="s">
        <v>332</v>
      </c>
      <c r="B161" s="166" t="s">
        <v>359</v>
      </c>
      <c r="C161" s="167">
        <v>4</v>
      </c>
      <c r="D161" s="167">
        <v>5917.83</v>
      </c>
      <c r="E161" s="167">
        <v>3440.4</v>
      </c>
      <c r="F161" s="167">
        <v>5</v>
      </c>
      <c r="G161" s="168">
        <f t="shared" si="109"/>
      </c>
      <c r="H161" s="168">
        <f t="shared" si="16"/>
      </c>
      <c r="I161" s="168">
        <f t="shared" si="47"/>
      </c>
      <c r="J161" s="168">
        <f t="shared" si="78"/>
      </c>
      <c r="K161" s="168"/>
    </row>
    <row r="162">
      <c r="A162" s="165" t="s">
        <v>330</v>
      </c>
      <c r="B162" s="166" t="s">
        <v>360</v>
      </c>
      <c r="C162" s="167">
        <v>4</v>
      </c>
      <c r="D162" s="185">
        <v>6123.639999999999</v>
      </c>
      <c r="E162" s="185">
        <v>2327.6000000000004</v>
      </c>
      <c r="F162" s="167">
        <v>2</v>
      </c>
      <c r="G162" s="168">
        <f t="shared" si="109"/>
      </c>
      <c r="H162" s="168">
        <f t="shared" si="16"/>
      </c>
      <c r="I162" s="168">
        <f t="shared" si="47"/>
      </c>
      <c r="J162" s="168">
        <f t="shared" si="78"/>
      </c>
      <c r="K162" s="168"/>
    </row>
    <row r="163">
      <c r="A163" s="165" t="s">
        <v>348</v>
      </c>
      <c r="B163" s="166" t="s">
        <v>365</v>
      </c>
      <c r="C163" s="167">
        <v>4</v>
      </c>
      <c r="D163" s="167">
        <v>8741.260000000002</v>
      </c>
      <c r="E163" s="167">
        <v>7939</v>
      </c>
      <c r="F163" s="167">
        <v>7</v>
      </c>
      <c r="G163" s="168">
        <f t="shared" si="109"/>
      </c>
      <c r="H163" s="168">
        <f t="shared" si="16"/>
      </c>
      <c r="I163" s="168">
        <f t="shared" si="47"/>
      </c>
      <c r="J163" s="168">
        <f t="shared" si="78"/>
      </c>
      <c r="K163" s="168"/>
    </row>
    <row r="164">
      <c r="A164" s="163" t="s">
        <v>334</v>
      </c>
      <c r="B164" s="163"/>
      <c r="C164" s="163">
        <f>SUM(C160:C163)</f>
      </c>
      <c r="D164" s="163">
        <f>SUM(D160:D163)</f>
      </c>
      <c r="E164" s="163">
        <f>SUM(E160:E163)</f>
      </c>
      <c r="F164" s="163">
        <f>SUM(F160:F163)</f>
      </c>
      <c r="G164" s="169">
        <f t="shared" si="109"/>
      </c>
      <c r="H164" s="169">
        <f t="shared" si="16"/>
      </c>
      <c r="I164" s="169">
        <f t="shared" si="47"/>
      </c>
      <c r="J164" s="169">
        <f t="shared" si="78"/>
      </c>
      <c r="K164" s="169"/>
    </row>
    <row r="165">
      <c r="A165" s="179" t="s">
        <v>335</v>
      </c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>
      <c r="A166" s="180" t="s">
        <v>319</v>
      </c>
      <c r="B166" s="180" t="s">
        <v>336</v>
      </c>
      <c r="C166" s="180" t="s">
        <v>337</v>
      </c>
      <c r="D166" s="180" t="s">
        <v>338</v>
      </c>
      <c r="E166" s="180" t="s">
        <v>339</v>
      </c>
      <c r="F166" s="180" t="s">
        <v>340</v>
      </c>
      <c r="G166" s="180" t="s">
        <v>341</v>
      </c>
      <c r="H166" s="181" t="s">
        <v>342</v>
      </c>
      <c r="I166" s="181" t="s">
        <v>343</v>
      </c>
      <c r="J166" s="181" t="s">
        <v>344</v>
      </c>
      <c r="K166" s="181" t="s">
        <v>318</v>
      </c>
    </row>
    <row r="167">
      <c r="A167" s="186">
        <f>SUM(D160:D163)</f>
      </c>
      <c r="B167" s="187">
        <f>SUM(E160:E163)</f>
      </c>
      <c r="C167" s="187">
        <f>B167/((K167*300)+A167)</f>
      </c>
      <c r="D167" s="188">
        <f>A167/J167</f>
      </c>
      <c r="E167" s="187">
        <f>B167/J167</f>
      </c>
      <c r="F167" s="189">
        <f>J167/I167</f>
      </c>
      <c r="G167" s="189">
        <f>H167/J167</f>
      </c>
      <c r="H167" s="190">
        <v>0</v>
      </c>
      <c r="I167" s="190">
        <v>25</v>
      </c>
      <c r="J167" s="190">
        <f>F164</f>
      </c>
      <c r="K167" s="190">
        <v>16</v>
      </c>
    </row>
    <row r="168">
      <c r="A168" s="162" t="s">
        <v>370</v>
      </c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</row>
    <row r="169">
      <c r="A169" s="163" t="s">
        <v>316</v>
      </c>
      <c r="B169" s="163" t="s">
        <v>317</v>
      </c>
      <c r="C169" s="163" t="s">
        <v>318</v>
      </c>
      <c r="D169" s="163" t="s">
        <v>319</v>
      </c>
      <c r="E169" s="164" t="s">
        <v>320</v>
      </c>
      <c r="F169" s="163" t="s">
        <v>321</v>
      </c>
      <c r="G169" s="163" t="s">
        <v>322</v>
      </c>
      <c r="H169" s="163" t="s">
        <v>323</v>
      </c>
      <c r="I169" s="163" t="s">
        <v>324</v>
      </c>
      <c r="J169" s="163" t="s">
        <v>325</v>
      </c>
      <c r="K169" s="163"/>
    </row>
    <row r="170">
      <c r="A170" s="165" t="s">
        <v>332</v>
      </c>
      <c r="B170" s="166" t="s">
        <v>327</v>
      </c>
      <c r="C170" s="167">
        <v>4</v>
      </c>
      <c r="D170" s="167">
        <v>5895.55</v>
      </c>
      <c r="E170" s="185">
        <v>9900</v>
      </c>
      <c r="F170" s="167">
        <v>5</v>
      </c>
      <c r="G170" s="168">
        <f t="shared" ref="G170:G174" si="110">E170/F170</f>
      </c>
      <c r="H170" s="168">
        <f t="shared" ref="H170:H174" si="17">D170/F170</f>
      </c>
      <c r="I170" s="168">
        <f t="shared" ref="I170:I174" si="48">E170/D170</f>
      </c>
      <c r="J170" s="168">
        <f t="shared" ref="J170:J174" si="79">D170/C170</f>
      </c>
      <c r="K170" s="168"/>
    </row>
    <row r="171">
      <c r="A171" s="165" t="s">
        <v>326</v>
      </c>
      <c r="B171" s="166" t="s">
        <v>359</v>
      </c>
      <c r="C171" s="167">
        <v>4</v>
      </c>
      <c r="D171" s="167">
        <v>8155.58</v>
      </c>
      <c r="E171" s="167">
        <v>8967.6</v>
      </c>
      <c r="F171" s="167">
        <v>8</v>
      </c>
      <c r="G171" s="168">
        <f t="shared" si="110"/>
      </c>
      <c r="H171" s="168">
        <f t="shared" si="17"/>
      </c>
      <c r="I171" s="168">
        <f t="shared" si="48"/>
      </c>
      <c r="J171" s="168">
        <f t="shared" si="79"/>
      </c>
      <c r="K171" s="168"/>
    </row>
    <row r="172">
      <c r="A172" s="165" t="s">
        <v>330</v>
      </c>
      <c r="B172" s="166" t="s">
        <v>360</v>
      </c>
      <c r="C172" s="167">
        <v>4</v>
      </c>
      <c r="D172" s="167">
        <v>10649.98</v>
      </c>
      <c r="E172" s="167">
        <v>2658.8</v>
      </c>
      <c r="F172" s="167">
        <v>3</v>
      </c>
      <c r="G172" s="168">
        <f t="shared" si="110"/>
      </c>
      <c r="H172" s="168">
        <f t="shared" si="17"/>
      </c>
      <c r="I172" s="168">
        <f t="shared" si="48"/>
      </c>
      <c r="J172" s="168">
        <f t="shared" si="79"/>
      </c>
      <c r="K172" s="168"/>
    </row>
    <row r="173">
      <c r="A173" s="165" t="s">
        <v>348</v>
      </c>
      <c r="B173" s="166" t="s">
        <v>365</v>
      </c>
      <c r="C173" s="167">
        <v>4</v>
      </c>
      <c r="D173" s="167">
        <v>9873.26</v>
      </c>
      <c r="E173" s="167">
        <v>6611.4</v>
      </c>
      <c r="F173" s="167">
        <v>7</v>
      </c>
      <c r="G173" s="168">
        <f t="shared" si="110"/>
      </c>
      <c r="H173" s="168">
        <f t="shared" si="17"/>
      </c>
      <c r="I173" s="168">
        <f t="shared" si="48"/>
      </c>
      <c r="J173" s="168">
        <f t="shared" si="79"/>
      </c>
      <c r="K173" s="168"/>
      <c r="L173" s="192"/>
    </row>
    <row r="174">
      <c r="A174" s="163" t="s">
        <v>334</v>
      </c>
      <c r="B174" s="163"/>
      <c r="C174" s="163">
        <f>SUM(C170:C173)</f>
      </c>
      <c r="D174" s="163">
        <f>SUM(D170:D173)</f>
      </c>
      <c r="E174" s="163">
        <f>SUM(E170:E173)</f>
      </c>
      <c r="F174" s="163">
        <f>SUM(F170:F173)</f>
      </c>
      <c r="G174" s="169">
        <f t="shared" si="110"/>
      </c>
      <c r="H174" s="169">
        <f t="shared" si="17"/>
      </c>
      <c r="I174" s="169">
        <f t="shared" si="48"/>
      </c>
      <c r="J174" s="169">
        <f t="shared" si="79"/>
      </c>
      <c r="K174" s="169"/>
    </row>
    <row r="175">
      <c r="A175" s="179" t="s">
        <v>335</v>
      </c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>
      <c r="A176" s="180" t="s">
        <v>319</v>
      </c>
      <c r="B176" s="180" t="s">
        <v>336</v>
      </c>
      <c r="C176" s="180" t="s">
        <v>337</v>
      </c>
      <c r="D176" s="180" t="s">
        <v>338</v>
      </c>
      <c r="E176" s="180" t="s">
        <v>339</v>
      </c>
      <c r="F176" s="180" t="s">
        <v>340</v>
      </c>
      <c r="G176" s="180" t="s">
        <v>341</v>
      </c>
      <c r="H176" s="181" t="s">
        <v>342</v>
      </c>
      <c r="I176" s="181" t="s">
        <v>343</v>
      </c>
      <c r="J176" s="181" t="s">
        <v>344</v>
      </c>
      <c r="K176" s="181" t="s">
        <v>318</v>
      </c>
    </row>
    <row r="177">
      <c r="A177" s="186">
        <f>SUM(D170:D173)</f>
      </c>
      <c r="B177" s="187">
        <f>SUM(E170:E173)</f>
      </c>
      <c r="C177" s="187">
        <f>B177/((K177*300)+A177)</f>
      </c>
      <c r="D177" s="188">
        <f>A177/J177</f>
      </c>
      <c r="E177" s="187">
        <f>B177/J177</f>
      </c>
      <c r="F177" s="189">
        <f>J177/I177</f>
      </c>
      <c r="G177" s="189">
        <f>H177/J177</f>
      </c>
      <c r="H177" s="190">
        <v>2</v>
      </c>
      <c r="I177" s="190">
        <v>43</v>
      </c>
      <c r="J177" s="190">
        <f>F174</f>
      </c>
      <c r="K177" s="190">
        <v>16</v>
      </c>
    </row>
    <row r="178">
      <c r="A178" s="162" t="s">
        <v>371</v>
      </c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</row>
    <row r="179">
      <c r="A179" s="163" t="s">
        <v>316</v>
      </c>
      <c r="B179" s="163" t="s">
        <v>317</v>
      </c>
      <c r="C179" s="163" t="s">
        <v>318</v>
      </c>
      <c r="D179" s="163" t="s">
        <v>319</v>
      </c>
      <c r="E179" s="164" t="s">
        <v>320</v>
      </c>
      <c r="F179" s="163" t="s">
        <v>321</v>
      </c>
      <c r="G179" s="163" t="s">
        <v>322</v>
      </c>
      <c r="H179" s="163" t="s">
        <v>323</v>
      </c>
      <c r="I179" s="163" t="s">
        <v>324</v>
      </c>
      <c r="J179" s="163" t="s">
        <v>325</v>
      </c>
      <c r="K179" s="163"/>
    </row>
    <row r="180">
      <c r="A180" s="165" t="s">
        <v>326</v>
      </c>
      <c r="B180" s="166" t="s">
        <v>327</v>
      </c>
      <c r="C180" s="167">
        <v>4</v>
      </c>
      <c r="D180" s="167">
        <v>9429.380000000001</v>
      </c>
      <c r="E180" s="185">
        <v>15859.6</v>
      </c>
      <c r="F180" s="167">
        <v>9</v>
      </c>
      <c r="G180" s="168">
        <f t="shared" ref="G180:G184" si="111">E180/F180</f>
      </c>
      <c r="H180" s="168">
        <f t="shared" ref="H180:H184" si="18">D180/F180</f>
      </c>
      <c r="I180" s="168">
        <f t="shared" ref="I180:I184" si="49">E180/D180</f>
      </c>
      <c r="J180" s="168">
        <f t="shared" ref="J180:J184" si="80">D180/C180</f>
      </c>
      <c r="K180" s="168"/>
    </row>
    <row r="181">
      <c r="A181" s="165" t="s">
        <v>330</v>
      </c>
      <c r="B181" s="166" t="s">
        <v>359</v>
      </c>
      <c r="C181" s="167">
        <v>4</v>
      </c>
      <c r="D181" s="167">
        <v>13596.599999999999</v>
      </c>
      <c r="E181" s="167">
        <v>13624.800000000001</v>
      </c>
      <c r="F181" s="167">
        <v>6</v>
      </c>
      <c r="G181" s="168">
        <f t="shared" si="111"/>
      </c>
      <c r="H181" s="168">
        <f t="shared" si="18"/>
      </c>
      <c r="I181" s="168">
        <f t="shared" si="49"/>
      </c>
      <c r="J181" s="168">
        <f t="shared" si="80"/>
      </c>
      <c r="K181" s="168"/>
    </row>
    <row r="182">
      <c r="A182" s="165" t="s">
        <v>348</v>
      </c>
      <c r="B182" s="166" t="s">
        <v>360</v>
      </c>
      <c r="C182" s="167">
        <v>4</v>
      </c>
      <c r="D182" s="167">
        <v>7592.76</v>
      </c>
      <c r="E182" s="167">
        <v>2176</v>
      </c>
      <c r="F182" s="167">
        <v>2</v>
      </c>
      <c r="G182" s="168">
        <f t="shared" si="111"/>
      </c>
      <c r="H182" s="168">
        <f t="shared" si="18"/>
      </c>
      <c r="I182" s="168">
        <f t="shared" si="49"/>
      </c>
      <c r="J182" s="168">
        <f t="shared" si="80"/>
      </c>
      <c r="K182" s="168"/>
    </row>
    <row r="183">
      <c r="A183" s="165" t="s">
        <v>332</v>
      </c>
      <c r="B183" s="166" t="s">
        <v>365</v>
      </c>
      <c r="C183" s="167">
        <v>4</v>
      </c>
      <c r="D183" s="167">
        <v>6883.11</v>
      </c>
      <c r="E183" s="167">
        <v>12124.8</v>
      </c>
      <c r="F183" s="167">
        <v>6</v>
      </c>
      <c r="G183" s="168">
        <f t="shared" si="111"/>
      </c>
      <c r="H183" s="168">
        <f t="shared" si="18"/>
      </c>
      <c r="I183" s="168">
        <f t="shared" si="49"/>
      </c>
      <c r="J183" s="168">
        <f t="shared" si="80"/>
      </c>
      <c r="K183" s="168"/>
    </row>
    <row r="184">
      <c r="A184" s="163" t="s">
        <v>334</v>
      </c>
      <c r="B184" s="163"/>
      <c r="C184" s="163">
        <f>SUM(C180:C183)</f>
      </c>
      <c r="D184" s="163">
        <f>SUM(D180:D183)</f>
      </c>
      <c r="E184" s="163">
        <f>SUM(E180:E183)</f>
      </c>
      <c r="F184" s="163">
        <f>SUM(F180:F183)</f>
      </c>
      <c r="G184" s="169">
        <f t="shared" si="111"/>
      </c>
      <c r="H184" s="169">
        <f t="shared" si="18"/>
      </c>
      <c r="I184" s="169">
        <f t="shared" si="49"/>
      </c>
      <c r="J184" s="169">
        <f t="shared" si="80"/>
      </c>
      <c r="K184" s="169"/>
    </row>
    <row r="185">
      <c r="A185" s="179" t="s">
        <v>335</v>
      </c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>
      <c r="A186" s="180" t="s">
        <v>319</v>
      </c>
      <c r="B186" s="180" t="s">
        <v>336</v>
      </c>
      <c r="C186" s="180" t="s">
        <v>337</v>
      </c>
      <c r="D186" s="180" t="s">
        <v>338</v>
      </c>
      <c r="E186" s="180" t="s">
        <v>339</v>
      </c>
      <c r="F186" s="180" t="s">
        <v>340</v>
      </c>
      <c r="G186" s="180" t="s">
        <v>341</v>
      </c>
      <c r="H186" s="181" t="s">
        <v>342</v>
      </c>
      <c r="I186" s="181" t="s">
        <v>343</v>
      </c>
      <c r="J186" s="181" t="s">
        <v>344</v>
      </c>
      <c r="K186" s="181" t="s">
        <v>318</v>
      </c>
    </row>
    <row r="187">
      <c r="A187" s="186">
        <f>SUM(D180:D183)</f>
      </c>
      <c r="B187" s="187">
        <f>SUM(E180:E183)</f>
      </c>
      <c r="C187" s="187">
        <f>B187/((K187*300)+A187)</f>
      </c>
      <c r="D187" s="188">
        <f>A187/J187</f>
      </c>
      <c r="E187" s="187">
        <f>B187/J187</f>
      </c>
      <c r="F187" s="189">
        <f>J187/I187</f>
      </c>
      <c r="G187" s="189">
        <f>H187/J187</f>
      </c>
      <c r="H187" s="190">
        <v>1</v>
      </c>
      <c r="I187" s="190">
        <v>38</v>
      </c>
      <c r="J187" s="190">
        <f>F184</f>
      </c>
      <c r="K187" s="190">
        <v>16</v>
      </c>
    </row>
    <row r="188">
      <c r="A188" s="162" t="s">
        <v>372</v>
      </c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</row>
    <row r="189">
      <c r="A189" s="163" t="s">
        <v>316</v>
      </c>
      <c r="B189" s="163" t="s">
        <v>317</v>
      </c>
      <c r="C189" s="163" t="s">
        <v>318</v>
      </c>
      <c r="D189" s="163" t="s">
        <v>319</v>
      </c>
      <c r="E189" s="164" t="s">
        <v>320</v>
      </c>
      <c r="F189" s="163" t="s">
        <v>321</v>
      </c>
      <c r="G189" s="163" t="s">
        <v>322</v>
      </c>
      <c r="H189" s="163" t="s">
        <v>323</v>
      </c>
      <c r="I189" s="163" t="s">
        <v>324</v>
      </c>
      <c r="J189" s="163" t="s">
        <v>325</v>
      </c>
      <c r="K189" s="163"/>
    </row>
    <row r="190">
      <c r="A190" s="165" t="s">
        <v>326</v>
      </c>
      <c r="B190" s="166" t="s">
        <v>327</v>
      </c>
      <c r="C190" s="167">
        <v>4</v>
      </c>
      <c r="D190" s="167">
        <v>9767.02</v>
      </c>
      <c r="E190" s="185">
        <v>6330.6</v>
      </c>
      <c r="F190" s="167">
        <v>7</v>
      </c>
      <c r="G190" s="168">
        <f t="shared" ref="G190:G194" si="112">E190/F190</f>
      </c>
      <c r="H190" s="168">
        <f t="shared" ref="H190:H194" si="19">D190/F190</f>
      </c>
      <c r="I190" s="168">
        <f t="shared" ref="I190:I194" si="50">E190/D190</f>
      </c>
      <c r="J190" s="168">
        <f t="shared" ref="J190:J194" si="81">D190/C190</f>
      </c>
      <c r="K190" s="168"/>
    </row>
    <row r="191">
      <c r="A191" s="165" t="s">
        <v>332</v>
      </c>
      <c r="B191" s="166" t="s">
        <v>359</v>
      </c>
      <c r="C191" s="167">
        <v>4</v>
      </c>
      <c r="D191" s="167">
        <v>7067.45</v>
      </c>
      <c r="E191" s="167">
        <v>12456</v>
      </c>
      <c r="F191" s="167">
        <v>5</v>
      </c>
      <c r="G191" s="168">
        <f t="shared" si="112"/>
      </c>
      <c r="H191" s="168">
        <f t="shared" si="19"/>
      </c>
      <c r="I191" s="168">
        <f t="shared" si="50"/>
      </c>
      <c r="J191" s="168">
        <f t="shared" si="81"/>
      </c>
      <c r="K191" s="168"/>
    </row>
    <row r="192">
      <c r="A192" s="165" t="s">
        <v>330</v>
      </c>
      <c r="B192" s="166" t="s">
        <v>360</v>
      </c>
      <c r="C192" s="167">
        <v>4</v>
      </c>
      <c r="D192" s="167">
        <v>5517.03</v>
      </c>
      <c r="E192" s="167">
        <v>3395</v>
      </c>
      <c r="F192" s="167">
        <v>3</v>
      </c>
      <c r="G192" s="168">
        <f t="shared" si="112"/>
      </c>
      <c r="H192" s="168">
        <f t="shared" si="19"/>
      </c>
      <c r="I192" s="168">
        <f t="shared" si="50"/>
      </c>
      <c r="J192" s="168">
        <f t="shared" si="81"/>
      </c>
      <c r="K192" s="168"/>
    </row>
    <row r="193">
      <c r="A193" s="165" t="s">
        <v>348</v>
      </c>
      <c r="B193" s="166" t="s">
        <v>365</v>
      </c>
      <c r="C193" s="167">
        <v>4</v>
      </c>
      <c r="D193" s="167">
        <v>6008.889999999992</v>
      </c>
      <c r="E193" s="167">
        <v>7617.5999999999985</v>
      </c>
      <c r="F193" s="167">
        <v>5</v>
      </c>
      <c r="G193" s="168">
        <f t="shared" si="112"/>
      </c>
      <c r="H193" s="168">
        <f t="shared" si="19"/>
      </c>
      <c r="I193" s="168">
        <f t="shared" si="50"/>
      </c>
      <c r="J193" s="168">
        <f t="shared" si="81"/>
      </c>
      <c r="K193" s="168"/>
    </row>
    <row r="194">
      <c r="A194" s="163" t="s">
        <v>334</v>
      </c>
      <c r="B194" s="163"/>
      <c r="C194" s="163">
        <f>SUM(C190:C193)</f>
      </c>
      <c r="D194" s="163">
        <f>SUM(D190:D193)</f>
      </c>
      <c r="E194" s="163">
        <f>SUM(E190:E193)</f>
      </c>
      <c r="F194" s="163">
        <f>SUM(F190:F193)</f>
      </c>
      <c r="G194" s="169">
        <f t="shared" si="112"/>
      </c>
      <c r="H194" s="169">
        <f t="shared" si="19"/>
      </c>
      <c r="I194" s="169">
        <f t="shared" si="50"/>
      </c>
      <c r="J194" s="169">
        <f t="shared" si="81"/>
      </c>
      <c r="K194" s="169"/>
    </row>
    <row r="195">
      <c r="A195" s="179" t="s">
        <v>335</v>
      </c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>
      <c r="A196" s="180" t="s">
        <v>319</v>
      </c>
      <c r="B196" s="180" t="s">
        <v>336</v>
      </c>
      <c r="C196" s="180" t="s">
        <v>337</v>
      </c>
      <c r="D196" s="180" t="s">
        <v>338</v>
      </c>
      <c r="E196" s="180" t="s">
        <v>339</v>
      </c>
      <c r="F196" s="180" t="s">
        <v>340</v>
      </c>
      <c r="G196" s="180" t="s">
        <v>341</v>
      </c>
      <c r="H196" s="181" t="s">
        <v>342</v>
      </c>
      <c r="I196" s="181" t="s">
        <v>343</v>
      </c>
      <c r="J196" s="181" t="s">
        <v>344</v>
      </c>
      <c r="K196" s="181" t="s">
        <v>318</v>
      </c>
    </row>
    <row r="197">
      <c r="A197" s="186">
        <f>SUM(D190:D193)</f>
      </c>
      <c r="B197" s="187">
        <f>SUM(E190:E193)</f>
      </c>
      <c r="C197" s="187">
        <f>B197/((K197*300)+A197)</f>
      </c>
      <c r="D197" s="188">
        <f>A197/J197</f>
      </c>
      <c r="E197" s="187">
        <f>B197/J197</f>
      </c>
      <c r="F197" s="189">
        <f>J197/I197</f>
      </c>
      <c r="G197" s="189">
        <f>H197/J197</f>
      </c>
      <c r="H197" s="190">
        <v>1</v>
      </c>
      <c r="I197" s="190">
        <v>28</v>
      </c>
      <c r="J197" s="190">
        <v>20</v>
      </c>
      <c r="K197" s="190">
        <v>16</v>
      </c>
    </row>
    <row r="198">
      <c r="A198" s="162" t="s">
        <v>373</v>
      </c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</row>
    <row r="199">
      <c r="A199" s="163" t="s">
        <v>316</v>
      </c>
      <c r="B199" s="163" t="s">
        <v>317</v>
      </c>
      <c r="C199" s="163" t="s">
        <v>318</v>
      </c>
      <c r="D199" s="163" t="s">
        <v>319</v>
      </c>
      <c r="E199" s="164" t="s">
        <v>320</v>
      </c>
      <c r="F199" s="163" t="s">
        <v>321</v>
      </c>
      <c r="G199" s="163" t="s">
        <v>322</v>
      </c>
      <c r="H199" s="163" t="s">
        <v>323</v>
      </c>
      <c r="I199" s="163" t="s">
        <v>324</v>
      </c>
      <c r="J199" s="163" t="s">
        <v>325</v>
      </c>
      <c r="K199" s="163"/>
    </row>
    <row r="200">
      <c r="A200" s="165" t="s">
        <v>332</v>
      </c>
      <c r="B200" s="166" t="s">
        <v>327</v>
      </c>
      <c r="C200" s="167">
        <v>4</v>
      </c>
      <c r="D200" s="167">
        <v>5273.17</v>
      </c>
      <c r="E200" s="185">
        <v>7005.200000000001</v>
      </c>
      <c r="F200" s="167">
        <v>3</v>
      </c>
      <c r="G200" s="168">
        <f t="shared" ref="G200:G204" si="113">E200/F200</f>
      </c>
      <c r="H200" s="168">
        <f t="shared" ref="H200:H204" si="20">D200/F200</f>
      </c>
      <c r="I200" s="168">
        <f t="shared" ref="I200:I204" si="51">E200/D200</f>
      </c>
      <c r="J200" s="168">
        <f t="shared" ref="J200:J204" si="82">D200/C200</f>
      </c>
      <c r="K200" s="168"/>
    </row>
    <row r="201">
      <c r="A201" s="165" t="s">
        <v>330</v>
      </c>
      <c r="B201" s="166" t="s">
        <v>359</v>
      </c>
      <c r="C201" s="167">
        <v>4</v>
      </c>
      <c r="D201" s="167">
        <v>4830.630000000001</v>
      </c>
      <c r="E201" s="167">
        <v>6451.199999999999</v>
      </c>
      <c r="F201" s="167">
        <v>4</v>
      </c>
      <c r="G201" s="168">
        <f t="shared" si="113"/>
      </c>
      <c r="H201" s="168">
        <f t="shared" si="20"/>
      </c>
      <c r="I201" s="168">
        <f t="shared" si="51"/>
      </c>
      <c r="J201" s="168">
        <f t="shared" si="82"/>
      </c>
      <c r="K201" s="168"/>
    </row>
    <row r="202">
      <c r="A202" s="165" t="s">
        <v>326</v>
      </c>
      <c r="B202" s="166" t="s">
        <v>360</v>
      </c>
      <c r="C202" s="167">
        <v>4</v>
      </c>
      <c r="D202" s="167">
        <v>3757.199999999999</v>
      </c>
      <c r="E202" s="167">
        <v>5448.000000000002</v>
      </c>
      <c r="F202" s="167">
        <v>2</v>
      </c>
      <c r="G202" s="168">
        <f t="shared" si="113"/>
      </c>
      <c r="H202" s="168">
        <f t="shared" si="20"/>
      </c>
      <c r="I202" s="168">
        <f t="shared" si="51"/>
      </c>
      <c r="J202" s="168">
        <f t="shared" si="82"/>
      </c>
      <c r="K202" s="168"/>
    </row>
    <row r="203">
      <c r="A203" s="165" t="s">
        <v>348</v>
      </c>
      <c r="B203" s="166" t="s">
        <v>365</v>
      </c>
      <c r="C203" s="167">
        <v>4</v>
      </c>
      <c r="D203" s="167">
        <v>5607.460000000003</v>
      </c>
      <c r="E203" s="167">
        <v>14532</v>
      </c>
      <c r="F203" s="167">
        <v>8</v>
      </c>
      <c r="G203" s="168">
        <f t="shared" si="113"/>
      </c>
      <c r="H203" s="168">
        <f t="shared" si="20"/>
      </c>
      <c r="I203" s="168">
        <f t="shared" si="51"/>
      </c>
      <c r="J203" s="168">
        <f t="shared" si="82"/>
      </c>
      <c r="K203" s="168"/>
    </row>
    <row r="204">
      <c r="A204" s="163" t="s">
        <v>334</v>
      </c>
      <c r="B204" s="163"/>
      <c r="C204" s="163">
        <f>SUM(C200:C203)</f>
      </c>
      <c r="D204" s="163">
        <f>SUM(D200:D203)</f>
      </c>
      <c r="E204" s="163">
        <f>SUM(E200:E203)</f>
      </c>
      <c r="F204" s="163">
        <f>SUM(F200:F203)</f>
      </c>
      <c r="G204" s="169">
        <f t="shared" si="113"/>
      </c>
      <c r="H204" s="169">
        <f t="shared" si="20"/>
      </c>
      <c r="I204" s="169">
        <f t="shared" si="51"/>
      </c>
      <c r="J204" s="169">
        <f t="shared" si="82"/>
      </c>
      <c r="K204" s="169"/>
    </row>
    <row r="205">
      <c r="A205" s="179" t="s">
        <v>335</v>
      </c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</row>
    <row r="206">
      <c r="A206" s="180" t="s">
        <v>319</v>
      </c>
      <c r="B206" s="180" t="s">
        <v>336</v>
      </c>
      <c r="C206" s="180" t="s">
        <v>337</v>
      </c>
      <c r="D206" s="180" t="s">
        <v>338</v>
      </c>
      <c r="E206" s="180" t="s">
        <v>339</v>
      </c>
      <c r="F206" s="180" t="s">
        <v>340</v>
      </c>
      <c r="G206" s="180" t="s">
        <v>341</v>
      </c>
      <c r="H206" s="181" t="s">
        <v>342</v>
      </c>
      <c r="I206" s="181" t="s">
        <v>343</v>
      </c>
      <c r="J206" s="181" t="s">
        <v>344</v>
      </c>
      <c r="K206" s="181" t="s">
        <v>318</v>
      </c>
    </row>
    <row r="207">
      <c r="A207" s="186">
        <f>SUM(D200:D203)</f>
      </c>
      <c r="B207" s="187">
        <f>SUM(E200:E203)</f>
      </c>
      <c r="C207" s="187">
        <f>B207/((K207*300)+A207)</f>
      </c>
      <c r="D207" s="188">
        <f>A207/J207</f>
      </c>
      <c r="E207" s="187">
        <f>B207/J207</f>
      </c>
      <c r="F207" s="189">
        <f>J207/I207</f>
      </c>
      <c r="G207" s="189">
        <f>H207/J207</f>
      </c>
      <c r="H207" s="190">
        <v>2</v>
      </c>
      <c r="I207" s="190">
        <v>29</v>
      </c>
      <c r="J207" s="190">
        <f>F204</f>
      </c>
      <c r="K207" s="190">
        <v>16</v>
      </c>
    </row>
    <row r="208">
      <c r="A208" s="162" t="s">
        <v>374</v>
      </c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</row>
    <row r="209">
      <c r="A209" s="163" t="s">
        <v>316</v>
      </c>
      <c r="B209" s="163" t="s">
        <v>317</v>
      </c>
      <c r="C209" s="163" t="s">
        <v>318</v>
      </c>
      <c r="D209" s="163" t="s">
        <v>319</v>
      </c>
      <c r="E209" s="164" t="s">
        <v>320</v>
      </c>
      <c r="F209" s="163" t="s">
        <v>321</v>
      </c>
      <c r="G209" s="163" t="s">
        <v>322</v>
      </c>
      <c r="H209" s="163" t="s">
        <v>323</v>
      </c>
      <c r="I209" s="163" t="s">
        <v>324</v>
      </c>
      <c r="J209" s="163" t="s">
        <v>325</v>
      </c>
      <c r="K209" s="163"/>
    </row>
    <row r="210">
      <c r="A210" s="165" t="s">
        <v>332</v>
      </c>
      <c r="B210" s="166" t="s">
        <v>327</v>
      </c>
      <c r="C210" s="167">
        <v>4</v>
      </c>
      <c r="D210" s="167">
        <v>5565.379999999999</v>
      </c>
      <c r="E210" s="185">
        <v>6757.200000000001</v>
      </c>
      <c r="F210" s="167">
        <v>4</v>
      </c>
      <c r="G210" s="168">
        <f t="shared" ref="G210:G214" si="114">E210/F210</f>
      </c>
      <c r="H210" s="168">
        <f t="shared" ref="H210:H214" si="21">D210/F210</f>
      </c>
      <c r="I210" s="168">
        <f t="shared" ref="I210:I214" si="52">E210/D210</f>
      </c>
      <c r="J210" s="168">
        <f t="shared" ref="J210:J214" si="83">D210/C210</f>
      </c>
      <c r="K210" s="168"/>
    </row>
    <row r="211">
      <c r="A211" s="165" t="s">
        <v>326</v>
      </c>
      <c r="B211" s="166" t="s">
        <v>359</v>
      </c>
      <c r="C211" s="167">
        <v>4</v>
      </c>
      <c r="D211" s="167">
        <v>3703.5</v>
      </c>
      <c r="E211" s="167">
        <v>0</v>
      </c>
      <c r="F211" s="167">
        <v>0</v>
      </c>
      <c r="G211" s="168">
        <f t="shared" si="114"/>
      </c>
      <c r="H211" s="168">
        <f t="shared" si="21"/>
      </c>
      <c r="I211" s="168">
        <f t="shared" si="52"/>
      </c>
      <c r="J211" s="168">
        <f t="shared" si="83"/>
      </c>
      <c r="K211" s="168"/>
    </row>
    <row r="212">
      <c r="A212" s="165" t="s">
        <v>348</v>
      </c>
      <c r="B212" s="166" t="s">
        <v>360</v>
      </c>
      <c r="C212" s="167">
        <v>4</v>
      </c>
      <c r="D212" s="167">
        <v>2726.66</v>
      </c>
      <c r="E212" s="167">
        <v>0</v>
      </c>
      <c r="F212" s="167">
        <v>0</v>
      </c>
      <c r="G212" s="168">
        <f t="shared" si="114"/>
      </c>
      <c r="H212" s="168">
        <f t="shared" si="21"/>
      </c>
      <c r="I212" s="168">
        <f t="shared" si="52"/>
      </c>
      <c r="J212" s="168">
        <f t="shared" si="83"/>
      </c>
      <c r="K212" s="168"/>
    </row>
    <row r="213">
      <c r="A213" s="165" t="s">
        <v>330</v>
      </c>
      <c r="B213" s="166" t="s">
        <v>365</v>
      </c>
      <c r="C213" s="167">
        <v>4</v>
      </c>
      <c r="D213" s="167">
        <v>3915.370000000001</v>
      </c>
      <c r="E213" s="167">
        <v>5951</v>
      </c>
      <c r="F213" s="167">
        <v>4</v>
      </c>
      <c r="G213" s="168">
        <f t="shared" si="114"/>
      </c>
      <c r="H213" s="168">
        <f t="shared" si="21"/>
      </c>
      <c r="I213" s="168">
        <f t="shared" si="52"/>
      </c>
      <c r="J213" s="168">
        <f t="shared" si="83"/>
      </c>
      <c r="K213" s="168"/>
    </row>
    <row r="214">
      <c r="A214" s="163" t="s">
        <v>334</v>
      </c>
      <c r="B214" s="163"/>
      <c r="C214" s="163">
        <f>SUM(C210:C213)</f>
      </c>
      <c r="D214" s="163">
        <f>SUM(D210:D213)</f>
      </c>
      <c r="E214" s="163">
        <f>SUM(E210:E213)</f>
      </c>
      <c r="F214" s="163">
        <f>SUM(F210:F213)</f>
      </c>
      <c r="G214" s="169">
        <f t="shared" si="114"/>
      </c>
      <c r="H214" s="169">
        <f t="shared" si="21"/>
      </c>
      <c r="I214" s="169">
        <f t="shared" si="52"/>
      </c>
      <c r="J214" s="169">
        <f t="shared" si="83"/>
      </c>
      <c r="K214" s="169"/>
    </row>
    <row r="215">
      <c r="A215" s="179" t="s">
        <v>335</v>
      </c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</row>
    <row r="216">
      <c r="A216" s="180" t="s">
        <v>319</v>
      </c>
      <c r="B216" s="180" t="s">
        <v>336</v>
      </c>
      <c r="C216" s="180" t="s">
        <v>337</v>
      </c>
      <c r="D216" s="180" t="s">
        <v>338</v>
      </c>
      <c r="E216" s="180" t="s">
        <v>339</v>
      </c>
      <c r="F216" s="180" t="s">
        <v>340</v>
      </c>
      <c r="G216" s="180" t="s">
        <v>341</v>
      </c>
      <c r="H216" s="181" t="s">
        <v>342</v>
      </c>
      <c r="I216" s="181" t="s">
        <v>343</v>
      </c>
      <c r="J216" s="181" t="s">
        <v>344</v>
      </c>
      <c r="K216" s="181" t="s">
        <v>318</v>
      </c>
    </row>
    <row r="217">
      <c r="A217" s="186">
        <f>SUM(D210:D213)</f>
      </c>
      <c r="B217" s="187">
        <f>SUM(E210:E213)</f>
      </c>
      <c r="C217" s="187">
        <f>B217/((K217*300)+A217)</f>
      </c>
      <c r="D217" s="188">
        <f>A217/J217</f>
      </c>
      <c r="E217" s="187">
        <f>B217/J217</f>
      </c>
      <c r="F217" s="189">
        <f>J217/I217</f>
      </c>
      <c r="G217" s="189">
        <f>H217/J217</f>
      </c>
      <c r="H217" s="190">
        <v>1</v>
      </c>
      <c r="I217" s="190">
        <v>11</v>
      </c>
      <c r="J217" s="190">
        <f>F214</f>
      </c>
      <c r="K217" s="190">
        <v>16</v>
      </c>
    </row>
    <row r="218">
      <c r="A218" s="162" t="s">
        <v>375</v>
      </c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</row>
    <row r="219">
      <c r="A219" s="163" t="s">
        <v>316</v>
      </c>
      <c r="B219" s="163" t="s">
        <v>317</v>
      </c>
      <c r="C219" s="163" t="s">
        <v>318</v>
      </c>
      <c r="D219" s="163" t="s">
        <v>319</v>
      </c>
      <c r="E219" s="164" t="s">
        <v>320</v>
      </c>
      <c r="F219" s="163" t="s">
        <v>321</v>
      </c>
      <c r="G219" s="163" t="s">
        <v>322</v>
      </c>
      <c r="H219" s="163" t="s">
        <v>323</v>
      </c>
      <c r="I219" s="163" t="s">
        <v>324</v>
      </c>
      <c r="J219" s="163" t="s">
        <v>325</v>
      </c>
      <c r="K219" s="163"/>
    </row>
    <row r="220">
      <c r="A220" s="165" t="s">
        <v>326</v>
      </c>
      <c r="B220" s="166" t="s">
        <v>327</v>
      </c>
      <c r="C220" s="167">
        <v>4</v>
      </c>
      <c r="D220" s="167">
        <v>6273.9</v>
      </c>
      <c r="E220" s="185">
        <v>6159.6</v>
      </c>
      <c r="F220" s="167">
        <v>3</v>
      </c>
      <c r="G220" s="168">
        <f t="shared" ref="G220:G224" si="115">E220/F220</f>
      </c>
      <c r="H220" s="168">
        <f t="shared" ref="H220:H224" si="22">D220/F220</f>
      </c>
      <c r="I220" s="168">
        <f t="shared" ref="I220:I224" si="53">E220/D220</f>
      </c>
      <c r="J220" s="168">
        <f t="shared" ref="J220:J224" si="84">D220/C220</f>
      </c>
      <c r="K220" s="168"/>
    </row>
    <row r="221">
      <c r="A221" s="165" t="s">
        <v>348</v>
      </c>
      <c r="B221" s="166" t="s">
        <v>359</v>
      </c>
      <c r="C221" s="167">
        <v>4</v>
      </c>
      <c r="D221" s="167">
        <v>3799.0899999999983</v>
      </c>
      <c r="E221" s="167">
        <v>8620.800000000001</v>
      </c>
      <c r="F221" s="167">
        <v>5</v>
      </c>
      <c r="G221" s="168">
        <f t="shared" si="115"/>
      </c>
      <c r="H221" s="168">
        <f t="shared" si="22"/>
      </c>
      <c r="I221" s="168">
        <f t="shared" si="53"/>
      </c>
      <c r="J221" s="168">
        <f t="shared" si="84"/>
      </c>
      <c r="K221" s="168"/>
    </row>
    <row r="222">
      <c r="A222" s="165" t="s">
        <v>330</v>
      </c>
      <c r="B222" s="166" t="s">
        <v>360</v>
      </c>
      <c r="C222" s="167">
        <v>4</v>
      </c>
      <c r="D222" s="167">
        <v>3465.7700000000004</v>
      </c>
      <c r="E222" s="167">
        <v>1669.2000000000007</v>
      </c>
      <c r="F222" s="167">
        <v>1</v>
      </c>
      <c r="G222" s="168">
        <f t="shared" si="115"/>
      </c>
      <c r="H222" s="168">
        <f t="shared" si="22"/>
      </c>
      <c r="I222" s="168">
        <f t="shared" si="53"/>
      </c>
      <c r="J222" s="168">
        <f t="shared" si="84"/>
      </c>
      <c r="K222" s="168"/>
    </row>
    <row r="223">
      <c r="A223" s="165" t="s">
        <v>332</v>
      </c>
      <c r="B223" s="166" t="s">
        <v>365</v>
      </c>
      <c r="C223" s="167">
        <v>4</v>
      </c>
      <c r="D223" s="167">
        <v>3873.209999999999</v>
      </c>
      <c r="E223" s="167">
        <v>4084.399999999998</v>
      </c>
      <c r="F223" s="167">
        <v>4</v>
      </c>
      <c r="G223" s="168">
        <f t="shared" si="115"/>
      </c>
      <c r="H223" s="168">
        <f t="shared" si="22"/>
      </c>
      <c r="I223" s="168">
        <f t="shared" si="53"/>
      </c>
      <c r="J223" s="168">
        <f t="shared" si="84"/>
      </c>
      <c r="K223" s="168"/>
    </row>
    <row r="224">
      <c r="A224" s="163" t="s">
        <v>334</v>
      </c>
      <c r="B224" s="163"/>
      <c r="C224" s="163">
        <f>SUM(C220:C223)</f>
      </c>
      <c r="D224" s="163">
        <f>SUM(D220:D223)</f>
      </c>
      <c r="E224" s="163">
        <f>SUM(E220:E223)</f>
      </c>
      <c r="F224" s="163">
        <f>SUM(F220:F223)</f>
      </c>
      <c r="G224" s="169">
        <f t="shared" si="115"/>
      </c>
      <c r="H224" s="169">
        <f t="shared" si="22"/>
      </c>
      <c r="I224" s="169">
        <f t="shared" si="53"/>
      </c>
      <c r="J224" s="169">
        <f t="shared" si="84"/>
      </c>
      <c r="K224" s="169"/>
    </row>
    <row r="225">
      <c r="A225" s="179" t="s">
        <v>335</v>
      </c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</row>
    <row r="226">
      <c r="A226" s="180" t="s">
        <v>319</v>
      </c>
      <c r="B226" s="180" t="s">
        <v>336</v>
      </c>
      <c r="C226" s="180" t="s">
        <v>337</v>
      </c>
      <c r="D226" s="180" t="s">
        <v>338</v>
      </c>
      <c r="E226" s="180" t="s">
        <v>339</v>
      </c>
      <c r="F226" s="180" t="s">
        <v>340</v>
      </c>
      <c r="G226" s="180" t="s">
        <v>341</v>
      </c>
      <c r="H226" s="181" t="s">
        <v>342</v>
      </c>
      <c r="I226" s="181" t="s">
        <v>343</v>
      </c>
      <c r="J226" s="181" t="s">
        <v>344</v>
      </c>
      <c r="K226" s="181" t="s">
        <v>318</v>
      </c>
    </row>
    <row r="227">
      <c r="A227" s="186">
        <f>SUM(D220:D223)</f>
      </c>
      <c r="B227" s="187">
        <f>SUM(E220:E223)</f>
      </c>
      <c r="C227" s="187">
        <f>B227/((K227*300)+A227)</f>
      </c>
      <c r="D227" s="188">
        <f>A227/J227</f>
      </c>
      <c r="E227" s="187">
        <f>B227/J227</f>
      </c>
      <c r="F227" s="189">
        <f>J227/I227</f>
      </c>
      <c r="G227" s="189">
        <f>H227/J227</f>
      </c>
      <c r="H227" s="190">
        <v>2</v>
      </c>
      <c r="I227" s="190">
        <v>20</v>
      </c>
      <c r="J227" s="190">
        <f>F224</f>
      </c>
      <c r="K227" s="190">
        <v>16</v>
      </c>
    </row>
    <row r="228">
      <c r="A228" s="162" t="s">
        <v>376</v>
      </c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</row>
    <row r="229">
      <c r="A229" s="163" t="s">
        <v>316</v>
      </c>
      <c r="B229" s="163" t="s">
        <v>317</v>
      </c>
      <c r="C229" s="163" t="s">
        <v>318</v>
      </c>
      <c r="D229" s="163" t="s">
        <v>319</v>
      </c>
      <c r="E229" s="164" t="s">
        <v>320</v>
      </c>
      <c r="F229" s="163" t="s">
        <v>321</v>
      </c>
      <c r="G229" s="163" t="s">
        <v>322</v>
      </c>
      <c r="H229" s="163" t="s">
        <v>323</v>
      </c>
      <c r="I229" s="163" t="s">
        <v>324</v>
      </c>
      <c r="J229" s="163" t="s">
        <v>325</v>
      </c>
      <c r="K229" s="163"/>
    </row>
    <row r="230">
      <c r="A230" s="165" t="s">
        <v>348</v>
      </c>
      <c r="B230" s="166" t="s">
        <v>327</v>
      </c>
      <c r="C230" s="167">
        <v>4</v>
      </c>
      <c r="D230" s="167">
        <v>5918.849999999999</v>
      </c>
      <c r="E230" s="185">
        <v>8613</v>
      </c>
      <c r="F230" s="167">
        <v>4</v>
      </c>
      <c r="G230" s="168">
        <f t="shared" ref="G230:G234" si="116">E230/F230</f>
      </c>
      <c r="H230" s="168">
        <f t="shared" ref="H230:H234" si="23">D230/F230</f>
      </c>
      <c r="I230" s="168">
        <f t="shared" ref="I230:I234" si="54">E230/D230</f>
      </c>
      <c r="J230" s="168">
        <f t="shared" ref="J230:J234" si="85">D230/C230</f>
      </c>
      <c r="K230" s="168"/>
    </row>
    <row r="231">
      <c r="A231" s="165" t="s">
        <v>332</v>
      </c>
      <c r="B231" s="166" t="s">
        <v>359</v>
      </c>
      <c r="C231" s="167">
        <v>4</v>
      </c>
      <c r="D231" s="167">
        <v>3489.2</v>
      </c>
      <c r="E231" s="167">
        <v>2550.8</v>
      </c>
      <c r="F231" s="167">
        <v>2</v>
      </c>
      <c r="G231" s="168">
        <f t="shared" si="116"/>
      </c>
      <c r="H231" s="168">
        <f t="shared" si="23"/>
      </c>
      <c r="I231" s="168">
        <f t="shared" si="54"/>
      </c>
      <c r="J231" s="168">
        <f t="shared" si="85"/>
      </c>
      <c r="K231" s="168"/>
    </row>
    <row r="232">
      <c r="A232" s="165" t="s">
        <v>326</v>
      </c>
      <c r="B232" s="166" t="s">
        <v>360</v>
      </c>
      <c r="C232" s="167">
        <v>4</v>
      </c>
      <c r="D232" s="167">
        <v>2051.949999999999</v>
      </c>
      <c r="E232" s="167">
        <v>2023.2000000000007</v>
      </c>
      <c r="F232" s="167">
        <v>2</v>
      </c>
      <c r="G232" s="168">
        <f t="shared" si="116"/>
      </c>
      <c r="H232" s="168">
        <f t="shared" si="23"/>
      </c>
      <c r="I232" s="168">
        <f t="shared" si="54"/>
      </c>
      <c r="J232" s="168">
        <f t="shared" si="85"/>
      </c>
      <c r="K232" s="168"/>
    </row>
    <row r="233">
      <c r="A233" s="165" t="s">
        <v>330</v>
      </c>
      <c r="B233" s="166" t="s">
        <v>365</v>
      </c>
      <c r="C233" s="167">
        <v>4</v>
      </c>
      <c r="D233" s="167">
        <v>2418.3999999999996</v>
      </c>
      <c r="E233" s="167">
        <v>664.7999999999993</v>
      </c>
      <c r="F233" s="167">
        <v>1</v>
      </c>
      <c r="G233" s="168">
        <f t="shared" si="116"/>
      </c>
      <c r="H233" s="168">
        <f t="shared" si="23"/>
      </c>
      <c r="I233" s="168">
        <f t="shared" si="54"/>
      </c>
      <c r="J233" s="168">
        <f t="shared" si="85"/>
      </c>
      <c r="K233" s="168"/>
    </row>
    <row r="234">
      <c r="A234" s="163" t="s">
        <v>334</v>
      </c>
      <c r="B234" s="163"/>
      <c r="C234" s="163">
        <f>SUM(C230:C233)</f>
      </c>
      <c r="D234" s="163">
        <f>SUM(D230:D233)</f>
      </c>
      <c r="E234" s="163">
        <f>SUM(E230:E233)</f>
      </c>
      <c r="F234" s="163">
        <f>SUM(F230:F233)</f>
      </c>
      <c r="G234" s="169">
        <f t="shared" si="116"/>
      </c>
      <c r="H234" s="169">
        <f t="shared" si="23"/>
      </c>
      <c r="I234" s="169">
        <f t="shared" si="54"/>
      </c>
      <c r="J234" s="169">
        <f t="shared" si="85"/>
      </c>
      <c r="K234" s="169"/>
    </row>
    <row r="235">
      <c r="A235" s="179" t="s">
        <v>335</v>
      </c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</row>
    <row r="236">
      <c r="A236" s="180" t="s">
        <v>319</v>
      </c>
      <c r="B236" s="180" t="s">
        <v>336</v>
      </c>
      <c r="C236" s="180" t="s">
        <v>337</v>
      </c>
      <c r="D236" s="180" t="s">
        <v>338</v>
      </c>
      <c r="E236" s="180" t="s">
        <v>339</v>
      </c>
      <c r="F236" s="180" t="s">
        <v>340</v>
      </c>
      <c r="G236" s="180" t="s">
        <v>341</v>
      </c>
      <c r="H236" s="181" t="s">
        <v>342</v>
      </c>
      <c r="I236" s="181" t="s">
        <v>343</v>
      </c>
      <c r="J236" s="181" t="s">
        <v>344</v>
      </c>
      <c r="K236" s="181" t="s">
        <v>318</v>
      </c>
    </row>
    <row r="237">
      <c r="A237" s="186">
        <f>SUM(D230:D233)</f>
      </c>
      <c r="B237" s="187">
        <f>SUM(E230:E233)</f>
      </c>
      <c r="C237" s="187">
        <f>B237/((K237*300)+A237)</f>
      </c>
      <c r="D237" s="188">
        <f>A237/J237</f>
      </c>
      <c r="E237" s="187">
        <f>B237/J237</f>
      </c>
      <c r="F237" s="189">
        <f>J237/I237</f>
      </c>
      <c r="G237" s="189">
        <f>H237/J237</f>
      </c>
      <c r="H237" s="190">
        <v>2</v>
      </c>
      <c r="I237" s="190">
        <v>15</v>
      </c>
      <c r="J237" s="190">
        <f>F234</f>
      </c>
      <c r="K237" s="190">
        <v>16</v>
      </c>
    </row>
    <row r="238">
      <c r="A238" s="162" t="s">
        <v>377</v>
      </c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</row>
    <row r="239">
      <c r="A239" s="163" t="s">
        <v>316</v>
      </c>
      <c r="B239" s="163" t="s">
        <v>317</v>
      </c>
      <c r="C239" s="163" t="s">
        <v>318</v>
      </c>
      <c r="D239" s="163" t="s">
        <v>319</v>
      </c>
      <c r="E239" s="164" t="s">
        <v>320</v>
      </c>
      <c r="F239" s="163" t="s">
        <v>321</v>
      </c>
      <c r="G239" s="163" t="s">
        <v>322</v>
      </c>
      <c r="H239" s="163" t="s">
        <v>323</v>
      </c>
      <c r="I239" s="163" t="s">
        <v>324</v>
      </c>
      <c r="J239" s="163" t="s">
        <v>325</v>
      </c>
      <c r="K239" s="163"/>
    </row>
    <row r="240">
      <c r="A240" s="165" t="s">
        <v>326</v>
      </c>
      <c r="B240" s="166" t="s">
        <v>327</v>
      </c>
      <c r="C240" s="167">
        <v>4</v>
      </c>
      <c r="D240" s="167">
        <v>3129.48</v>
      </c>
      <c r="E240" s="185">
        <v>5442.799999999999</v>
      </c>
      <c r="F240" s="167">
        <v>4</v>
      </c>
      <c r="G240" s="168">
        <f t="shared" ref="G240:G244" si="117">E240/F240</f>
      </c>
      <c r="H240" s="168">
        <f t="shared" ref="H240:H244" si="24">D240/F240</f>
      </c>
      <c r="I240" s="168">
        <f t="shared" ref="I240:I244" si="55">E240/D240</f>
      </c>
      <c r="J240" s="168">
        <f t="shared" ref="J240:J244" si="86">D240/C240</f>
      </c>
      <c r="K240" s="168"/>
    </row>
    <row r="241">
      <c r="A241" s="165" t="s">
        <v>348</v>
      </c>
      <c r="B241" s="166" t="s">
        <v>359</v>
      </c>
      <c r="C241" s="167">
        <v>4</v>
      </c>
      <c r="D241" s="167">
        <v>5175.78</v>
      </c>
      <c r="E241" s="167">
        <v>5952.4</v>
      </c>
      <c r="F241" s="167">
        <v>3</v>
      </c>
      <c r="G241" s="168">
        <f t="shared" si="117"/>
      </c>
      <c r="H241" s="168">
        <f t="shared" si="24"/>
      </c>
      <c r="I241" s="168">
        <f t="shared" si="55"/>
      </c>
      <c r="J241" s="168">
        <f t="shared" si="86"/>
      </c>
      <c r="K241" s="168"/>
    </row>
    <row r="242">
      <c r="A242" s="165" t="s">
        <v>330</v>
      </c>
      <c r="B242" s="166" t="s">
        <v>360</v>
      </c>
      <c r="C242" s="167">
        <v>4</v>
      </c>
      <c r="D242" s="167">
        <v>6244.540000000001</v>
      </c>
      <c r="E242" s="167">
        <v>7872.599999999997</v>
      </c>
      <c r="F242" s="167">
        <v>6</v>
      </c>
      <c r="G242" s="168">
        <f t="shared" si="117"/>
      </c>
      <c r="H242" s="168">
        <f t="shared" si="24"/>
      </c>
      <c r="I242" s="168">
        <f t="shared" si="55"/>
      </c>
      <c r="J242" s="168">
        <f t="shared" si="86"/>
      </c>
      <c r="K242" s="168"/>
    </row>
    <row r="243">
      <c r="A243" s="165" t="s">
        <v>332</v>
      </c>
      <c r="B243" s="166" t="s">
        <v>365</v>
      </c>
      <c r="C243" s="167">
        <v>4</v>
      </c>
      <c r="D243" s="167">
        <v>9599.1</v>
      </c>
      <c r="E243" s="167">
        <v>20622.4</v>
      </c>
      <c r="F243" s="167">
        <v>12</v>
      </c>
      <c r="G243" s="168">
        <f t="shared" si="117"/>
      </c>
      <c r="H243" s="168">
        <f t="shared" si="24"/>
      </c>
      <c r="I243" s="168">
        <f t="shared" si="55"/>
      </c>
      <c r="J243" s="168">
        <f t="shared" si="86"/>
      </c>
      <c r="K243" s="168"/>
    </row>
    <row r="244">
      <c r="A244" s="163" t="s">
        <v>334</v>
      </c>
      <c r="B244" s="163"/>
      <c r="C244" s="163">
        <f>SUM(C240:C243)</f>
      </c>
      <c r="D244" s="163">
        <f>SUM(D240:D243)</f>
      </c>
      <c r="E244" s="163">
        <f>SUM(E240:E243)</f>
      </c>
      <c r="F244" s="163">
        <f>SUM(F240:F243)</f>
      </c>
      <c r="G244" s="169">
        <f t="shared" si="117"/>
      </c>
      <c r="H244" s="169">
        <f t="shared" si="24"/>
      </c>
      <c r="I244" s="169">
        <f t="shared" si="55"/>
      </c>
      <c r="J244" s="169">
        <f t="shared" si="86"/>
      </c>
      <c r="K244" s="169"/>
    </row>
    <row r="245">
      <c r="A245" s="179" t="s">
        <v>335</v>
      </c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</row>
    <row r="246">
      <c r="A246" s="180" t="s">
        <v>319</v>
      </c>
      <c r="B246" s="180" t="s">
        <v>336</v>
      </c>
      <c r="C246" s="180" t="s">
        <v>337</v>
      </c>
      <c r="D246" s="180" t="s">
        <v>338</v>
      </c>
      <c r="E246" s="180" t="s">
        <v>339</v>
      </c>
      <c r="F246" s="180" t="s">
        <v>340</v>
      </c>
      <c r="G246" s="180" t="s">
        <v>341</v>
      </c>
      <c r="H246" s="181" t="s">
        <v>342</v>
      </c>
      <c r="I246" s="181" t="s">
        <v>343</v>
      </c>
      <c r="J246" s="181" t="s">
        <v>344</v>
      </c>
      <c r="K246" s="181" t="s">
        <v>318</v>
      </c>
    </row>
    <row r="247">
      <c r="A247" s="186">
        <f>SUM(D240:D243)</f>
      </c>
      <c r="B247" s="187">
        <f>SUM(E240:E243)</f>
      </c>
      <c r="C247" s="187">
        <f>B247/((K247*300)+A247)</f>
      </c>
      <c r="D247" s="188">
        <f>A247/J247</f>
      </c>
      <c r="E247" s="187">
        <f>B247/J247</f>
      </c>
      <c r="F247" s="189">
        <f>J247/I247</f>
      </c>
      <c r="G247" s="189">
        <f>H247/J247</f>
      </c>
      <c r="H247" s="190">
        <v>2</v>
      </c>
      <c r="I247" s="190">
        <v>20</v>
      </c>
      <c r="J247" s="190">
        <f>F244</f>
      </c>
      <c r="K247" s="190">
        <v>16</v>
      </c>
    </row>
    <row r="248">
      <c r="A248" s="162" t="s">
        <v>378</v>
      </c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</row>
    <row r="249">
      <c r="A249" s="163" t="s">
        <v>316</v>
      </c>
      <c r="B249" s="163" t="s">
        <v>317</v>
      </c>
      <c r="C249" s="163" t="s">
        <v>318</v>
      </c>
      <c r="D249" s="163" t="s">
        <v>319</v>
      </c>
      <c r="E249" s="164" t="s">
        <v>320</v>
      </c>
      <c r="F249" s="163" t="s">
        <v>321</v>
      </c>
      <c r="G249" s="163" t="s">
        <v>322</v>
      </c>
      <c r="H249" s="163" t="s">
        <v>323</v>
      </c>
      <c r="I249" s="163" t="s">
        <v>324</v>
      </c>
      <c r="J249" s="163" t="s">
        <v>325</v>
      </c>
      <c r="K249" s="163"/>
    </row>
    <row r="250">
      <c r="A250" s="165" t="s">
        <v>326</v>
      </c>
      <c r="B250" s="166" t="s">
        <v>327</v>
      </c>
      <c r="C250" s="167">
        <v>4</v>
      </c>
      <c r="D250" s="167">
        <v>11830.18</v>
      </c>
      <c r="E250" s="185">
        <v>10766.4</v>
      </c>
      <c r="F250" s="167">
        <v>9</v>
      </c>
      <c r="G250" s="168">
        <f t="shared" ref="G250:G254" si="118">E250/F250</f>
      </c>
      <c r="H250" s="168">
        <f t="shared" ref="H250:H254" si="25">D250/F250</f>
      </c>
      <c r="I250" s="168">
        <f t="shared" ref="I250:I254" si="56">E250/D250</f>
      </c>
      <c r="J250" s="168">
        <f t="shared" ref="J250:J254" si="87">D250/C250</f>
      </c>
      <c r="K250" s="168"/>
    </row>
    <row r="251">
      <c r="A251" s="165" t="s">
        <v>332</v>
      </c>
      <c r="B251" s="166" t="s">
        <v>359</v>
      </c>
      <c r="C251" s="167">
        <v>4</v>
      </c>
      <c r="D251" s="167">
        <v>11937.490000000002</v>
      </c>
      <c r="E251" s="167">
        <v>18006</v>
      </c>
      <c r="F251" s="167">
        <v>18</v>
      </c>
      <c r="G251" s="168">
        <f t="shared" si="118"/>
      </c>
      <c r="H251" s="168">
        <f t="shared" si="25"/>
      </c>
      <c r="I251" s="168">
        <f t="shared" si="56"/>
      </c>
      <c r="J251" s="168">
        <f t="shared" si="87"/>
      </c>
      <c r="K251" s="168"/>
    </row>
    <row r="252">
      <c r="A252" s="165" t="s">
        <v>348</v>
      </c>
      <c r="B252" s="166" t="s">
        <v>360</v>
      </c>
      <c r="C252" s="167">
        <v>4</v>
      </c>
      <c r="D252" s="167">
        <v>7825.920000000002</v>
      </c>
      <c r="E252" s="167">
        <v>3737.5999999999985</v>
      </c>
      <c r="F252" s="167">
        <v>3</v>
      </c>
      <c r="G252" s="168">
        <f t="shared" si="118"/>
      </c>
      <c r="H252" s="168">
        <f t="shared" si="25"/>
      </c>
      <c r="I252" s="168">
        <f t="shared" si="56"/>
      </c>
      <c r="J252" s="168">
        <f t="shared" si="87"/>
      </c>
      <c r="K252" s="168"/>
    </row>
    <row r="253">
      <c r="A253" s="165" t="s">
        <v>330</v>
      </c>
      <c r="B253" s="166" t="s">
        <v>365</v>
      </c>
      <c r="C253" s="167">
        <v>4</v>
      </c>
      <c r="D253" s="167">
        <v>11314.589999999997</v>
      </c>
      <c r="E253" s="167">
        <v>7511.799999999996</v>
      </c>
      <c r="F253" s="167">
        <v>6</v>
      </c>
      <c r="G253" s="168">
        <f t="shared" si="118"/>
      </c>
      <c r="H253" s="168">
        <f t="shared" si="25"/>
      </c>
      <c r="I253" s="168">
        <f t="shared" si="56"/>
      </c>
      <c r="J253" s="168">
        <f t="shared" si="87"/>
      </c>
      <c r="K253" s="168"/>
    </row>
    <row r="254">
      <c r="A254" s="163" t="s">
        <v>334</v>
      </c>
      <c r="B254" s="163"/>
      <c r="C254" s="163">
        <f>SUM(C250:C253)</f>
      </c>
      <c r="D254" s="163">
        <f>SUM(D250:D253)</f>
      </c>
      <c r="E254" s="163">
        <f>SUM(E250:E253)</f>
      </c>
      <c r="F254" s="163">
        <f>SUM(F250:F253)</f>
      </c>
      <c r="G254" s="169">
        <f t="shared" si="118"/>
      </c>
      <c r="H254" s="169">
        <f t="shared" si="25"/>
      </c>
      <c r="I254" s="169">
        <f t="shared" si="56"/>
      </c>
      <c r="J254" s="169">
        <f t="shared" si="87"/>
      </c>
      <c r="K254" s="169"/>
    </row>
    <row r="255">
      <c r="A255" s="179" t="s">
        <v>335</v>
      </c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</row>
    <row r="256">
      <c r="A256" s="180" t="s">
        <v>319</v>
      </c>
      <c r="B256" s="180" t="s">
        <v>336</v>
      </c>
      <c r="C256" s="180" t="s">
        <v>337</v>
      </c>
      <c r="D256" s="180" t="s">
        <v>338</v>
      </c>
      <c r="E256" s="180" t="s">
        <v>339</v>
      </c>
      <c r="F256" s="180" t="s">
        <v>340</v>
      </c>
      <c r="G256" s="180" t="s">
        <v>341</v>
      </c>
      <c r="H256" s="181" t="s">
        <v>342</v>
      </c>
      <c r="I256" s="181" t="s">
        <v>343</v>
      </c>
      <c r="J256" s="181" t="s">
        <v>344</v>
      </c>
      <c r="K256" s="181" t="s">
        <v>318</v>
      </c>
    </row>
    <row r="257">
      <c r="A257" s="186">
        <f>SUM(D250:D253)</f>
      </c>
      <c r="B257" s="187">
        <f>SUM(E250:E253)</f>
      </c>
      <c r="C257" s="187">
        <f>B257/((K257*300)+A257)</f>
      </c>
      <c r="D257" s="188">
        <f>A257/J257</f>
      </c>
      <c r="E257" s="187">
        <f>B257/J257</f>
      </c>
      <c r="F257" s="189">
        <f>J257/I257</f>
      </c>
      <c r="G257" s="189">
        <f>H257/J257</f>
      </c>
      <c r="H257" s="190">
        <v>5</v>
      </c>
      <c r="I257" s="190">
        <v>45</v>
      </c>
      <c r="J257" s="190">
        <f>F254</f>
      </c>
      <c r="K257" s="190">
        <v>16</v>
      </c>
    </row>
    <row r="258">
      <c r="A258" s="162" t="s">
        <v>379</v>
      </c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</row>
    <row r="259">
      <c r="A259" s="163" t="s">
        <v>316</v>
      </c>
      <c r="B259" s="163" t="s">
        <v>317</v>
      </c>
      <c r="C259" s="163" t="s">
        <v>318</v>
      </c>
      <c r="D259" s="163" t="s">
        <v>319</v>
      </c>
      <c r="E259" s="164" t="s">
        <v>320</v>
      </c>
      <c r="F259" s="163" t="s">
        <v>321</v>
      </c>
      <c r="G259" s="163" t="s">
        <v>322</v>
      </c>
      <c r="H259" s="163" t="s">
        <v>323</v>
      </c>
      <c r="I259" s="163" t="s">
        <v>324</v>
      </c>
      <c r="J259" s="163" t="s">
        <v>325</v>
      </c>
      <c r="K259" s="163"/>
    </row>
    <row r="260">
      <c r="A260" s="165" t="s">
        <v>332</v>
      </c>
      <c r="B260" s="166" t="s">
        <v>327</v>
      </c>
      <c r="C260" s="167">
        <v>4</v>
      </c>
      <c r="D260" s="167">
        <v>9062.75</v>
      </c>
      <c r="E260" s="185">
        <v>11753</v>
      </c>
      <c r="F260" s="167">
        <v>6</v>
      </c>
      <c r="G260" s="168">
        <f t="shared" ref="G260:G264" si="119">E260/F260</f>
      </c>
      <c r="H260" s="168">
        <f t="shared" ref="H260:H264" si="26">D260/F260</f>
      </c>
      <c r="I260" s="168">
        <f t="shared" ref="I260:I264" si="57">E260/D260</f>
      </c>
      <c r="J260" s="168">
        <f t="shared" ref="J260:J264" si="88">D260/C260</f>
      </c>
      <c r="K260" s="168"/>
    </row>
    <row r="261">
      <c r="A261" s="165" t="s">
        <v>326</v>
      </c>
      <c r="B261" s="166" t="s">
        <v>359</v>
      </c>
      <c r="C261" s="167">
        <v>4</v>
      </c>
      <c r="D261" s="167">
        <v>12130.239999999998</v>
      </c>
      <c r="E261" s="167">
        <v>29109</v>
      </c>
      <c r="F261" s="167">
        <v>20</v>
      </c>
      <c r="G261" s="168">
        <f t="shared" si="119"/>
      </c>
      <c r="H261" s="168">
        <f t="shared" si="26"/>
      </c>
      <c r="I261" s="168">
        <f t="shared" si="57"/>
      </c>
      <c r="J261" s="168">
        <f t="shared" si="88"/>
      </c>
      <c r="K261" s="168"/>
    </row>
    <row r="262">
      <c r="A262" s="165" t="s">
        <v>348</v>
      </c>
      <c r="B262" s="166" t="s">
        <v>360</v>
      </c>
      <c r="C262" s="167">
        <v>4</v>
      </c>
      <c r="D262" s="167">
        <v>9944.439999999999</v>
      </c>
      <c r="E262" s="167">
        <v>17762.4</v>
      </c>
      <c r="F262" s="167">
        <v>9</v>
      </c>
      <c r="G262" s="168">
        <f t="shared" si="119"/>
      </c>
      <c r="H262" s="168">
        <f t="shared" si="26"/>
      </c>
      <c r="I262" s="168">
        <f t="shared" si="57"/>
      </c>
      <c r="J262" s="168">
        <f t="shared" si="88"/>
      </c>
      <c r="K262" s="168"/>
    </row>
    <row r="263">
      <c r="A263" s="165" t="s">
        <v>330</v>
      </c>
      <c r="B263" s="166" t="s">
        <v>365</v>
      </c>
      <c r="C263" s="167">
        <v>4</v>
      </c>
      <c r="D263" s="167">
        <v>14292.299999999997</v>
      </c>
      <c r="E263" s="167">
        <v>11844.999999999993</v>
      </c>
      <c r="F263" s="167">
        <v>9</v>
      </c>
      <c r="G263" s="168">
        <f t="shared" si="119"/>
      </c>
      <c r="H263" s="168">
        <f t="shared" si="26"/>
      </c>
      <c r="I263" s="168">
        <f t="shared" si="57"/>
      </c>
      <c r="J263" s="168">
        <f t="shared" si="88"/>
      </c>
      <c r="K263" s="168"/>
    </row>
    <row r="264">
      <c r="A264" s="163" t="s">
        <v>334</v>
      </c>
      <c r="B264" s="163"/>
      <c r="C264" s="163">
        <f>SUM(C260:C263)</f>
      </c>
      <c r="D264" s="163">
        <f>SUM(D260:D263)</f>
      </c>
      <c r="E264" s="163">
        <f>SUM(E260:E263)</f>
      </c>
      <c r="F264" s="163">
        <f>SUM(F260:F263)</f>
      </c>
      <c r="G264" s="169">
        <f t="shared" si="119"/>
      </c>
      <c r="H264" s="169">
        <f t="shared" si="26"/>
      </c>
      <c r="I264" s="169">
        <f t="shared" si="57"/>
      </c>
      <c r="J264" s="169">
        <f t="shared" si="88"/>
      </c>
      <c r="K264" s="169"/>
    </row>
    <row r="265">
      <c r="A265" s="179" t="s">
        <v>335</v>
      </c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</row>
    <row r="266">
      <c r="A266" s="180" t="s">
        <v>319</v>
      </c>
      <c r="B266" s="180" t="s">
        <v>336</v>
      </c>
      <c r="C266" s="180" t="s">
        <v>337</v>
      </c>
      <c r="D266" s="180" t="s">
        <v>338</v>
      </c>
      <c r="E266" s="180" t="s">
        <v>339</v>
      </c>
      <c r="F266" s="180" t="s">
        <v>340</v>
      </c>
      <c r="G266" s="180" t="s">
        <v>341</v>
      </c>
      <c r="H266" s="181" t="s">
        <v>342</v>
      </c>
      <c r="I266" s="181" t="s">
        <v>343</v>
      </c>
      <c r="J266" s="181" t="s">
        <v>344</v>
      </c>
      <c r="K266" s="181" t="s">
        <v>318</v>
      </c>
    </row>
    <row r="267">
      <c r="A267" s="186">
        <f>SUM(D260:D263)</f>
      </c>
      <c r="B267" s="187">
        <f>SUM(E260:E263)</f>
      </c>
      <c r="C267" s="187">
        <f>B267/((K267*300)+A267)</f>
      </c>
      <c r="D267" s="188">
        <f>A267/J267</f>
      </c>
      <c r="E267" s="187">
        <f>B267/J267</f>
      </c>
      <c r="F267" s="189">
        <f>J267/I267</f>
      </c>
      <c r="G267" s="189">
        <f>H267/J267</f>
      </c>
      <c r="H267" s="190">
        <v>3</v>
      </c>
      <c r="I267" s="190">
        <v>69</v>
      </c>
      <c r="J267" s="190">
        <f>F264</f>
      </c>
      <c r="K267" s="190">
        <v>16</v>
      </c>
    </row>
    <row r="268">
      <c r="A268" s="162" t="s">
        <v>380</v>
      </c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</row>
    <row r="269">
      <c r="A269" s="163" t="s">
        <v>316</v>
      </c>
      <c r="B269" s="163" t="s">
        <v>317</v>
      </c>
      <c r="C269" s="163" t="s">
        <v>318</v>
      </c>
      <c r="D269" s="163" t="s">
        <v>319</v>
      </c>
      <c r="E269" s="164" t="s">
        <v>320</v>
      </c>
      <c r="F269" s="163" t="s">
        <v>321</v>
      </c>
      <c r="G269" s="163" t="s">
        <v>322</v>
      </c>
      <c r="H269" s="163" t="s">
        <v>323</v>
      </c>
      <c r="I269" s="163" t="s">
        <v>324</v>
      </c>
      <c r="J269" s="163" t="s">
        <v>325</v>
      </c>
      <c r="K269" s="163"/>
    </row>
    <row r="270">
      <c r="A270" s="165" t="s">
        <v>332</v>
      </c>
      <c r="B270" s="166" t="s">
        <v>327</v>
      </c>
      <c r="C270" s="167">
        <v>4</v>
      </c>
      <c r="D270" s="167">
        <v>10202.119999999999</v>
      </c>
      <c r="E270" s="185">
        <v>15655.600000000002</v>
      </c>
      <c r="F270" s="167">
        <v>11</v>
      </c>
      <c r="G270" s="168">
        <f t="shared" ref="G270:G274" si="120">E270/F270</f>
      </c>
      <c r="H270" s="168">
        <f t="shared" ref="H270:H274" si="27">D270/F270</f>
      </c>
      <c r="I270" s="168">
        <f t="shared" ref="I270:I274" si="58">E270/D270</f>
      </c>
      <c r="J270" s="168">
        <f t="shared" ref="J270:J274" si="89">D270/C270</f>
      </c>
      <c r="K270" s="168"/>
    </row>
    <row r="271">
      <c r="A271" s="165" t="s">
        <v>326</v>
      </c>
      <c r="B271" s="166" t="s">
        <v>359</v>
      </c>
      <c r="C271" s="167">
        <v>4</v>
      </c>
      <c r="D271" s="167">
        <v>18246.570000000003</v>
      </c>
      <c r="E271" s="167">
        <v>22497.399999999998</v>
      </c>
      <c r="F271" s="167">
        <v>13</v>
      </c>
      <c r="G271" s="168">
        <f t="shared" si="120"/>
      </c>
      <c r="H271" s="168">
        <f t="shared" si="27"/>
      </c>
      <c r="I271" s="168">
        <f t="shared" si="58"/>
      </c>
      <c r="J271" s="168">
        <f t="shared" si="89"/>
      </c>
      <c r="K271" s="168"/>
    </row>
    <row r="272">
      <c r="A272" s="165" t="s">
        <v>348</v>
      </c>
      <c r="B272" s="166" t="s">
        <v>360</v>
      </c>
      <c r="C272" s="167">
        <v>4</v>
      </c>
      <c r="D272" s="167">
        <v>13650.150000000001</v>
      </c>
      <c r="E272" s="167">
        <v>4321.4000000000015</v>
      </c>
      <c r="F272" s="167">
        <v>3</v>
      </c>
      <c r="G272" s="168">
        <f t="shared" si="120"/>
      </c>
      <c r="H272" s="168">
        <f t="shared" si="27"/>
      </c>
      <c r="I272" s="168">
        <f t="shared" si="58"/>
      </c>
      <c r="J272" s="168">
        <f t="shared" si="89"/>
      </c>
      <c r="K272" s="168"/>
    </row>
    <row r="273">
      <c r="A273" s="165" t="s">
        <v>330</v>
      </c>
      <c r="B273" s="166" t="s">
        <v>365</v>
      </c>
      <c r="C273" s="167">
        <v>4</v>
      </c>
      <c r="D273" s="167">
        <v>6770.249999999993</v>
      </c>
      <c r="E273" s="167">
        <v>6042.799999999996</v>
      </c>
      <c r="F273" s="167">
        <v>4</v>
      </c>
      <c r="G273" s="168">
        <f t="shared" si="120"/>
      </c>
      <c r="H273" s="168">
        <f t="shared" si="27"/>
      </c>
      <c r="I273" s="168">
        <f t="shared" si="58"/>
      </c>
      <c r="J273" s="168">
        <f t="shared" si="89"/>
      </c>
      <c r="K273" s="168"/>
    </row>
    <row r="274">
      <c r="A274" s="163" t="s">
        <v>334</v>
      </c>
      <c r="B274" s="163"/>
      <c r="C274" s="163">
        <f>SUM(C270:C273)</f>
      </c>
      <c r="D274" s="163">
        <f>SUM(D270:D273)</f>
      </c>
      <c r="E274" s="163">
        <f>SUM(E270:E273)</f>
      </c>
      <c r="F274" s="163">
        <f>SUM(F270:F273)</f>
      </c>
      <c r="G274" s="169">
        <f t="shared" si="120"/>
      </c>
      <c r="H274" s="169">
        <f t="shared" si="27"/>
      </c>
      <c r="I274" s="169">
        <f t="shared" si="58"/>
      </c>
      <c r="J274" s="169">
        <f t="shared" si="89"/>
      </c>
      <c r="K274" s="169"/>
    </row>
    <row r="275">
      <c r="A275" s="179" t="s">
        <v>335</v>
      </c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</row>
    <row r="276">
      <c r="A276" s="180" t="s">
        <v>319</v>
      </c>
      <c r="B276" s="180" t="s">
        <v>336</v>
      </c>
      <c r="C276" s="180" t="s">
        <v>337</v>
      </c>
      <c r="D276" s="180" t="s">
        <v>338</v>
      </c>
      <c r="E276" s="180" t="s">
        <v>339</v>
      </c>
      <c r="F276" s="180" t="s">
        <v>340</v>
      </c>
      <c r="G276" s="180" t="s">
        <v>341</v>
      </c>
      <c r="H276" s="181" t="s">
        <v>342</v>
      </c>
      <c r="I276" s="181" t="s">
        <v>343</v>
      </c>
      <c r="J276" s="181" t="s">
        <v>344</v>
      </c>
      <c r="K276" s="181" t="s">
        <v>318</v>
      </c>
    </row>
    <row r="277">
      <c r="A277" s="186">
        <f>SUM(D270:D273)</f>
      </c>
      <c r="B277" s="187">
        <f>SUM(E270:E273)</f>
      </c>
      <c r="C277" s="187">
        <f>B277/((K277*300)+A277)</f>
      </c>
      <c r="D277" s="188">
        <f>A277/J277</f>
      </c>
      <c r="E277" s="187">
        <f>B277/J277</f>
      </c>
      <c r="F277" s="189">
        <f>J277/I277</f>
      </c>
      <c r="G277" s="189">
        <f>H277/J277</f>
      </c>
      <c r="H277" s="190">
        <v>4</v>
      </c>
      <c r="I277" s="190">
        <v>41</v>
      </c>
      <c r="J277" s="190">
        <f>F274</f>
      </c>
      <c r="K277" s="190">
        <v>16</v>
      </c>
    </row>
    <row r="278">
      <c r="A278" s="162" t="s">
        <v>381</v>
      </c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</row>
    <row r="279">
      <c r="A279" s="163" t="s">
        <v>316</v>
      </c>
      <c r="B279" s="163" t="s">
        <v>317</v>
      </c>
      <c r="C279" s="163" t="s">
        <v>318</v>
      </c>
      <c r="D279" s="163" t="s">
        <v>319</v>
      </c>
      <c r="E279" s="164" t="s">
        <v>320</v>
      </c>
      <c r="F279" s="163" t="s">
        <v>321</v>
      </c>
      <c r="G279" s="163" t="s">
        <v>322</v>
      </c>
      <c r="H279" s="163" t="s">
        <v>323</v>
      </c>
      <c r="I279" s="163" t="s">
        <v>324</v>
      </c>
      <c r="J279" s="163" t="s">
        <v>325</v>
      </c>
      <c r="K279" s="163"/>
    </row>
    <row r="280">
      <c r="A280" s="165" t="s">
        <v>326</v>
      </c>
      <c r="B280" s="166" t="s">
        <v>327</v>
      </c>
      <c r="C280" s="167">
        <v>4</v>
      </c>
      <c r="D280" s="167">
        <v>4256.87</v>
      </c>
      <c r="E280" s="185">
        <v>14560.8</v>
      </c>
      <c r="F280" s="167">
        <v>7</v>
      </c>
      <c r="G280" s="168">
        <f t="shared" ref="G280:G284" si="121">E280/F280</f>
      </c>
      <c r="H280" s="168">
        <f t="shared" ref="H280:H284" si="28">D280/F280</f>
      </c>
      <c r="I280" s="168">
        <f t="shared" ref="I280:I284" si="59">E280/D280</f>
      </c>
      <c r="J280" s="168">
        <f t="shared" ref="J280:J284" si="90">D280/C280</f>
      </c>
      <c r="K280" s="168"/>
    </row>
    <row r="281">
      <c r="A281" s="165" t="s">
        <v>332</v>
      </c>
      <c r="B281" s="166" t="s">
        <v>359</v>
      </c>
      <c r="C281" s="167">
        <v>4</v>
      </c>
      <c r="D281" s="167">
        <v>4610.89</v>
      </c>
      <c r="E281" s="167">
        <v>806</v>
      </c>
      <c r="F281" s="167">
        <v>1</v>
      </c>
      <c r="G281" s="168">
        <f t="shared" si="121"/>
      </c>
      <c r="H281" s="168">
        <f t="shared" si="28"/>
      </c>
      <c r="I281" s="168">
        <f t="shared" si="59"/>
      </c>
      <c r="J281" s="168">
        <f t="shared" si="90"/>
      </c>
      <c r="K281" s="168"/>
    </row>
    <row r="282">
      <c r="A282" s="165" t="s">
        <v>382</v>
      </c>
      <c r="B282" s="166" t="s">
        <v>383</v>
      </c>
      <c r="C282" s="167">
        <v>3</v>
      </c>
      <c r="D282" s="167">
        <v>5975.01</v>
      </c>
      <c r="E282" s="167">
        <v>5728.8</v>
      </c>
      <c r="F282" s="167">
        <v>4</v>
      </c>
      <c r="G282" s="168">
        <f t="shared" si="121"/>
      </c>
      <c r="H282" s="168">
        <f t="shared" si="28"/>
      </c>
      <c r="I282" s="168">
        <f t="shared" si="59"/>
      </c>
      <c r="J282" s="168">
        <f t="shared" si="90"/>
      </c>
      <c r="K282" s="168"/>
    </row>
    <row r="283">
      <c r="A283" s="165" t="s">
        <v>330</v>
      </c>
      <c r="B283" s="166" t="s">
        <v>333</v>
      </c>
      <c r="C283" s="167">
        <v>5</v>
      </c>
      <c r="D283" s="167">
        <v>11951.390000000003</v>
      </c>
      <c r="E283" s="167">
        <v>10538</v>
      </c>
      <c r="F283" s="167">
        <v>5</v>
      </c>
      <c r="G283" s="168">
        <f t="shared" si="121"/>
      </c>
      <c r="H283" s="168">
        <f t="shared" si="28"/>
      </c>
      <c r="I283" s="168">
        <f t="shared" si="59"/>
      </c>
      <c r="J283" s="168">
        <f t="shared" si="90"/>
      </c>
      <c r="K283" s="168"/>
    </row>
    <row r="284">
      <c r="A284" s="163" t="s">
        <v>334</v>
      </c>
      <c r="B284" s="163"/>
      <c r="C284" s="163">
        <f>SUM(C280:C283)</f>
      </c>
      <c r="D284" s="163">
        <f>SUM(D280:D283)</f>
      </c>
      <c r="E284" s="163">
        <f>SUM(E280:E283)</f>
      </c>
      <c r="F284" s="163">
        <f>SUM(F280:F283)</f>
      </c>
      <c r="G284" s="169">
        <f t="shared" si="121"/>
      </c>
      <c r="H284" s="169">
        <f t="shared" si="28"/>
      </c>
      <c r="I284" s="169">
        <f t="shared" si="59"/>
      </c>
      <c r="J284" s="169">
        <f t="shared" si="90"/>
      </c>
      <c r="K284" s="169"/>
    </row>
    <row r="285">
      <c r="A285" s="179" t="s">
        <v>335</v>
      </c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</row>
    <row r="286">
      <c r="A286" s="180" t="s">
        <v>319</v>
      </c>
      <c r="B286" s="180" t="s">
        <v>336</v>
      </c>
      <c r="C286" s="180" t="s">
        <v>337</v>
      </c>
      <c r="D286" s="180" t="s">
        <v>338</v>
      </c>
      <c r="E286" s="180" t="s">
        <v>339</v>
      </c>
      <c r="F286" s="180" t="s">
        <v>340</v>
      </c>
      <c r="G286" s="180" t="s">
        <v>341</v>
      </c>
      <c r="H286" s="181" t="s">
        <v>342</v>
      </c>
      <c r="I286" s="181" t="s">
        <v>343</v>
      </c>
      <c r="J286" s="181" t="s">
        <v>344</v>
      </c>
      <c r="K286" s="181" t="s">
        <v>318</v>
      </c>
    </row>
    <row r="287">
      <c r="A287" s="186">
        <f>SUM(D280:D283)</f>
      </c>
      <c r="B287" s="187">
        <f>SUM(E280:E283)</f>
      </c>
      <c r="C287" s="187">
        <f>B287/((K287*300)+A287)</f>
      </c>
      <c r="D287" s="188">
        <f>A287/J287</f>
      </c>
      <c r="E287" s="187">
        <f>B287/J287</f>
      </c>
      <c r="F287" s="189">
        <f>J287/I287</f>
      </c>
      <c r="G287" s="189">
        <f>H287/J287</f>
      </c>
      <c r="H287" s="190">
        <v>3</v>
      </c>
      <c r="I287" s="190">
        <v>27</v>
      </c>
      <c r="J287" s="190">
        <f>F284</f>
      </c>
      <c r="K287" s="190">
        <v>16</v>
      </c>
    </row>
    <row r="288">
      <c r="A288" s="162" t="s">
        <v>384</v>
      </c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</row>
    <row r="289">
      <c r="A289" s="163" t="s">
        <v>316</v>
      </c>
      <c r="B289" s="163" t="s">
        <v>317</v>
      </c>
      <c r="C289" s="163" t="s">
        <v>318</v>
      </c>
      <c r="D289" s="163" t="s">
        <v>319</v>
      </c>
      <c r="E289" s="164" t="s">
        <v>320</v>
      </c>
      <c r="F289" s="163" t="s">
        <v>321</v>
      </c>
      <c r="G289" s="163" t="s">
        <v>322</v>
      </c>
      <c r="H289" s="163" t="s">
        <v>323</v>
      </c>
      <c r="I289" s="163" t="s">
        <v>324</v>
      </c>
      <c r="J289" s="163" t="s">
        <v>325</v>
      </c>
      <c r="K289" s="163"/>
    </row>
    <row r="290">
      <c r="A290" s="165" t="s">
        <v>326</v>
      </c>
      <c r="B290" s="166" t="s">
        <v>327</v>
      </c>
      <c r="C290" s="167">
        <v>4</v>
      </c>
      <c r="D290" s="167">
        <v>7920.59</v>
      </c>
      <c r="E290" s="185">
        <v>5683.799999999999</v>
      </c>
      <c r="F290" s="167">
        <v>3</v>
      </c>
      <c r="G290" s="168">
        <f t="shared" ref="G290:G294" si="122">E290/F290</f>
      </c>
      <c r="H290" s="168">
        <f t="shared" ref="H290:H294" si="29">D290/F290</f>
      </c>
      <c r="I290" s="168">
        <f t="shared" ref="I290:I294" si="60">E290/D290</f>
      </c>
      <c r="J290" s="168">
        <f t="shared" ref="J290:J294" si="91">D290/C290</f>
      </c>
      <c r="K290" s="168"/>
    </row>
    <row r="291">
      <c r="A291" s="165" t="s">
        <v>332</v>
      </c>
      <c r="B291" s="166" t="s">
        <v>359</v>
      </c>
      <c r="C291" s="167">
        <v>4</v>
      </c>
      <c r="D291" s="167">
        <v>4993.220000000001</v>
      </c>
      <c r="E291" s="167">
        <v>12361.2</v>
      </c>
      <c r="F291" s="167">
        <v>7</v>
      </c>
      <c r="G291" s="168">
        <f t="shared" si="122"/>
      </c>
      <c r="H291" s="168">
        <f t="shared" si="29"/>
      </c>
      <c r="I291" s="168">
        <f t="shared" si="60"/>
      </c>
      <c r="J291" s="168">
        <f t="shared" si="91"/>
      </c>
      <c r="K291" s="168"/>
    </row>
    <row r="292">
      <c r="A292" s="165" t="s">
        <v>348</v>
      </c>
      <c r="B292" s="166" t="s">
        <v>360</v>
      </c>
      <c r="C292" s="167">
        <v>4</v>
      </c>
      <c r="D292" s="167">
        <v>6014.2199999999975</v>
      </c>
      <c r="E292" s="167">
        <v>2592.7999999999993</v>
      </c>
      <c r="F292" s="167">
        <v>4</v>
      </c>
      <c r="G292" s="168">
        <f t="shared" si="122"/>
      </c>
      <c r="H292" s="168">
        <f t="shared" si="29"/>
      </c>
      <c r="I292" s="168">
        <f t="shared" si="60"/>
      </c>
      <c r="J292" s="168">
        <f t="shared" si="91"/>
      </c>
      <c r="K292" s="168"/>
    </row>
    <row r="293">
      <c r="A293" s="165" t="s">
        <v>330</v>
      </c>
      <c r="B293" s="166" t="s">
        <v>365</v>
      </c>
      <c r="C293" s="167">
        <v>4</v>
      </c>
      <c r="D293" s="167">
        <v>5039.999999999996</v>
      </c>
      <c r="E293" s="167">
        <v>4155.200000000001</v>
      </c>
      <c r="F293" s="167">
        <v>6</v>
      </c>
      <c r="G293" s="168">
        <f t="shared" si="122"/>
      </c>
      <c r="H293" s="168">
        <f t="shared" si="29"/>
      </c>
      <c r="I293" s="168">
        <f t="shared" si="60"/>
      </c>
      <c r="J293" s="168">
        <f t="shared" si="91"/>
      </c>
      <c r="K293" s="168"/>
    </row>
    <row r="294">
      <c r="A294" s="163" t="s">
        <v>334</v>
      </c>
      <c r="B294" s="163"/>
      <c r="C294" s="163">
        <f>SUM(C290:C293)</f>
      </c>
      <c r="D294" s="163">
        <f>SUM(D290:D293)</f>
      </c>
      <c r="E294" s="163">
        <f>SUM(E290:E293)</f>
      </c>
      <c r="F294" s="163">
        <f>SUM(F290:F293)</f>
      </c>
      <c r="G294" s="169">
        <f t="shared" si="122"/>
      </c>
      <c r="H294" s="169">
        <f t="shared" si="29"/>
      </c>
      <c r="I294" s="169">
        <f t="shared" si="60"/>
      </c>
      <c r="J294" s="169">
        <f t="shared" si="91"/>
      </c>
      <c r="K294" s="169"/>
    </row>
    <row r="295">
      <c r="A295" s="179" t="s">
        <v>335</v>
      </c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</row>
    <row r="296">
      <c r="A296" s="180" t="s">
        <v>319</v>
      </c>
      <c r="B296" s="180" t="s">
        <v>336</v>
      </c>
      <c r="C296" s="180" t="s">
        <v>337</v>
      </c>
      <c r="D296" s="180" t="s">
        <v>338</v>
      </c>
      <c r="E296" s="180" t="s">
        <v>339</v>
      </c>
      <c r="F296" s="180" t="s">
        <v>340</v>
      </c>
      <c r="G296" s="180" t="s">
        <v>341</v>
      </c>
      <c r="H296" s="181" t="s">
        <v>342</v>
      </c>
      <c r="I296" s="181" t="s">
        <v>343</v>
      </c>
      <c r="J296" s="181" t="s">
        <v>344</v>
      </c>
      <c r="K296" s="181" t="s">
        <v>318</v>
      </c>
    </row>
    <row r="297">
      <c r="A297" s="186">
        <f>SUM(D290:D293)</f>
      </c>
      <c r="B297" s="187">
        <f>SUM(E290:E293)</f>
      </c>
      <c r="C297" s="187">
        <f>B297/((K297*300)+A297)</f>
      </c>
      <c r="D297" s="188">
        <f>A297/J297</f>
      </c>
      <c r="E297" s="187">
        <f>B297/J297</f>
      </c>
      <c r="F297" s="189">
        <f>J297/I297</f>
      </c>
      <c r="G297" s="189">
        <f>H297/J297</f>
      </c>
      <c r="H297" s="190">
        <v>3</v>
      </c>
      <c r="I297" s="190">
        <v>28</v>
      </c>
      <c r="J297" s="190">
        <f>F294</f>
      </c>
      <c r="K297" s="190">
        <v>16</v>
      </c>
    </row>
    <row r="298">
      <c r="A298" s="162" t="s">
        <v>385</v>
      </c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</row>
    <row r="299">
      <c r="A299" s="163" t="s">
        <v>316</v>
      </c>
      <c r="B299" s="163" t="s">
        <v>317</v>
      </c>
      <c r="C299" s="163" t="s">
        <v>318</v>
      </c>
      <c r="D299" s="163" t="s">
        <v>319</v>
      </c>
      <c r="E299" s="164" t="s">
        <v>320</v>
      </c>
      <c r="F299" s="163" t="s">
        <v>321</v>
      </c>
      <c r="G299" s="163" t="s">
        <v>322</v>
      </c>
      <c r="H299" s="163" t="s">
        <v>323</v>
      </c>
      <c r="I299" s="163" t="s">
        <v>324</v>
      </c>
      <c r="J299" s="163" t="s">
        <v>325</v>
      </c>
      <c r="K299" s="163"/>
    </row>
    <row r="300">
      <c r="A300" s="165" t="s">
        <v>332</v>
      </c>
      <c r="B300" s="166" t="s">
        <v>347</v>
      </c>
      <c r="C300" s="167">
        <v>5</v>
      </c>
      <c r="D300" s="167">
        <v>7309.68</v>
      </c>
      <c r="E300" s="185">
        <v>14344.399999999998</v>
      </c>
      <c r="F300" s="167">
        <v>9</v>
      </c>
      <c r="G300" s="168">
        <f t="shared" ref="G300:G304" si="123">E300/F300</f>
      </c>
      <c r="H300" s="168">
        <f t="shared" ref="H300:H304" si="30">D300/F300</f>
      </c>
      <c r="I300" s="168">
        <f t="shared" ref="I300:I304" si="61">E300/D300</f>
      </c>
      <c r="J300" s="168">
        <f t="shared" ref="J300:J304" si="92">D300/C300</f>
      </c>
      <c r="K300" s="168"/>
    </row>
    <row r="301">
      <c r="A301" s="165" t="s">
        <v>382</v>
      </c>
      <c r="B301" s="166" t="s">
        <v>386</v>
      </c>
      <c r="C301" s="167">
        <v>3</v>
      </c>
      <c r="D301" s="167">
        <v>6067.950000000001</v>
      </c>
      <c r="E301" s="167">
        <v>18001</v>
      </c>
      <c r="F301" s="167">
        <v>9</v>
      </c>
      <c r="G301" s="168">
        <f t="shared" si="123"/>
      </c>
      <c r="H301" s="168">
        <f t="shared" si="30"/>
      </c>
      <c r="I301" s="168">
        <f t="shared" si="61"/>
      </c>
      <c r="J301" s="168">
        <f t="shared" si="92"/>
      </c>
      <c r="K301" s="168"/>
    </row>
    <row r="302">
      <c r="A302" s="165" t="s">
        <v>348</v>
      </c>
      <c r="B302" s="166" t="s">
        <v>360</v>
      </c>
      <c r="C302" s="167">
        <v>4</v>
      </c>
      <c r="D302" s="167">
        <v>7689.599999999995</v>
      </c>
      <c r="E302" s="167">
        <v>10836.000000000004</v>
      </c>
      <c r="F302" s="167">
        <v>5</v>
      </c>
      <c r="G302" s="168">
        <f t="shared" si="123"/>
      </c>
      <c r="H302" s="168">
        <f t="shared" si="30"/>
      </c>
      <c r="I302" s="168">
        <f t="shared" si="61"/>
      </c>
      <c r="J302" s="168">
        <f t="shared" si="92"/>
      </c>
      <c r="K302" s="168"/>
    </row>
    <row r="303">
      <c r="A303" s="165" t="s">
        <v>330</v>
      </c>
      <c r="B303" s="166" t="s">
        <v>365</v>
      </c>
      <c r="C303" s="167">
        <v>4</v>
      </c>
      <c r="D303" s="193">
        <v>9448.16</v>
      </c>
      <c r="E303" s="167">
        <v>10940</v>
      </c>
      <c r="F303" s="167">
        <v>9</v>
      </c>
      <c r="G303" s="168">
        <f t="shared" si="123"/>
      </c>
      <c r="H303" s="168">
        <f t="shared" si="30"/>
      </c>
      <c r="I303" s="168">
        <f t="shared" si="61"/>
      </c>
      <c r="J303" s="168">
        <f t="shared" si="92"/>
      </c>
      <c r="K303" s="168"/>
    </row>
    <row r="304">
      <c r="A304" s="163" t="s">
        <v>334</v>
      </c>
      <c r="B304" s="163"/>
      <c r="C304" s="163">
        <f>SUM(C300:C303)</f>
      </c>
      <c r="D304" s="163">
        <f>SUM(D300:D303)</f>
      </c>
      <c r="E304" s="163">
        <f>SUM(E300:E303)</f>
      </c>
      <c r="F304" s="163">
        <f>SUM(F300:F303)</f>
      </c>
      <c r="G304" s="169">
        <f t="shared" si="123"/>
      </c>
      <c r="H304" s="169">
        <f t="shared" si="30"/>
      </c>
      <c r="I304" s="169">
        <f t="shared" si="61"/>
      </c>
      <c r="J304" s="169">
        <f t="shared" si="92"/>
      </c>
      <c r="K304" s="169"/>
    </row>
    <row r="305">
      <c r="A305" s="179" t="s">
        <v>335</v>
      </c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</row>
    <row r="306">
      <c r="A306" s="180" t="s">
        <v>319</v>
      </c>
      <c r="B306" s="180" t="s">
        <v>336</v>
      </c>
      <c r="C306" s="180" t="s">
        <v>337</v>
      </c>
      <c r="D306" s="180" t="s">
        <v>338</v>
      </c>
      <c r="E306" s="180" t="s">
        <v>339</v>
      </c>
      <c r="F306" s="180" t="s">
        <v>340</v>
      </c>
      <c r="G306" s="180" t="s">
        <v>341</v>
      </c>
      <c r="H306" s="181" t="s">
        <v>342</v>
      </c>
      <c r="I306" s="181" t="s">
        <v>343</v>
      </c>
      <c r="J306" s="181" t="s">
        <v>344</v>
      </c>
      <c r="K306" s="181" t="s">
        <v>318</v>
      </c>
    </row>
    <row r="307">
      <c r="A307" s="186">
        <f>SUM(D300:D303)</f>
      </c>
      <c r="B307" s="187">
        <f>SUM(E300:E303)</f>
      </c>
      <c r="C307" s="187">
        <f>B307/((K307*300)+A307)</f>
      </c>
      <c r="D307" s="188">
        <f>A307/J307</f>
      </c>
      <c r="E307" s="187">
        <f>B307/J307</f>
      </c>
      <c r="F307" s="189">
        <f>J307/I307</f>
      </c>
      <c r="G307" s="189">
        <f>H307/J307</f>
      </c>
      <c r="H307" s="190">
        <v>4</v>
      </c>
      <c r="I307" s="190">
        <v>42</v>
      </c>
      <c r="J307" s="190">
        <f>F304</f>
      </c>
      <c r="K307" s="190">
        <v>16</v>
      </c>
    </row>
    <row r="308">
      <c r="D308">
        <f>D309-D304</f>
      </c>
      <c r="E308">
        <f>E309-E304</f>
      </c>
    </row>
    <row r="309">
      <c r="D309" s="194">
        <v>30515.39</v>
      </c>
      <c r="E309">
        <v>54121.4</v>
      </c>
    </row>
  </sheetData>
  <mergeCells>
    <mergeCell ref="A165:K165"/>
    <mergeCell ref="J164:K164"/>
    <mergeCell ref="J163:K163"/>
    <mergeCell ref="J162:K162"/>
    <mergeCell ref="J161:K161"/>
    <mergeCell ref="J160:K160"/>
    <mergeCell ref="J159:K159"/>
    <mergeCell ref="A158:K158"/>
    <mergeCell ref="A155:K155"/>
    <mergeCell ref="J154:K154"/>
    <mergeCell ref="J153:K153"/>
    <mergeCell ref="J152:K152"/>
    <mergeCell ref="J151:K151"/>
    <mergeCell ref="J150:K150"/>
    <mergeCell ref="J149:K149"/>
    <mergeCell ref="A148:K148"/>
    <mergeCell ref="A145:K145"/>
    <mergeCell ref="J144:K144"/>
    <mergeCell ref="J143:K143"/>
    <mergeCell ref="J142:K142"/>
    <mergeCell ref="J141:K141"/>
    <mergeCell ref="J140:K140"/>
    <mergeCell ref="J139:K139"/>
    <mergeCell ref="A138:K138"/>
    <mergeCell ref="A135:K135"/>
    <mergeCell ref="J134:K134"/>
    <mergeCell ref="J133:K133"/>
    <mergeCell ref="J132:K132"/>
    <mergeCell ref="J131:K131"/>
    <mergeCell ref="J130:K130"/>
    <mergeCell ref="J129:K129"/>
    <mergeCell ref="A128:K128"/>
    <mergeCell ref="A125:K125"/>
    <mergeCell ref="J124:K124"/>
    <mergeCell ref="J123:K123"/>
    <mergeCell ref="J122:K122"/>
    <mergeCell ref="J121:K121"/>
    <mergeCell ref="J120:K120"/>
    <mergeCell ref="J119:K119"/>
    <mergeCell ref="A118:K118"/>
    <mergeCell ref="A115:K115"/>
    <mergeCell ref="J114:K114"/>
    <mergeCell ref="J113:K113"/>
    <mergeCell ref="J112:K112"/>
    <mergeCell ref="J111:K111"/>
    <mergeCell ref="J110:K110"/>
    <mergeCell ref="J109:K109"/>
    <mergeCell ref="A108:K108"/>
    <mergeCell ref="A105:K105"/>
    <mergeCell ref="J104:K104"/>
    <mergeCell ref="J103:K103"/>
    <mergeCell ref="J102:K102"/>
    <mergeCell ref="J101:K101"/>
    <mergeCell ref="J100:K100"/>
    <mergeCell ref="J99:K99"/>
    <mergeCell ref="A98:K98"/>
    <mergeCell ref="A95:K95"/>
    <mergeCell ref="J94:K94"/>
    <mergeCell ref="J93:K93"/>
    <mergeCell ref="J92:K92"/>
    <mergeCell ref="J91:K91"/>
    <mergeCell ref="J90:K90"/>
    <mergeCell ref="J89:K89"/>
    <mergeCell ref="A88:K88"/>
    <mergeCell ref="A8:K8"/>
    <mergeCell ref="J7:K7"/>
    <mergeCell ref="J6:K6"/>
    <mergeCell ref="J5:K5"/>
    <mergeCell ref="J4:K4"/>
    <mergeCell ref="J3:K3"/>
    <mergeCell ref="J2:K2"/>
    <mergeCell ref="A1:K1"/>
    <mergeCell ref="A26:K26"/>
    <mergeCell ref="J25:K25"/>
    <mergeCell ref="J24:K24"/>
    <mergeCell ref="J23:K23"/>
    <mergeCell ref="J22:K22"/>
    <mergeCell ref="J21:K21"/>
    <mergeCell ref="J20:K20"/>
    <mergeCell ref="A19:K19"/>
    <mergeCell ref="A11:K11"/>
    <mergeCell ref="J12:K12"/>
    <mergeCell ref="J13:K13"/>
    <mergeCell ref="J14:K14"/>
    <mergeCell ref="J15:K15"/>
    <mergeCell ref="A16:K16"/>
    <mergeCell ref="A29:K29"/>
    <mergeCell ref="J30:K30"/>
    <mergeCell ref="J31:K31"/>
    <mergeCell ref="J32:K32"/>
    <mergeCell ref="J33:K33"/>
    <mergeCell ref="J34:K34"/>
    <mergeCell ref="J35:K35"/>
    <mergeCell ref="A36:K36"/>
    <mergeCell ref="A39:K39"/>
    <mergeCell ref="J40:K40"/>
    <mergeCell ref="J41:K41"/>
    <mergeCell ref="J42:K42"/>
    <mergeCell ref="J43:K43"/>
    <mergeCell ref="J44:K44"/>
    <mergeCell ref="J45:K45"/>
    <mergeCell ref="A46:K46"/>
    <mergeCell ref="A49:K49"/>
    <mergeCell ref="J50:K50"/>
    <mergeCell ref="J51:K51"/>
    <mergeCell ref="J52:K52"/>
    <mergeCell ref="J53:K53"/>
    <mergeCell ref="J54:K54"/>
    <mergeCell ref="J55:K55"/>
    <mergeCell ref="A56:K56"/>
    <mergeCell ref="A59:K59"/>
    <mergeCell ref="J60:K60"/>
    <mergeCell ref="J61:K61"/>
    <mergeCell ref="J62:K62"/>
    <mergeCell ref="J63:K63"/>
    <mergeCell ref="J64:K64"/>
    <mergeCell ref="J65:K65"/>
    <mergeCell ref="A66:K66"/>
    <mergeCell ref="A69:K69"/>
    <mergeCell ref="J70:K70"/>
    <mergeCell ref="J71:K71"/>
    <mergeCell ref="J72:K72"/>
    <mergeCell ref="J73:K73"/>
    <mergeCell ref="J74:K74"/>
    <mergeCell ref="J75:K75"/>
    <mergeCell ref="A76:K76"/>
    <mergeCell ref="A79:K79"/>
    <mergeCell ref="J80:K80"/>
    <mergeCell ref="J81:K81"/>
    <mergeCell ref="J82:K82"/>
    <mergeCell ref="J83:K83"/>
    <mergeCell ref="J84:K84"/>
    <mergeCell ref="A85:K85"/>
    <mergeCell ref="A168:K168"/>
    <mergeCell ref="J169:K169"/>
    <mergeCell ref="J170:K170"/>
    <mergeCell ref="J171:K171"/>
    <mergeCell ref="J172:K172"/>
    <mergeCell ref="J173:K173"/>
    <mergeCell ref="J174:K174"/>
    <mergeCell ref="A175:K175"/>
    <mergeCell ref="A178:K178"/>
    <mergeCell ref="J179:K179"/>
    <mergeCell ref="J180:K180"/>
    <mergeCell ref="J181:K181"/>
    <mergeCell ref="J182:K182"/>
    <mergeCell ref="J183:K183"/>
    <mergeCell ref="J184:K184"/>
    <mergeCell ref="A185:K185"/>
    <mergeCell ref="A188:K188"/>
    <mergeCell ref="J189:K189"/>
    <mergeCell ref="J190:K190"/>
    <mergeCell ref="J191:K191"/>
    <mergeCell ref="J192:K192"/>
    <mergeCell ref="J193:K193"/>
    <mergeCell ref="J194:K194"/>
    <mergeCell ref="A195:K195"/>
    <mergeCell ref="A198:K198"/>
    <mergeCell ref="J199:K199"/>
    <mergeCell ref="J200:K200"/>
    <mergeCell ref="J201:K201"/>
    <mergeCell ref="J202:K202"/>
    <mergeCell ref="J203:K203"/>
    <mergeCell ref="J204:K204"/>
    <mergeCell ref="A205:K205"/>
    <mergeCell ref="A208:K208"/>
    <mergeCell ref="J209:K209"/>
    <mergeCell ref="J210:K210"/>
    <mergeCell ref="J211:K211"/>
    <mergeCell ref="J212:K212"/>
    <mergeCell ref="J213:K213"/>
    <mergeCell ref="J214:K214"/>
    <mergeCell ref="A215:K215"/>
    <mergeCell ref="A218:K218"/>
    <mergeCell ref="J219:K219"/>
    <mergeCell ref="J220:K220"/>
    <mergeCell ref="J221:K221"/>
    <mergeCell ref="J222:K222"/>
    <mergeCell ref="J223:K223"/>
    <mergeCell ref="J224:K224"/>
    <mergeCell ref="A225:K225"/>
    <mergeCell ref="A228:K228"/>
    <mergeCell ref="J229:K229"/>
    <mergeCell ref="J230:K230"/>
    <mergeCell ref="J231:K231"/>
    <mergeCell ref="J232:K232"/>
    <mergeCell ref="J233:K233"/>
    <mergeCell ref="J234:K234"/>
    <mergeCell ref="A235:K235"/>
    <mergeCell ref="A238:K238"/>
    <mergeCell ref="J239:K239"/>
    <mergeCell ref="J240:K240"/>
    <mergeCell ref="J241:K241"/>
    <mergeCell ref="J242:K242"/>
    <mergeCell ref="J243:K243"/>
    <mergeCell ref="J244:K244"/>
    <mergeCell ref="A245:K245"/>
    <mergeCell ref="A248:K248"/>
    <mergeCell ref="J249:K249"/>
    <mergeCell ref="J250:K250"/>
    <mergeCell ref="J251:K251"/>
    <mergeCell ref="J252:K252"/>
    <mergeCell ref="J253:K253"/>
    <mergeCell ref="J254:K254"/>
    <mergeCell ref="A255:K255"/>
    <mergeCell ref="A258:K258"/>
    <mergeCell ref="J259:K259"/>
    <mergeCell ref="J260:K260"/>
    <mergeCell ref="J261:K261"/>
    <mergeCell ref="J262:K262"/>
    <mergeCell ref="J263:K263"/>
    <mergeCell ref="J264:K264"/>
    <mergeCell ref="A265:K265"/>
    <mergeCell ref="A268:K268"/>
    <mergeCell ref="J269:K269"/>
    <mergeCell ref="J270:K270"/>
    <mergeCell ref="J271:K271"/>
    <mergeCell ref="J272:K272"/>
    <mergeCell ref="J273:K273"/>
    <mergeCell ref="J274:K274"/>
    <mergeCell ref="A275:K275"/>
    <mergeCell ref="A278:K278"/>
    <mergeCell ref="J279:K279"/>
    <mergeCell ref="J280:K280"/>
    <mergeCell ref="J281:K281"/>
    <mergeCell ref="J282:K282"/>
    <mergeCell ref="J283:K283"/>
    <mergeCell ref="J284:K284"/>
    <mergeCell ref="A285:K285"/>
    <mergeCell ref="A288:K288"/>
    <mergeCell ref="J289:K289"/>
    <mergeCell ref="J290:K290"/>
    <mergeCell ref="J291:K291"/>
    <mergeCell ref="J292:K292"/>
    <mergeCell ref="J293:K293"/>
    <mergeCell ref="J294:K294"/>
    <mergeCell ref="A295:K295"/>
    <mergeCell ref="A298:K298"/>
    <mergeCell ref="J299:K299"/>
    <mergeCell ref="J300:K300"/>
    <mergeCell ref="J301:K301"/>
    <mergeCell ref="J302:K302"/>
    <mergeCell ref="J303:K303"/>
    <mergeCell ref="J304:K304"/>
    <mergeCell ref="A305:K305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95" t="s">
        <v>387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>
      <c r="A2" s="196" t="s">
        <v>388</v>
      </c>
      <c r="B2" s="196" t="s">
        <v>389</v>
      </c>
      <c r="C2" s="196" t="s">
        <v>390</v>
      </c>
      <c r="D2" s="196" t="s">
        <v>391</v>
      </c>
      <c r="E2" s="197" t="s">
        <v>392</v>
      </c>
      <c r="F2" s="196" t="s">
        <v>393</v>
      </c>
      <c r="G2" s="196" t="s">
        <v>394</v>
      </c>
      <c r="H2" s="196" t="s">
        <v>395</v>
      </c>
      <c r="I2" s="196" t="s">
        <v>396</v>
      </c>
      <c r="J2" s="196" t="s">
        <v>397</v>
      </c>
      <c r="K2" s="196"/>
    </row>
    <row r="3">
      <c r="A3" s="198" t="s">
        <v>398</v>
      </c>
      <c r="B3" s="199" t="s">
        <v>399</v>
      </c>
      <c r="C3" s="198">
        <v>4</v>
      </c>
      <c r="D3" s="198">
        <v>15806.47</v>
      </c>
      <c r="E3" s="198">
        <v>17607.199999999997</v>
      </c>
      <c r="F3" s="198">
        <v>8</v>
      </c>
      <c r="G3" s="200">
        <f t="shared" ref="G3:G5" si="90">E3/F3</f>
      </c>
      <c r="H3" s="200">
        <f t="shared" ref="H3:H5" si="0">D3/F3</f>
      </c>
      <c r="I3" s="200">
        <f t="shared" ref="I3:I5" si="30">E3/D3</f>
      </c>
      <c r="J3" s="200">
        <f t="shared" ref="J3:J5" si="60">D3/C3</f>
      </c>
      <c r="K3" s="200"/>
    </row>
    <row r="4">
      <c r="A4" s="198" t="s">
        <v>400</v>
      </c>
      <c r="B4" s="199" t="s">
        <v>401</v>
      </c>
      <c r="C4" s="198">
        <v>2</v>
      </c>
      <c r="D4" s="198">
        <v>6124.010000000004</v>
      </c>
      <c r="E4" s="198">
        <v>1685.6</v>
      </c>
      <c r="F4" s="198">
        <v>2</v>
      </c>
      <c r="G4" s="200">
        <f t="shared" si="90"/>
      </c>
      <c r="H4" s="200">
        <f t="shared" si="0"/>
      </c>
      <c r="I4" s="200">
        <f t="shared" si="30"/>
      </c>
      <c r="J4" s="200">
        <f t="shared" si="60"/>
      </c>
      <c r="K4" s="200"/>
    </row>
    <row r="5">
      <c r="A5" s="196" t="s">
        <v>402</v>
      </c>
      <c r="B5" s="196"/>
      <c r="C5" s="196">
        <f>SUM(C3:C4)</f>
      </c>
      <c r="D5" s="196">
        <f>SUM(D3:D4)</f>
      </c>
      <c r="E5" s="196">
        <f>SUM(E3:E4)</f>
      </c>
      <c r="F5" s="196">
        <f>SUM(F3:F4)</f>
      </c>
      <c r="G5" s="201">
        <f t="shared" si="90"/>
      </c>
      <c r="H5" s="201">
        <f t="shared" si="0"/>
      </c>
      <c r="I5" s="201">
        <f t="shared" si="30"/>
      </c>
      <c r="J5" s="201">
        <f t="shared" si="60"/>
      </c>
      <c r="K5" s="201"/>
    </row>
    <row r="6">
      <c r="A6" s="202" t="s">
        <v>403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</row>
    <row r="7">
      <c r="A7" s="203" t="s">
        <v>391</v>
      </c>
      <c r="B7" s="203" t="s">
        <v>404</v>
      </c>
      <c r="C7" s="203" t="s">
        <v>405</v>
      </c>
      <c r="D7" s="203" t="s">
        <v>406</v>
      </c>
      <c r="E7" s="203" t="s">
        <v>407</v>
      </c>
      <c r="F7" s="203" t="s">
        <v>408</v>
      </c>
      <c r="G7" s="203" t="s">
        <v>409</v>
      </c>
      <c r="H7" s="204" t="s">
        <v>410</v>
      </c>
      <c r="I7" s="204" t="s">
        <v>411</v>
      </c>
      <c r="J7" s="204" t="s">
        <v>412</v>
      </c>
      <c r="K7" s="204" t="s">
        <v>390</v>
      </c>
    </row>
    <row r="8">
      <c r="A8" s="205">
        <f>SUM(D3:D4)</f>
      </c>
      <c r="B8" s="205">
        <f>SUM(E3:E4)</f>
      </c>
      <c r="C8" s="206">
        <f>B8/((K8*300)+A8)</f>
      </c>
      <c r="D8" s="207">
        <f>A8/J8</f>
      </c>
      <c r="E8" s="206">
        <f>B8/J8</f>
      </c>
      <c r="F8" s="208">
        <f>J8/I8</f>
      </c>
      <c r="G8" s="208">
        <f>H8/J8</f>
      </c>
      <c r="H8" s="209">
        <v>1</v>
      </c>
      <c r="I8" s="209">
        <v>20</v>
      </c>
      <c r="J8" s="209">
        <f>F5</f>
      </c>
      <c r="K8" s="210">
        <f>C5</f>
      </c>
    </row>
    <row r="9">
      <c r="A9" s="195" t="s">
        <v>413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</row>
    <row r="10">
      <c r="A10" s="196" t="s">
        <v>388</v>
      </c>
      <c r="B10" s="196" t="s">
        <v>389</v>
      </c>
      <c r="C10" s="196" t="s">
        <v>390</v>
      </c>
      <c r="D10" s="196" t="s">
        <v>391</v>
      </c>
      <c r="E10" s="197" t="s">
        <v>392</v>
      </c>
      <c r="F10" s="196" t="s">
        <v>393</v>
      </c>
      <c r="G10" s="196" t="s">
        <v>394</v>
      </c>
      <c r="H10" s="196" t="s">
        <v>395</v>
      </c>
      <c r="I10" s="196" t="s">
        <v>396</v>
      </c>
      <c r="J10" s="196" t="s">
        <v>397</v>
      </c>
      <c r="K10" s="196"/>
    </row>
    <row r="11">
      <c r="A11" s="198" t="s">
        <v>400</v>
      </c>
      <c r="B11" s="199" t="s">
        <v>399</v>
      </c>
      <c r="C11" s="198">
        <v>4</v>
      </c>
      <c r="D11" s="198">
        <v>12624.029999999999</v>
      </c>
      <c r="E11" s="198">
        <v>31165.2</v>
      </c>
      <c r="F11" s="198">
        <v>14</v>
      </c>
      <c r="G11" s="200">
        <f t="shared" ref="G11:G15" si="91">E11/F11</f>
      </c>
      <c r="H11" s="200">
        <f t="shared" ref="H11:H15" si="1">D11/F11</f>
      </c>
      <c r="I11" s="200">
        <f t="shared" ref="I11:I15" si="31">E11/D11</f>
      </c>
      <c r="J11" s="200">
        <f t="shared" ref="J11:J15" si="61">D11/C11</f>
      </c>
      <c r="K11" s="200"/>
    </row>
    <row r="12">
      <c r="A12" s="198" t="s">
        <v>398</v>
      </c>
      <c r="B12" s="199" t="s">
        <v>414</v>
      </c>
      <c r="C12" s="198">
        <v>4</v>
      </c>
      <c r="D12" s="198">
        <v>12620.160000000003</v>
      </c>
      <c r="E12" s="198">
        <v>4606.799999999996</v>
      </c>
      <c r="F12" s="198">
        <v>3</v>
      </c>
      <c r="G12" s="200">
        <f t="shared" si="91"/>
      </c>
      <c r="H12" s="200">
        <f t="shared" si="1"/>
      </c>
      <c r="I12" s="200">
        <f t="shared" si="31"/>
      </c>
      <c r="J12" s="200">
        <f t="shared" si="61"/>
      </c>
      <c r="K12" s="200"/>
    </row>
    <row r="13">
      <c r="A13" s="198" t="s">
        <v>415</v>
      </c>
      <c r="B13" s="211" t="s">
        <v>416</v>
      </c>
      <c r="C13" s="198">
        <v>4</v>
      </c>
      <c r="D13" s="198">
        <v>9005</v>
      </c>
      <c r="E13" s="198">
        <v>13049.400000000009</v>
      </c>
      <c r="F13" s="198">
        <v>7</v>
      </c>
      <c r="G13" s="200">
        <f t="shared" si="91"/>
      </c>
      <c r="H13" s="200">
        <f t="shared" si="1"/>
      </c>
      <c r="I13" s="200">
        <f t="shared" si="31"/>
      </c>
      <c r="J13" s="200">
        <f t="shared" si="61"/>
      </c>
      <c r="K13" s="200"/>
    </row>
    <row r="14">
      <c r="A14" s="198" t="s">
        <v>417</v>
      </c>
      <c r="B14" s="211" t="s">
        <v>418</v>
      </c>
      <c r="C14" s="198">
        <v>4</v>
      </c>
      <c r="D14" s="198">
        <v>11317.35</v>
      </c>
      <c r="E14" s="198">
        <v>14957.799999999996</v>
      </c>
      <c r="F14" s="198">
        <v>8</v>
      </c>
      <c r="G14" s="200">
        <f t="shared" si="91"/>
      </c>
      <c r="H14" s="200">
        <f t="shared" si="1"/>
      </c>
      <c r="I14" s="200">
        <f t="shared" si="31"/>
      </c>
      <c r="J14" s="200">
        <f t="shared" si="61"/>
      </c>
      <c r="K14" s="200"/>
    </row>
    <row r="15">
      <c r="A15" s="196" t="s">
        <v>402</v>
      </c>
      <c r="B15" s="196"/>
      <c r="C15" s="196">
        <f>SUM(C11:C14)</f>
      </c>
      <c r="D15" s="196">
        <f>SUM(D11:D14)</f>
      </c>
      <c r="E15" s="196">
        <f>SUM(E11:E14)</f>
      </c>
      <c r="F15" s="196">
        <f>SUM(F11:F14)</f>
      </c>
      <c r="G15" s="201">
        <f t="shared" si="91"/>
      </c>
      <c r="H15" s="201">
        <f t="shared" si="1"/>
      </c>
      <c r="I15" s="201">
        <f t="shared" si="31"/>
      </c>
      <c r="J15" s="201">
        <f t="shared" si="61"/>
      </c>
      <c r="K15" s="201"/>
    </row>
    <row r="16">
      <c r="A16" s="202" t="s">
        <v>403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</row>
    <row r="17">
      <c r="A17" s="203" t="s">
        <v>391</v>
      </c>
      <c r="B17" s="203" t="s">
        <v>404</v>
      </c>
      <c r="C17" s="203" t="s">
        <v>405</v>
      </c>
      <c r="D17" s="203" t="s">
        <v>406</v>
      </c>
      <c r="E17" s="203" t="s">
        <v>407</v>
      </c>
      <c r="F17" s="203" t="s">
        <v>408</v>
      </c>
      <c r="G17" s="203" t="s">
        <v>409</v>
      </c>
      <c r="H17" s="204" t="s">
        <v>410</v>
      </c>
      <c r="I17" s="204" t="s">
        <v>411</v>
      </c>
      <c r="J17" s="204" t="s">
        <v>412</v>
      </c>
      <c r="K17" s="204" t="s">
        <v>390</v>
      </c>
    </row>
    <row r="18">
      <c r="A18" s="205">
        <f>SUM(D11:D14)</f>
      </c>
      <c r="B18" s="205">
        <f>SUM(E11:E14)</f>
      </c>
      <c r="C18" s="206">
        <f>B18/((K18*300)+A18)</f>
      </c>
      <c r="D18" s="207">
        <f>A18/J18</f>
      </c>
      <c r="E18" s="206">
        <f>B18/J18</f>
      </c>
      <c r="F18" s="208">
        <f>J18/I18</f>
      </c>
      <c r="G18" s="208">
        <f>H18/J18</f>
      </c>
      <c r="H18" s="209">
        <v>4</v>
      </c>
      <c r="I18" s="209">
        <v>60</v>
      </c>
      <c r="J18" s="209">
        <f>F15</f>
      </c>
      <c r="K18" s="210">
        <f>C15</f>
      </c>
    </row>
    <row r="19">
      <c r="A19" s="195" t="s">
        <v>419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</row>
    <row r="20">
      <c r="A20" s="196" t="s">
        <v>388</v>
      </c>
      <c r="B20" s="196" t="s">
        <v>389</v>
      </c>
      <c r="C20" s="196" t="s">
        <v>390</v>
      </c>
      <c r="D20" s="196" t="s">
        <v>391</v>
      </c>
      <c r="E20" s="197" t="s">
        <v>392</v>
      </c>
      <c r="F20" s="196" t="s">
        <v>393</v>
      </c>
      <c r="G20" s="196" t="s">
        <v>394</v>
      </c>
      <c r="H20" s="196" t="s">
        <v>395</v>
      </c>
      <c r="I20" s="196" t="s">
        <v>396</v>
      </c>
      <c r="J20" s="196" t="s">
        <v>397</v>
      </c>
      <c r="K20" s="196"/>
    </row>
    <row r="21">
      <c r="A21" s="198" t="s">
        <v>398</v>
      </c>
      <c r="B21" s="199" t="s">
        <v>399</v>
      </c>
      <c r="C21" s="198">
        <v>4</v>
      </c>
      <c r="D21" s="198">
        <v>10227.62</v>
      </c>
      <c r="E21" s="198">
        <v>18002.8</v>
      </c>
      <c r="F21" s="198">
        <v>9</v>
      </c>
      <c r="G21" s="200">
        <f t="shared" ref="G21:G25" si="92">E21/F21</f>
      </c>
      <c r="H21" s="200">
        <f t="shared" ref="H21:H25" si="2">D21/F21</f>
      </c>
      <c r="I21" s="200">
        <f t="shared" ref="I21:I25" si="32">E21/D21</f>
      </c>
      <c r="J21" s="200">
        <f t="shared" ref="J21:J25" si="62">D21/C21</f>
      </c>
      <c r="K21" s="200"/>
    </row>
    <row r="22">
      <c r="A22" s="198" t="s">
        <v>415</v>
      </c>
      <c r="B22" s="199" t="s">
        <v>414</v>
      </c>
      <c r="C22" s="198">
        <v>4</v>
      </c>
      <c r="D22" s="198">
        <v>11697.540000000003</v>
      </c>
      <c r="E22" s="198">
        <v>10562.800000000003</v>
      </c>
      <c r="F22" s="198">
        <v>8</v>
      </c>
      <c r="G22" s="200">
        <f t="shared" si="92"/>
      </c>
      <c r="H22" s="200">
        <f t="shared" si="2"/>
      </c>
      <c r="I22" s="200">
        <f t="shared" si="32"/>
      </c>
      <c r="J22" s="200">
        <f t="shared" si="62"/>
      </c>
      <c r="K22" s="200"/>
    </row>
    <row r="23">
      <c r="A23" s="198" t="s">
        <v>417</v>
      </c>
      <c r="B23" s="211" t="s">
        <v>416</v>
      </c>
      <c r="C23" s="198">
        <v>4</v>
      </c>
      <c r="D23" s="198">
        <v>8057.939999999995</v>
      </c>
      <c r="E23" s="198">
        <v>13812.399999999998</v>
      </c>
      <c r="F23" s="198">
        <v>6</v>
      </c>
      <c r="G23" s="200">
        <f t="shared" si="92"/>
      </c>
      <c r="H23" s="200">
        <f t="shared" si="2"/>
      </c>
      <c r="I23" s="200">
        <f t="shared" si="32"/>
      </c>
      <c r="J23" s="200">
        <f t="shared" si="62"/>
      </c>
      <c r="K23" s="200"/>
    </row>
    <row r="24">
      <c r="A24" s="198" t="s">
        <v>400</v>
      </c>
      <c r="B24" s="211" t="s">
        <v>418</v>
      </c>
      <c r="C24" s="198">
        <v>4</v>
      </c>
      <c r="D24" s="198">
        <v>7021.860000000001</v>
      </c>
      <c r="E24" s="198">
        <v>13614.200000000012</v>
      </c>
      <c r="F24" s="198">
        <v>7</v>
      </c>
      <c r="G24" s="200">
        <f t="shared" si="92"/>
      </c>
      <c r="H24" s="200">
        <f t="shared" si="2"/>
      </c>
      <c r="I24" s="200">
        <f t="shared" si="32"/>
      </c>
      <c r="J24" s="200">
        <f t="shared" si="62"/>
      </c>
      <c r="K24" s="200"/>
    </row>
    <row r="25">
      <c r="A25" s="196" t="s">
        <v>402</v>
      </c>
      <c r="B25" s="196"/>
      <c r="C25" s="196">
        <f>SUM(C21:C24)</f>
      </c>
      <c r="D25" s="196">
        <f>SUM(D21:D24)</f>
      </c>
      <c r="E25" s="196">
        <f>SUM(E21:E24)</f>
      </c>
      <c r="F25" s="196">
        <f>SUM(F21:F24)</f>
      </c>
      <c r="G25" s="201">
        <f t="shared" si="92"/>
      </c>
      <c r="H25" s="201">
        <f t="shared" si="2"/>
      </c>
      <c r="I25" s="201">
        <f t="shared" si="32"/>
      </c>
      <c r="J25" s="201">
        <f t="shared" si="62"/>
      </c>
      <c r="K25" s="201"/>
    </row>
    <row r="26">
      <c r="A26" s="202" t="s">
        <v>403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</row>
    <row r="27">
      <c r="A27" s="203" t="s">
        <v>391</v>
      </c>
      <c r="B27" s="203" t="s">
        <v>404</v>
      </c>
      <c r="C27" s="203" t="s">
        <v>405</v>
      </c>
      <c r="D27" s="203" t="s">
        <v>406</v>
      </c>
      <c r="E27" s="203" t="s">
        <v>407</v>
      </c>
      <c r="F27" s="203" t="s">
        <v>408</v>
      </c>
      <c r="G27" s="203" t="s">
        <v>409</v>
      </c>
      <c r="H27" s="204" t="s">
        <v>410</v>
      </c>
      <c r="I27" s="204" t="s">
        <v>411</v>
      </c>
      <c r="J27" s="204" t="s">
        <v>412</v>
      </c>
      <c r="K27" s="204" t="s">
        <v>390</v>
      </c>
    </row>
    <row r="28">
      <c r="A28" s="205">
        <f>SUM(D21:D24)</f>
      </c>
      <c r="B28" s="205">
        <f>SUM(E21:E24)</f>
      </c>
      <c r="C28" s="206">
        <f>B28/((K28*300)+A28)</f>
      </c>
      <c r="D28" s="207">
        <f>A28/J28</f>
      </c>
      <c r="E28" s="206">
        <f>B28/J28</f>
      </c>
      <c r="F28" s="208">
        <f>J28/I28</f>
      </c>
      <c r="G28" s="208">
        <f>H28/J28</f>
      </c>
      <c r="H28" s="209">
        <v>3</v>
      </c>
      <c r="I28" s="209">
        <v>48</v>
      </c>
      <c r="J28" s="209">
        <f>F25</f>
      </c>
      <c r="K28" s="210">
        <f>C25</f>
      </c>
    </row>
    <row r="29">
      <c r="A29" s="195" t="s">
        <v>420</v>
      </c>
      <c r="B29" s="195"/>
      <c r="C29" s="195"/>
      <c r="D29" s="195"/>
      <c r="E29" s="195"/>
      <c r="F29" s="195"/>
      <c r="G29" s="195"/>
      <c r="H29" s="195"/>
      <c r="I29" s="195"/>
      <c r="J29" s="195"/>
      <c r="K29" s="195"/>
    </row>
    <row r="30">
      <c r="A30" s="196" t="s">
        <v>388</v>
      </c>
      <c r="B30" s="196" t="s">
        <v>389</v>
      </c>
      <c r="C30" s="196" t="s">
        <v>390</v>
      </c>
      <c r="D30" s="196" t="s">
        <v>391</v>
      </c>
      <c r="E30" s="197" t="s">
        <v>392</v>
      </c>
      <c r="F30" s="196" t="s">
        <v>393</v>
      </c>
      <c r="G30" s="196" t="s">
        <v>394</v>
      </c>
      <c r="H30" s="196" t="s">
        <v>395</v>
      </c>
      <c r="I30" s="196" t="s">
        <v>396</v>
      </c>
      <c r="J30" s="196" t="s">
        <v>397</v>
      </c>
      <c r="K30" s="196"/>
    </row>
    <row r="31">
      <c r="A31" s="198" t="s">
        <v>398</v>
      </c>
      <c r="B31" s="199" t="s">
        <v>399</v>
      </c>
      <c r="C31" s="198">
        <v>4</v>
      </c>
      <c r="D31" s="198">
        <v>6858.54</v>
      </c>
      <c r="E31" s="198">
        <v>12414</v>
      </c>
      <c r="F31" s="198">
        <v>5</v>
      </c>
      <c r="G31" s="200">
        <f t="shared" ref="G31:G35" si="93">E31/F31</f>
      </c>
      <c r="H31" s="200">
        <f t="shared" ref="H31:H35" si="3">D31/F31</f>
      </c>
      <c r="I31" s="200">
        <f t="shared" ref="I31:I35" si="33">E31/D31</f>
      </c>
      <c r="J31" s="200">
        <f t="shared" ref="J31:J35" si="63">D31/C31</f>
      </c>
      <c r="K31" s="200"/>
    </row>
    <row r="32">
      <c r="A32" s="198" t="s">
        <v>421</v>
      </c>
      <c r="B32" s="199" t="s">
        <v>414</v>
      </c>
      <c r="C32" s="198">
        <v>4</v>
      </c>
      <c r="D32" s="198">
        <v>4470.020000000001</v>
      </c>
      <c r="E32" s="198">
        <v>4615.200000000001</v>
      </c>
      <c r="F32" s="198">
        <v>4</v>
      </c>
      <c r="G32" s="200">
        <f t="shared" si="93"/>
      </c>
      <c r="H32" s="200">
        <f t="shared" si="3"/>
      </c>
      <c r="I32" s="200">
        <f t="shared" si="33"/>
      </c>
      <c r="J32" s="200">
        <f t="shared" si="63"/>
      </c>
      <c r="K32" s="200"/>
    </row>
    <row r="33">
      <c r="A33" s="198" t="s">
        <v>417</v>
      </c>
      <c r="B33" s="211" t="s">
        <v>416</v>
      </c>
      <c r="C33" s="198">
        <v>4</v>
      </c>
      <c r="D33" s="198">
        <v>7144.66</v>
      </c>
      <c r="E33" s="198">
        <v>8568.8</v>
      </c>
      <c r="F33" s="198">
        <v>4</v>
      </c>
      <c r="G33" s="200">
        <f t="shared" si="93"/>
      </c>
      <c r="H33" s="200">
        <f t="shared" si="3"/>
      </c>
      <c r="I33" s="200">
        <f t="shared" si="33"/>
      </c>
      <c r="J33" s="200">
        <f t="shared" si="63"/>
      </c>
      <c r="K33" s="200"/>
    </row>
    <row r="34">
      <c r="A34" s="198" t="s">
        <v>400</v>
      </c>
      <c r="B34" s="211" t="s">
        <v>418</v>
      </c>
      <c r="C34" s="198">
        <v>4</v>
      </c>
      <c r="D34" s="198">
        <v>9707.59</v>
      </c>
      <c r="E34" s="198">
        <v>13349.199999999997</v>
      </c>
      <c r="F34" s="198">
        <v>7</v>
      </c>
      <c r="G34" s="200">
        <f t="shared" si="93"/>
      </c>
      <c r="H34" s="200">
        <f t="shared" si="3"/>
      </c>
      <c r="I34" s="200">
        <f t="shared" si="33"/>
      </c>
      <c r="J34" s="200">
        <f t="shared" si="63"/>
      </c>
      <c r="K34" s="200"/>
    </row>
    <row r="35">
      <c r="A35" s="196" t="s">
        <v>402</v>
      </c>
      <c r="B35" s="196"/>
      <c r="C35" s="196">
        <f>SUM(C31:C34)</f>
      </c>
      <c r="D35" s="196">
        <f>SUM(D31:D34)</f>
      </c>
      <c r="E35" s="196">
        <f>SUM(E31:E34)</f>
      </c>
      <c r="F35" s="196">
        <f>SUM(F31:F34)</f>
      </c>
      <c r="G35" s="201">
        <f t="shared" si="93"/>
      </c>
      <c r="H35" s="201">
        <f t="shared" si="3"/>
      </c>
      <c r="I35" s="201">
        <f t="shared" si="33"/>
      </c>
      <c r="J35" s="201">
        <f t="shared" si="63"/>
      </c>
      <c r="K35" s="201"/>
    </row>
    <row r="36">
      <c r="A36" s="202" t="s">
        <v>403</v>
      </c>
      <c r="B36" s="202"/>
      <c r="C36" s="202"/>
      <c r="D36" s="202"/>
      <c r="E36" s="202"/>
      <c r="F36" s="202"/>
      <c r="G36" s="202"/>
      <c r="H36" s="202"/>
      <c r="I36" s="202"/>
      <c r="J36" s="202"/>
      <c r="K36" s="202"/>
    </row>
    <row r="37">
      <c r="A37" s="203" t="s">
        <v>391</v>
      </c>
      <c r="B37" s="203" t="s">
        <v>404</v>
      </c>
      <c r="C37" s="203" t="s">
        <v>405</v>
      </c>
      <c r="D37" s="203" t="s">
        <v>406</v>
      </c>
      <c r="E37" s="203" t="s">
        <v>407</v>
      </c>
      <c r="F37" s="203" t="s">
        <v>408</v>
      </c>
      <c r="G37" s="203" t="s">
        <v>409</v>
      </c>
      <c r="H37" s="204" t="s">
        <v>410</v>
      </c>
      <c r="I37" s="204" t="s">
        <v>411</v>
      </c>
      <c r="J37" s="204" t="s">
        <v>412</v>
      </c>
      <c r="K37" s="204" t="s">
        <v>390</v>
      </c>
    </row>
    <row r="38">
      <c r="A38" s="205">
        <f>SUM(D31:D34)</f>
      </c>
      <c r="B38" s="205">
        <f>SUM(E31:E34)</f>
      </c>
      <c r="C38" s="206">
        <f>B38/((K38*300)+A38)</f>
      </c>
      <c r="D38" s="207">
        <f>A38/J38</f>
      </c>
      <c r="E38" s="206">
        <f>B38/J38</f>
      </c>
      <c r="F38" s="208">
        <f>J38/I38</f>
      </c>
      <c r="G38" s="208">
        <f>H38/J38</f>
      </c>
      <c r="H38" s="209">
        <v>1</v>
      </c>
      <c r="I38" s="209">
        <v>34</v>
      </c>
      <c r="J38" s="209">
        <f>F35</f>
      </c>
      <c r="K38" s="210">
        <f>C35</f>
      </c>
    </row>
    <row r="39">
      <c r="A39" s="195" t="s">
        <v>422</v>
      </c>
      <c r="B39" s="195"/>
      <c r="C39" s="195"/>
      <c r="D39" s="195"/>
      <c r="E39" s="195"/>
      <c r="F39" s="195"/>
      <c r="G39" s="195"/>
      <c r="H39" s="195"/>
      <c r="I39" s="195"/>
      <c r="J39" s="195"/>
      <c r="K39" s="195"/>
    </row>
    <row r="40">
      <c r="A40" s="196" t="s">
        <v>388</v>
      </c>
      <c r="B40" s="196" t="s">
        <v>389</v>
      </c>
      <c r="C40" s="196" t="s">
        <v>390</v>
      </c>
      <c r="D40" s="196" t="s">
        <v>391</v>
      </c>
      <c r="E40" s="197" t="s">
        <v>392</v>
      </c>
      <c r="F40" s="196" t="s">
        <v>393</v>
      </c>
      <c r="G40" s="196" t="s">
        <v>394</v>
      </c>
      <c r="H40" s="196" t="s">
        <v>395</v>
      </c>
      <c r="I40" s="196" t="s">
        <v>396</v>
      </c>
      <c r="J40" s="196" t="s">
        <v>397</v>
      </c>
      <c r="K40" s="196"/>
    </row>
    <row r="41">
      <c r="A41" s="198" t="s">
        <v>415</v>
      </c>
      <c r="B41" s="199" t="s">
        <v>399</v>
      </c>
      <c r="C41" s="198">
        <v>4</v>
      </c>
      <c r="D41" s="198">
        <v>5586.13</v>
      </c>
      <c r="E41" s="198">
        <v>11536.8</v>
      </c>
      <c r="F41" s="198">
        <v>5</v>
      </c>
      <c r="G41" s="200">
        <f t="shared" ref="G41:G45" si="94">E41/F41</f>
      </c>
      <c r="H41" s="200">
        <f t="shared" ref="H41:H45" si="4">D41/F41</f>
      </c>
      <c r="I41" s="200">
        <f t="shared" ref="I41:I45" si="34">E41/D41</f>
      </c>
      <c r="J41" s="200">
        <f t="shared" ref="J41:J45" si="64">D41/C41</f>
      </c>
      <c r="K41" s="200"/>
    </row>
    <row r="42">
      <c r="A42" s="198" t="s">
        <v>421</v>
      </c>
      <c r="B42" s="199" t="s">
        <v>414</v>
      </c>
      <c r="C42" s="198">
        <v>4</v>
      </c>
      <c r="D42" s="198">
        <v>5069.039999999998</v>
      </c>
      <c r="E42" s="198">
        <v>5513.399999999998</v>
      </c>
      <c r="F42" s="198">
        <v>3</v>
      </c>
      <c r="G42" s="200">
        <f t="shared" si="94"/>
      </c>
      <c r="H42" s="200">
        <f t="shared" si="4"/>
      </c>
      <c r="I42" s="200">
        <f t="shared" si="34"/>
      </c>
      <c r="J42" s="200">
        <f t="shared" si="64"/>
      </c>
      <c r="K42" s="200"/>
    </row>
    <row r="43">
      <c r="A43" s="198" t="s">
        <v>400</v>
      </c>
      <c r="B43" s="211" t="s">
        <v>416</v>
      </c>
      <c r="C43" s="198">
        <v>4</v>
      </c>
      <c r="D43" s="198">
        <v>6161.710000000003</v>
      </c>
      <c r="E43" s="198">
        <v>13891.400000000001</v>
      </c>
      <c r="F43" s="198">
        <v>8</v>
      </c>
      <c r="G43" s="200">
        <f t="shared" si="94"/>
      </c>
      <c r="H43" s="200">
        <f t="shared" si="4"/>
      </c>
      <c r="I43" s="200">
        <f t="shared" si="34"/>
      </c>
      <c r="J43" s="200">
        <f t="shared" si="64"/>
      </c>
      <c r="K43" s="200"/>
    </row>
    <row r="44">
      <c r="A44" s="198" t="s">
        <v>417</v>
      </c>
      <c r="B44" s="211" t="s">
        <v>418</v>
      </c>
      <c r="C44" s="198">
        <v>4</v>
      </c>
      <c r="D44" s="198">
        <v>9009.119999999999</v>
      </c>
      <c r="E44" s="198">
        <v>13623.599999999999</v>
      </c>
      <c r="F44" s="198">
        <v>4</v>
      </c>
      <c r="G44" s="200">
        <f t="shared" si="94"/>
      </c>
      <c r="H44" s="200">
        <f t="shared" si="4"/>
      </c>
      <c r="I44" s="200">
        <f t="shared" si="34"/>
      </c>
      <c r="J44" s="200">
        <f t="shared" si="64"/>
      </c>
      <c r="K44" s="200"/>
    </row>
    <row r="45">
      <c r="A45" s="196" t="s">
        <v>402</v>
      </c>
      <c r="B45" s="196"/>
      <c r="C45" s="196">
        <f>SUM(C41:C44)</f>
      </c>
      <c r="D45" s="196">
        <f>SUM(D41:D44)</f>
      </c>
      <c r="E45" s="196">
        <f>SUM(E41:E44)</f>
      </c>
      <c r="F45" s="196">
        <f>SUM(F41:F44)</f>
      </c>
      <c r="G45" s="201">
        <f t="shared" si="94"/>
      </c>
      <c r="H45" s="201">
        <f t="shared" si="4"/>
      </c>
      <c r="I45" s="201">
        <f t="shared" si="34"/>
      </c>
      <c r="J45" s="201">
        <f t="shared" si="64"/>
      </c>
      <c r="K45" s="201"/>
    </row>
    <row r="46">
      <c r="A46" s="202" t="s">
        <v>403</v>
      </c>
      <c r="B46" s="202"/>
      <c r="C46" s="202"/>
      <c r="D46" s="202"/>
      <c r="E46" s="202"/>
      <c r="F46" s="202"/>
      <c r="G46" s="202"/>
      <c r="H46" s="202"/>
      <c r="I46" s="202"/>
      <c r="J46" s="202"/>
      <c r="K46" s="202"/>
    </row>
    <row r="47">
      <c r="A47" s="203" t="s">
        <v>391</v>
      </c>
      <c r="B47" s="203" t="s">
        <v>404</v>
      </c>
      <c r="C47" s="203" t="s">
        <v>405</v>
      </c>
      <c r="D47" s="203" t="s">
        <v>406</v>
      </c>
      <c r="E47" s="203" t="s">
        <v>407</v>
      </c>
      <c r="F47" s="203" t="s">
        <v>408</v>
      </c>
      <c r="G47" s="203" t="s">
        <v>409</v>
      </c>
      <c r="H47" s="204" t="s">
        <v>410</v>
      </c>
      <c r="I47" s="204" t="s">
        <v>411</v>
      </c>
      <c r="J47" s="204" t="s">
        <v>412</v>
      </c>
      <c r="K47" s="204" t="s">
        <v>390</v>
      </c>
    </row>
    <row r="48">
      <c r="A48" s="205">
        <f>SUM(D41:D44)</f>
      </c>
      <c r="B48" s="205">
        <f>SUM(E41:E44)</f>
      </c>
      <c r="C48" s="206">
        <f>B48/((K48*300)+A48)</f>
      </c>
      <c r="D48" s="207">
        <f>A48/J48</f>
      </c>
      <c r="E48" s="206">
        <f>B48/J48</f>
      </c>
      <c r="F48" s="208">
        <f>J48/I48</f>
      </c>
      <c r="G48" s="208">
        <f>H48/J48</f>
      </c>
      <c r="H48" s="209">
        <v>1</v>
      </c>
      <c r="I48" s="209">
        <v>33</v>
      </c>
      <c r="J48" s="209">
        <f>F45</f>
      </c>
      <c r="K48" s="210">
        <f>C45</f>
      </c>
    </row>
    <row r="49">
      <c r="A49" s="195" t="s">
        <v>423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</row>
    <row r="50">
      <c r="A50" s="196" t="s">
        <v>388</v>
      </c>
      <c r="B50" s="196" t="s">
        <v>389</v>
      </c>
      <c r="C50" s="196" t="s">
        <v>390</v>
      </c>
      <c r="D50" s="196" t="s">
        <v>391</v>
      </c>
      <c r="E50" s="197" t="s">
        <v>392</v>
      </c>
      <c r="F50" s="196" t="s">
        <v>393</v>
      </c>
      <c r="G50" s="196" t="s">
        <v>394</v>
      </c>
      <c r="H50" s="196" t="s">
        <v>395</v>
      </c>
      <c r="I50" s="196" t="s">
        <v>396</v>
      </c>
      <c r="J50" s="196" t="s">
        <v>397</v>
      </c>
      <c r="K50" s="196"/>
    </row>
    <row r="51">
      <c r="A51" s="198" t="s">
        <v>415</v>
      </c>
      <c r="B51" s="199" t="s">
        <v>399</v>
      </c>
      <c r="C51" s="198">
        <v>4</v>
      </c>
      <c r="D51" s="198">
        <v>7354.11</v>
      </c>
      <c r="E51" s="198">
        <v>13731.6</v>
      </c>
      <c r="F51" s="198">
        <v>5</v>
      </c>
      <c r="G51" s="200">
        <f t="shared" ref="G51:G55" si="95">E51/F51</f>
      </c>
      <c r="H51" s="200">
        <f t="shared" ref="H51:H55" si="5">D51/F51</f>
      </c>
      <c r="I51" s="200">
        <f t="shared" ref="I51:I55" si="35">E51/D51</f>
      </c>
      <c r="J51" s="200">
        <f t="shared" ref="J51:J55" si="65">D51/C51</f>
      </c>
      <c r="K51" s="200"/>
    </row>
    <row r="52">
      <c r="A52" s="198" t="s">
        <v>398</v>
      </c>
      <c r="B52" s="199" t="s">
        <v>414</v>
      </c>
      <c r="C52" s="198">
        <v>4</v>
      </c>
      <c r="D52" s="198">
        <v>6221.72</v>
      </c>
      <c r="E52" s="198">
        <v>10927.199999999999</v>
      </c>
      <c r="F52" s="198">
        <v>6</v>
      </c>
      <c r="G52" s="200">
        <f t="shared" si="95"/>
      </c>
      <c r="H52" s="200">
        <f t="shared" si="5"/>
      </c>
      <c r="I52" s="200">
        <f t="shared" si="35"/>
      </c>
      <c r="J52" s="200">
        <f t="shared" si="65"/>
      </c>
      <c r="K52" s="200"/>
    </row>
    <row r="53">
      <c r="A53" s="198" t="s">
        <v>400</v>
      </c>
      <c r="B53" s="211" t="s">
        <v>416</v>
      </c>
      <c r="C53" s="198">
        <v>4</v>
      </c>
      <c r="D53" s="198">
        <v>8722.269999999999</v>
      </c>
      <c r="E53" s="198">
        <v>12451.2</v>
      </c>
      <c r="F53" s="198">
        <v>8</v>
      </c>
      <c r="G53" s="200">
        <f t="shared" si="95"/>
      </c>
      <c r="H53" s="200">
        <f t="shared" si="5"/>
      </c>
      <c r="I53" s="200">
        <f t="shared" si="35"/>
      </c>
      <c r="J53" s="200">
        <f t="shared" si="65"/>
      </c>
      <c r="K53" s="200"/>
    </row>
    <row r="54">
      <c r="A54" s="198" t="s">
        <v>417</v>
      </c>
      <c r="B54" s="211" t="s">
        <v>418</v>
      </c>
      <c r="C54" s="198">
        <v>4</v>
      </c>
      <c r="D54" s="198">
        <v>7906.9100000000035</v>
      </c>
      <c r="E54" s="198">
        <v>8382</v>
      </c>
      <c r="F54" s="198">
        <v>3</v>
      </c>
      <c r="G54" s="200">
        <f t="shared" si="95"/>
      </c>
      <c r="H54" s="200">
        <f t="shared" si="5"/>
      </c>
      <c r="I54" s="200">
        <f t="shared" si="35"/>
      </c>
      <c r="J54" s="200">
        <f t="shared" si="65"/>
      </c>
      <c r="K54" s="200"/>
    </row>
    <row r="55">
      <c r="A55" s="196" t="s">
        <v>402</v>
      </c>
      <c r="B55" s="196"/>
      <c r="C55" s="196">
        <f>SUM(C51:C54)</f>
      </c>
      <c r="D55" s="196">
        <f>SUM(D51:D54)</f>
      </c>
      <c r="E55" s="196">
        <f>SUM(E51:E54)</f>
      </c>
      <c r="F55" s="196">
        <f>SUM(F51:F54)</f>
      </c>
      <c r="G55" s="201">
        <f t="shared" si="95"/>
      </c>
      <c r="H55" s="201">
        <f t="shared" si="5"/>
      </c>
      <c r="I55" s="201">
        <f t="shared" si="35"/>
      </c>
      <c r="J55" s="201">
        <f t="shared" si="65"/>
      </c>
      <c r="K55" s="201"/>
    </row>
    <row r="56">
      <c r="A56" s="202" t="s">
        <v>403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</row>
    <row r="57">
      <c r="A57" s="203" t="s">
        <v>391</v>
      </c>
      <c r="B57" s="203" t="s">
        <v>404</v>
      </c>
      <c r="C57" s="203" t="s">
        <v>405</v>
      </c>
      <c r="D57" s="203" t="s">
        <v>406</v>
      </c>
      <c r="E57" s="203" t="s">
        <v>407</v>
      </c>
      <c r="F57" s="203" t="s">
        <v>408</v>
      </c>
      <c r="G57" s="203" t="s">
        <v>409</v>
      </c>
      <c r="H57" s="204" t="s">
        <v>410</v>
      </c>
      <c r="I57" s="204" t="s">
        <v>411</v>
      </c>
      <c r="J57" s="204" t="s">
        <v>412</v>
      </c>
      <c r="K57" s="204" t="s">
        <v>390</v>
      </c>
    </row>
    <row r="58">
      <c r="A58" s="205">
        <f>SUM(D51:D54)</f>
      </c>
      <c r="B58" s="205">
        <f>SUM(E51:E54)</f>
      </c>
      <c r="C58" s="206">
        <f>B58/((K58*300)+A58)</f>
      </c>
      <c r="D58" s="207">
        <f>A58/J58</f>
      </c>
      <c r="E58" s="206">
        <f>B58/J58</f>
      </c>
      <c r="F58" s="208">
        <f>J58/I58</f>
      </c>
      <c r="G58" s="208">
        <f>H58/J58</f>
      </c>
      <c r="H58" s="209">
        <v>2</v>
      </c>
      <c r="I58" s="209">
        <v>37</v>
      </c>
      <c r="J58" s="209">
        <f>F55</f>
      </c>
      <c r="K58" s="210">
        <f>C55</f>
      </c>
    </row>
    <row r="59">
      <c r="A59" s="195" t="s">
        <v>424</v>
      </c>
      <c r="B59" s="195"/>
      <c r="C59" s="195"/>
      <c r="D59" s="195"/>
      <c r="E59" s="195"/>
      <c r="F59" s="195"/>
      <c r="G59" s="195"/>
      <c r="H59" s="195"/>
      <c r="I59" s="195"/>
      <c r="J59" s="195"/>
      <c r="K59" s="195"/>
    </row>
    <row r="60">
      <c r="A60" s="196" t="s">
        <v>388</v>
      </c>
      <c r="B60" s="196" t="s">
        <v>389</v>
      </c>
      <c r="C60" s="196" t="s">
        <v>390</v>
      </c>
      <c r="D60" s="196" t="s">
        <v>391</v>
      </c>
      <c r="E60" s="197" t="s">
        <v>392</v>
      </c>
      <c r="F60" s="196" t="s">
        <v>393</v>
      </c>
      <c r="G60" s="196" t="s">
        <v>394</v>
      </c>
      <c r="H60" s="196" t="s">
        <v>395</v>
      </c>
      <c r="I60" s="196" t="s">
        <v>396</v>
      </c>
      <c r="J60" s="196" t="s">
        <v>397</v>
      </c>
      <c r="K60" s="196"/>
    </row>
    <row r="61">
      <c r="A61" s="198" t="s">
        <v>398</v>
      </c>
      <c r="B61" s="199" t="s">
        <v>399</v>
      </c>
      <c r="C61" s="198">
        <v>4</v>
      </c>
      <c r="D61" s="198">
        <v>6877.55</v>
      </c>
      <c r="E61" s="198">
        <v>4491.6</v>
      </c>
      <c r="F61" s="198">
        <v>5</v>
      </c>
      <c r="G61" s="200">
        <f t="shared" ref="G61:G65" si="96">E61/F61</f>
      </c>
      <c r="H61" s="200">
        <f t="shared" ref="H61:H65" si="6">D61/F61</f>
      </c>
      <c r="I61" s="200">
        <f t="shared" ref="I61:I65" si="36">E61/D61</f>
      </c>
      <c r="J61" s="200">
        <f t="shared" ref="J61:J65" si="66">D61/C61</f>
      </c>
      <c r="K61" s="200"/>
    </row>
    <row r="62">
      <c r="A62" s="198" t="s">
        <v>400</v>
      </c>
      <c r="B62" s="199" t="s">
        <v>414</v>
      </c>
      <c r="C62" s="198">
        <v>4</v>
      </c>
      <c r="D62" s="198">
        <v>8746.54</v>
      </c>
      <c r="E62" s="198">
        <v>10653.199999999999</v>
      </c>
      <c r="F62" s="198">
        <v>8</v>
      </c>
      <c r="G62" s="200">
        <f t="shared" si="96"/>
      </c>
      <c r="H62" s="200">
        <f t="shared" si="6"/>
      </c>
      <c r="I62" s="200">
        <f t="shared" si="36"/>
      </c>
      <c r="J62" s="200">
        <f t="shared" si="66"/>
      </c>
      <c r="K62" s="200"/>
    </row>
    <row r="63">
      <c r="A63" s="198" t="s">
        <v>415</v>
      </c>
      <c r="B63" s="211" t="s">
        <v>416</v>
      </c>
      <c r="C63" s="198">
        <v>4</v>
      </c>
      <c r="D63" s="198">
        <v>6256.720000000001</v>
      </c>
      <c r="E63" s="198">
        <v>5279.5999999999985</v>
      </c>
      <c r="F63" s="198">
        <v>2</v>
      </c>
      <c r="G63" s="200">
        <f t="shared" si="96"/>
      </c>
      <c r="H63" s="200">
        <f t="shared" si="6"/>
      </c>
      <c r="I63" s="200">
        <f t="shared" si="36"/>
      </c>
      <c r="J63" s="200">
        <f t="shared" si="66"/>
      </c>
      <c r="K63" s="200"/>
    </row>
    <row r="64">
      <c r="A64" s="198" t="s">
        <v>421</v>
      </c>
      <c r="B64" s="211" t="s">
        <v>418</v>
      </c>
      <c r="C64" s="198">
        <v>4</v>
      </c>
      <c r="D64" s="198">
        <v>7237.509999999998</v>
      </c>
      <c r="E64" s="198">
        <v>18346.4</v>
      </c>
      <c r="F64" s="198">
        <v>7</v>
      </c>
      <c r="G64" s="200">
        <f t="shared" si="96"/>
      </c>
      <c r="H64" s="200">
        <f t="shared" si="6"/>
      </c>
      <c r="I64" s="200">
        <f t="shared" si="36"/>
      </c>
      <c r="J64" s="200">
        <f t="shared" si="66"/>
      </c>
      <c r="K64" s="200"/>
    </row>
    <row r="65">
      <c r="A65" s="196" t="s">
        <v>402</v>
      </c>
      <c r="B65" s="196"/>
      <c r="C65" s="196">
        <f>SUM(C61:C64)</f>
      </c>
      <c r="D65" s="196">
        <f>SUM(D61:D64)</f>
      </c>
      <c r="E65" s="196">
        <f>SUM(E61:E64)</f>
      </c>
      <c r="F65" s="196">
        <f>SUM(F61:F64)</f>
      </c>
      <c r="G65" s="201">
        <f t="shared" si="96"/>
      </c>
      <c r="H65" s="201">
        <f t="shared" si="6"/>
      </c>
      <c r="I65" s="201">
        <f t="shared" si="36"/>
      </c>
      <c r="J65" s="201">
        <f t="shared" si="66"/>
      </c>
      <c r="K65" s="201"/>
    </row>
    <row r="66">
      <c r="A66" s="202" t="s">
        <v>403</v>
      </c>
      <c r="B66" s="202"/>
      <c r="C66" s="202"/>
      <c r="D66" s="202"/>
      <c r="E66" s="202"/>
      <c r="F66" s="202"/>
      <c r="G66" s="202"/>
      <c r="H66" s="202"/>
      <c r="I66" s="202"/>
      <c r="J66" s="202"/>
      <c r="K66" s="202"/>
    </row>
    <row r="67">
      <c r="A67" s="203" t="s">
        <v>391</v>
      </c>
      <c r="B67" s="203" t="s">
        <v>404</v>
      </c>
      <c r="C67" s="203" t="s">
        <v>405</v>
      </c>
      <c r="D67" s="203" t="s">
        <v>406</v>
      </c>
      <c r="E67" s="203" t="s">
        <v>407</v>
      </c>
      <c r="F67" s="203" t="s">
        <v>408</v>
      </c>
      <c r="G67" s="203" t="s">
        <v>409</v>
      </c>
      <c r="H67" s="204" t="s">
        <v>410</v>
      </c>
      <c r="I67" s="204" t="s">
        <v>411</v>
      </c>
      <c r="J67" s="204" t="s">
        <v>412</v>
      </c>
      <c r="K67" s="204" t="s">
        <v>390</v>
      </c>
    </row>
    <row r="68">
      <c r="A68" s="205">
        <f>SUM(D61:D64)</f>
      </c>
      <c r="B68" s="205">
        <f>SUM(E61:E64)</f>
      </c>
      <c r="C68" s="206">
        <f>B68/((K68*300)+A68)</f>
      </c>
      <c r="D68" s="207">
        <f>A68/J68</f>
      </c>
      <c r="E68" s="206">
        <f>B68/J68</f>
      </c>
      <c r="F68" s="208">
        <f>J68/I68</f>
      </c>
      <c r="G68" s="208">
        <f>H68/J68</f>
      </c>
      <c r="H68" s="209">
        <v>2</v>
      </c>
      <c r="I68" s="209">
        <v>38</v>
      </c>
      <c r="J68" s="209">
        <v>22</v>
      </c>
      <c r="K68" s="210">
        <f>C65</f>
      </c>
    </row>
    <row r="69">
      <c r="A69" s="195" t="s">
        <v>425</v>
      </c>
      <c r="B69" s="195"/>
      <c r="C69" s="195"/>
      <c r="D69" s="195"/>
      <c r="E69" s="195"/>
      <c r="F69" s="195"/>
      <c r="G69" s="195"/>
      <c r="H69" s="195"/>
      <c r="I69" s="195"/>
      <c r="J69" s="195"/>
      <c r="K69" s="195"/>
    </row>
    <row r="70">
      <c r="A70" s="196" t="s">
        <v>388</v>
      </c>
      <c r="B70" s="196" t="s">
        <v>389</v>
      </c>
      <c r="C70" s="196" t="s">
        <v>390</v>
      </c>
      <c r="D70" s="196" t="s">
        <v>391</v>
      </c>
      <c r="E70" s="197" t="s">
        <v>392</v>
      </c>
      <c r="F70" s="196" t="s">
        <v>393</v>
      </c>
      <c r="G70" s="196" t="s">
        <v>394</v>
      </c>
      <c r="H70" s="196" t="s">
        <v>395</v>
      </c>
      <c r="I70" s="196" t="s">
        <v>396</v>
      </c>
      <c r="J70" s="196" t="s">
        <v>397</v>
      </c>
      <c r="K70" s="196"/>
    </row>
    <row r="71">
      <c r="A71" s="198" t="s">
        <v>400</v>
      </c>
      <c r="B71" s="199" t="s">
        <v>399</v>
      </c>
      <c r="C71" s="198">
        <v>4</v>
      </c>
      <c r="D71" s="198">
        <v>8432.22</v>
      </c>
      <c r="E71" s="198">
        <v>3734.8</v>
      </c>
      <c r="F71" s="198">
        <v>4</v>
      </c>
      <c r="G71" s="200">
        <f t="shared" ref="G71:G75" si="97">E71/F71</f>
      </c>
      <c r="H71" s="200">
        <f t="shared" ref="H71:H75" si="7">D71/F71</f>
      </c>
      <c r="I71" s="200">
        <f t="shared" ref="I71:I75" si="37">E71/D71</f>
      </c>
      <c r="J71" s="200">
        <f t="shared" ref="J71:J75" si="67">D71/C71</f>
      </c>
      <c r="K71" s="200"/>
    </row>
    <row r="72">
      <c r="A72" s="198" t="s">
        <v>398</v>
      </c>
      <c r="B72" s="199" t="s">
        <v>414</v>
      </c>
      <c r="C72" s="198">
        <v>4</v>
      </c>
      <c r="D72" s="198">
        <v>7085.16</v>
      </c>
      <c r="E72" s="198">
        <v>19794</v>
      </c>
      <c r="F72" s="198">
        <v>11</v>
      </c>
      <c r="G72" s="200">
        <f t="shared" si="97"/>
      </c>
      <c r="H72" s="200">
        <f t="shared" si="7"/>
      </c>
      <c r="I72" s="200">
        <f t="shared" si="37"/>
      </c>
      <c r="J72" s="200">
        <f t="shared" si="67"/>
      </c>
      <c r="K72" s="200"/>
    </row>
    <row r="73">
      <c r="A73" s="198" t="s">
        <v>415</v>
      </c>
      <c r="B73" s="211" t="s">
        <v>416</v>
      </c>
      <c r="C73" s="198">
        <v>4</v>
      </c>
      <c r="D73" s="198">
        <v>5889.999999999998</v>
      </c>
      <c r="E73" s="198">
        <v>5456.4000000000015</v>
      </c>
      <c r="F73" s="198">
        <v>3</v>
      </c>
      <c r="G73" s="200">
        <f t="shared" si="97"/>
      </c>
      <c r="H73" s="200">
        <f t="shared" si="7"/>
      </c>
      <c r="I73" s="200">
        <f t="shared" si="37"/>
      </c>
      <c r="J73" s="200">
        <f t="shared" si="67"/>
      </c>
      <c r="K73" s="200"/>
    </row>
    <row r="74">
      <c r="A74" s="198" t="s">
        <v>417</v>
      </c>
      <c r="B74" s="211" t="s">
        <v>418</v>
      </c>
      <c r="C74" s="198">
        <v>4</v>
      </c>
      <c r="D74" s="198">
        <v>8075.66</v>
      </c>
      <c r="E74" s="198">
        <v>10588.000000000004</v>
      </c>
      <c r="F74" s="198">
        <v>5</v>
      </c>
      <c r="G74" s="200">
        <f t="shared" si="97"/>
      </c>
      <c r="H74" s="200">
        <f t="shared" si="7"/>
      </c>
      <c r="I74" s="200">
        <f t="shared" si="37"/>
      </c>
      <c r="J74" s="200">
        <f t="shared" si="67"/>
      </c>
      <c r="K74" s="200"/>
    </row>
    <row r="75">
      <c r="A75" s="196" t="s">
        <v>402</v>
      </c>
      <c r="B75" s="196"/>
      <c r="C75" s="196">
        <f>SUM(C71:C74)</f>
      </c>
      <c r="D75" s="196">
        <f>SUM(D71:D74)</f>
      </c>
      <c r="E75" s="196">
        <f>SUM(E71:E74)</f>
      </c>
      <c r="F75" s="196">
        <f>SUM(F71:F74)</f>
      </c>
      <c r="G75" s="201">
        <f t="shared" si="97"/>
      </c>
      <c r="H75" s="201">
        <f t="shared" si="7"/>
      </c>
      <c r="I75" s="201">
        <f t="shared" si="37"/>
      </c>
      <c r="J75" s="201">
        <f t="shared" si="67"/>
      </c>
      <c r="K75" s="201"/>
    </row>
    <row r="76">
      <c r="A76" s="202" t="s">
        <v>403</v>
      </c>
      <c r="B76" s="202"/>
      <c r="C76" s="202"/>
      <c r="D76" s="202"/>
      <c r="E76" s="202"/>
      <c r="F76" s="202"/>
      <c r="G76" s="202"/>
      <c r="H76" s="202"/>
      <c r="I76" s="202"/>
      <c r="J76" s="202"/>
      <c r="K76" s="202"/>
    </row>
    <row r="77">
      <c r="A77" s="203" t="s">
        <v>391</v>
      </c>
      <c r="B77" s="203" t="s">
        <v>404</v>
      </c>
      <c r="C77" s="203" t="s">
        <v>405</v>
      </c>
      <c r="D77" s="203" t="s">
        <v>406</v>
      </c>
      <c r="E77" s="203" t="s">
        <v>407</v>
      </c>
      <c r="F77" s="203" t="s">
        <v>408</v>
      </c>
      <c r="G77" s="203" t="s">
        <v>409</v>
      </c>
      <c r="H77" s="204" t="s">
        <v>410</v>
      </c>
      <c r="I77" s="204" t="s">
        <v>411</v>
      </c>
      <c r="J77" s="204" t="s">
        <v>412</v>
      </c>
      <c r="K77" s="204" t="s">
        <v>390</v>
      </c>
    </row>
    <row r="78">
      <c r="A78" s="205">
        <f>SUM(D71:D74)</f>
      </c>
      <c r="B78" s="205">
        <f>SUM(E71:E74)</f>
      </c>
      <c r="C78" s="206">
        <f>B78/((K78*300)+A78)</f>
      </c>
      <c r="D78" s="207">
        <f>A78/J78</f>
      </c>
      <c r="E78" s="206">
        <f>B78/J78</f>
      </c>
      <c r="F78" s="208">
        <f>J78/I78</f>
      </c>
      <c r="G78" s="208">
        <f>H78/J78</f>
      </c>
      <c r="H78" s="209">
        <v>2</v>
      </c>
      <c r="I78" s="209">
        <v>39</v>
      </c>
      <c r="J78" s="209">
        <f>F75</f>
      </c>
      <c r="K78" s="210">
        <f>C75</f>
      </c>
    </row>
    <row r="79">
      <c r="A79" s="195" t="s">
        <v>426</v>
      </c>
      <c r="B79" s="195"/>
      <c r="C79" s="195"/>
      <c r="D79" s="195"/>
      <c r="E79" s="195"/>
      <c r="F79" s="195"/>
      <c r="G79" s="195"/>
      <c r="H79" s="195"/>
      <c r="I79" s="195"/>
      <c r="J79" s="195"/>
      <c r="K79" s="195"/>
    </row>
    <row r="80">
      <c r="A80" s="196" t="s">
        <v>388</v>
      </c>
      <c r="B80" s="196" t="s">
        <v>389</v>
      </c>
      <c r="C80" s="196" t="s">
        <v>390</v>
      </c>
      <c r="D80" s="196" t="s">
        <v>391</v>
      </c>
      <c r="E80" s="197" t="s">
        <v>392</v>
      </c>
      <c r="F80" s="196" t="s">
        <v>393</v>
      </c>
      <c r="G80" s="196" t="s">
        <v>394</v>
      </c>
      <c r="H80" s="196" t="s">
        <v>395</v>
      </c>
      <c r="I80" s="196" t="s">
        <v>396</v>
      </c>
      <c r="J80" s="196" t="s">
        <v>397</v>
      </c>
      <c r="K80" s="196"/>
    </row>
    <row r="81">
      <c r="A81" s="198" t="s">
        <v>398</v>
      </c>
      <c r="B81" s="199" t="s">
        <v>399</v>
      </c>
      <c r="C81" s="198">
        <v>4</v>
      </c>
      <c r="D81" s="198">
        <v>6756</v>
      </c>
      <c r="E81" s="198">
        <v>3253.2</v>
      </c>
      <c r="F81" s="198">
        <v>3</v>
      </c>
      <c r="G81" s="200">
        <f t="shared" ref="G81:G85" si="98">E81/F81</f>
      </c>
      <c r="H81" s="200">
        <f t="shared" ref="H81:H85" si="8">D81/F81</f>
      </c>
      <c r="I81" s="200">
        <f t="shared" ref="I81:I85" si="38">E81/D81</f>
      </c>
      <c r="J81" s="200">
        <f t="shared" ref="J81:J85" si="68">D81/C81</f>
      </c>
      <c r="K81" s="200"/>
    </row>
    <row r="82">
      <c r="A82" s="198" t="s">
        <v>421</v>
      </c>
      <c r="B82" s="199" t="s">
        <v>414</v>
      </c>
      <c r="C82" s="198">
        <v>4</v>
      </c>
      <c r="D82" s="198">
        <v>5402.46</v>
      </c>
      <c r="E82" s="198">
        <v>18064.4</v>
      </c>
      <c r="F82" s="198">
        <v>7</v>
      </c>
      <c r="G82" s="200">
        <f t="shared" si="98"/>
      </c>
      <c r="H82" s="200">
        <f t="shared" si="8"/>
      </c>
      <c r="I82" s="200">
        <f t="shared" si="38"/>
      </c>
      <c r="J82" s="200">
        <f t="shared" si="68"/>
      </c>
      <c r="K82" s="200"/>
    </row>
    <row r="83">
      <c r="A83" s="198" t="s">
        <v>415</v>
      </c>
      <c r="B83" s="199" t="s">
        <v>427</v>
      </c>
      <c r="C83" s="198">
        <v>3</v>
      </c>
      <c r="D83" s="198">
        <v>3681.32</v>
      </c>
      <c r="E83" s="198">
        <v>1088</v>
      </c>
      <c r="F83" s="198">
        <v>1</v>
      </c>
      <c r="G83" s="200">
        <f t="shared" si="98"/>
      </c>
      <c r="H83" s="200">
        <f t="shared" si="8"/>
      </c>
      <c r="I83" s="200">
        <f t="shared" si="38"/>
      </c>
      <c r="J83" s="200">
        <f t="shared" si="68"/>
      </c>
      <c r="K83" s="200"/>
    </row>
    <row r="84">
      <c r="A84" s="198" t="s">
        <v>417</v>
      </c>
      <c r="B84" s="199" t="s">
        <v>428</v>
      </c>
      <c r="C84" s="198">
        <v>5</v>
      </c>
      <c r="D84" s="198">
        <v>6562.12</v>
      </c>
      <c r="E84" s="198">
        <v>28318.2</v>
      </c>
      <c r="F84" s="198">
        <v>15</v>
      </c>
      <c r="G84" s="200">
        <f t="shared" si="98"/>
      </c>
      <c r="H84" s="200">
        <f t="shared" si="8"/>
      </c>
      <c r="I84" s="200">
        <f t="shared" si="38"/>
      </c>
      <c r="J84" s="200">
        <f t="shared" si="68"/>
      </c>
      <c r="K84" s="200"/>
    </row>
    <row r="85">
      <c r="A85" s="196" t="s">
        <v>402</v>
      </c>
      <c r="B85" s="196"/>
      <c r="C85" s="196">
        <f>SUM(C81:C84)</f>
      </c>
      <c r="D85" s="196">
        <f>SUM(D81:D84)</f>
      </c>
      <c r="E85" s="196">
        <f>SUM(E81:E84)</f>
      </c>
      <c r="F85" s="196">
        <f>SUM(F81:F84)</f>
      </c>
      <c r="G85" s="201">
        <f t="shared" si="98"/>
      </c>
      <c r="H85" s="201">
        <f t="shared" si="8"/>
      </c>
      <c r="I85" s="201">
        <f t="shared" si="38"/>
      </c>
      <c r="J85" s="201">
        <f t="shared" si="68"/>
      </c>
      <c r="K85" s="201"/>
    </row>
    <row r="86">
      <c r="A86" s="202" t="s">
        <v>403</v>
      </c>
      <c r="B86" s="202"/>
      <c r="C86" s="202"/>
      <c r="D86" s="202"/>
      <c r="E86" s="202"/>
      <c r="F86" s="202"/>
      <c r="G86" s="202"/>
      <c r="H86" s="202"/>
      <c r="I86" s="202"/>
      <c r="J86" s="202"/>
      <c r="K86" s="202"/>
    </row>
    <row r="87">
      <c r="A87" s="203" t="s">
        <v>391</v>
      </c>
      <c r="B87" s="203" t="s">
        <v>404</v>
      </c>
      <c r="C87" s="203" t="s">
        <v>405</v>
      </c>
      <c r="D87" s="203" t="s">
        <v>406</v>
      </c>
      <c r="E87" s="203" t="s">
        <v>407</v>
      </c>
      <c r="F87" s="203" t="s">
        <v>408</v>
      </c>
      <c r="G87" s="203" t="s">
        <v>409</v>
      </c>
      <c r="H87" s="204" t="s">
        <v>410</v>
      </c>
      <c r="I87" s="204" t="s">
        <v>411</v>
      </c>
      <c r="J87" s="204" t="s">
        <v>412</v>
      </c>
      <c r="K87" s="204" t="s">
        <v>390</v>
      </c>
    </row>
    <row r="88">
      <c r="A88" s="205">
        <f>SUM(D81:D84)</f>
      </c>
      <c r="B88" s="205">
        <f>SUM(E81:E84)</f>
      </c>
      <c r="C88" s="206">
        <f>B88/((K88*300)+A88)</f>
      </c>
      <c r="D88" s="207">
        <f>A88/J88</f>
      </c>
      <c r="E88" s="206">
        <f>B88/J88</f>
      </c>
      <c r="F88" s="208">
        <f>J88/I88</f>
      </c>
      <c r="G88" s="208">
        <f>H88/J88</f>
      </c>
      <c r="H88" s="209">
        <v>2</v>
      </c>
      <c r="I88" s="209">
        <v>44</v>
      </c>
      <c r="J88" s="209">
        <f>F85</f>
      </c>
      <c r="K88" s="210">
        <f>C85</f>
      </c>
    </row>
    <row r="89">
      <c r="A89" s="195" t="s">
        <v>429</v>
      </c>
      <c r="B89" s="195"/>
      <c r="C89" s="195"/>
      <c r="D89" s="195"/>
      <c r="E89" s="195"/>
      <c r="F89" s="195"/>
      <c r="G89" s="195"/>
      <c r="H89" s="195"/>
      <c r="I89" s="195"/>
      <c r="J89" s="195"/>
      <c r="K89" s="195"/>
    </row>
    <row r="90">
      <c r="A90" s="196" t="s">
        <v>388</v>
      </c>
      <c r="B90" s="196" t="s">
        <v>389</v>
      </c>
      <c r="C90" s="196" t="s">
        <v>390</v>
      </c>
      <c r="D90" s="196" t="s">
        <v>391</v>
      </c>
      <c r="E90" s="197" t="s">
        <v>392</v>
      </c>
      <c r="F90" s="196" t="s">
        <v>393</v>
      </c>
      <c r="G90" s="196" t="s">
        <v>394</v>
      </c>
      <c r="H90" s="196" t="s">
        <v>395</v>
      </c>
      <c r="I90" s="196" t="s">
        <v>396</v>
      </c>
      <c r="J90" s="196" t="s">
        <v>397</v>
      </c>
      <c r="K90" s="196"/>
    </row>
    <row r="91">
      <c r="A91" s="198" t="s">
        <v>398</v>
      </c>
      <c r="B91" s="199" t="s">
        <v>399</v>
      </c>
      <c r="C91" s="198">
        <v>4</v>
      </c>
      <c r="D91" s="198">
        <v>4239.71</v>
      </c>
      <c r="E91" s="198">
        <v>2066.4</v>
      </c>
      <c r="F91" s="198">
        <v>2</v>
      </c>
      <c r="G91" s="200">
        <f t="shared" ref="G91:G95" si="99">E91/F91</f>
      </c>
      <c r="H91" s="200">
        <f t="shared" ref="H91:H95" si="9">D91/F91</f>
      </c>
      <c r="I91" s="200">
        <f t="shared" ref="I91:I95" si="39">E91/D91</f>
      </c>
      <c r="J91" s="200">
        <f t="shared" ref="J91:J95" si="69">D91/C91</f>
      </c>
      <c r="K91" s="200"/>
    </row>
    <row r="92">
      <c r="A92" s="198" t="s">
        <v>421</v>
      </c>
      <c r="B92" s="199" t="s">
        <v>414</v>
      </c>
      <c r="C92" s="198">
        <v>4</v>
      </c>
      <c r="D92" s="198">
        <v>4160.91</v>
      </c>
      <c r="E92" s="198">
        <v>9648</v>
      </c>
      <c r="F92" s="198">
        <v>2</v>
      </c>
      <c r="G92" s="200">
        <f t="shared" si="99"/>
      </c>
      <c r="H92" s="200">
        <f t="shared" si="9"/>
      </c>
      <c r="I92" s="200">
        <f t="shared" si="39"/>
      </c>
      <c r="J92" s="200">
        <f t="shared" si="69"/>
      </c>
      <c r="K92" s="200"/>
    </row>
    <row r="93">
      <c r="A93" s="198" t="s">
        <v>417</v>
      </c>
      <c r="B93" s="199" t="s">
        <v>416</v>
      </c>
      <c r="C93" s="198">
        <v>4</v>
      </c>
      <c r="D93" s="198">
        <v>4250.17</v>
      </c>
      <c r="E93" s="198">
        <v>7694</v>
      </c>
      <c r="F93" s="198">
        <v>3</v>
      </c>
      <c r="G93" s="200">
        <f t="shared" si="99"/>
      </c>
      <c r="H93" s="200">
        <f t="shared" si="9"/>
      </c>
      <c r="I93" s="200">
        <f t="shared" si="39"/>
      </c>
      <c r="J93" s="200">
        <f t="shared" si="69"/>
      </c>
      <c r="K93" s="200"/>
    </row>
    <row r="94">
      <c r="A94" s="198" t="s">
        <v>400</v>
      </c>
      <c r="B94" s="199" t="s">
        <v>418</v>
      </c>
      <c r="C94" s="198">
        <v>4</v>
      </c>
      <c r="D94" s="198">
        <v>5637.28</v>
      </c>
      <c r="E94" s="198">
        <v>13979.4</v>
      </c>
      <c r="F94" s="198">
        <v>7</v>
      </c>
      <c r="G94" s="200">
        <f t="shared" si="99"/>
      </c>
      <c r="H94" s="200">
        <f t="shared" si="9"/>
      </c>
      <c r="I94" s="200">
        <f t="shared" si="39"/>
      </c>
      <c r="J94" s="200">
        <f t="shared" si="69"/>
      </c>
      <c r="K94" s="200"/>
    </row>
    <row r="95">
      <c r="A95" s="196" t="s">
        <v>402</v>
      </c>
      <c r="B95" s="196"/>
      <c r="C95" s="196">
        <f>SUM(C91:C94)</f>
      </c>
      <c r="D95" s="196">
        <f>SUM(D91:D94)</f>
      </c>
      <c r="E95" s="196">
        <f>SUM(E91:E94)</f>
      </c>
      <c r="F95" s="196">
        <f>SUM(F91:F94)</f>
      </c>
      <c r="G95" s="201">
        <f t="shared" si="99"/>
      </c>
      <c r="H95" s="201">
        <f t="shared" si="9"/>
      </c>
      <c r="I95" s="201">
        <f t="shared" si="39"/>
      </c>
      <c r="J95" s="201">
        <f t="shared" si="69"/>
      </c>
      <c r="K95" s="201"/>
    </row>
    <row r="96">
      <c r="A96" s="202" t="s">
        <v>403</v>
      </c>
      <c r="B96" s="202"/>
      <c r="C96" s="202"/>
      <c r="D96" s="202"/>
      <c r="E96" s="202"/>
      <c r="F96" s="202"/>
      <c r="G96" s="202"/>
      <c r="H96" s="202"/>
      <c r="I96" s="202"/>
      <c r="J96" s="202"/>
      <c r="K96" s="202"/>
    </row>
    <row r="97">
      <c r="A97" s="203" t="s">
        <v>391</v>
      </c>
      <c r="B97" s="203" t="s">
        <v>404</v>
      </c>
      <c r="C97" s="203" t="s">
        <v>405</v>
      </c>
      <c r="D97" s="203" t="s">
        <v>406</v>
      </c>
      <c r="E97" s="203" t="s">
        <v>407</v>
      </c>
      <c r="F97" s="203" t="s">
        <v>408</v>
      </c>
      <c r="G97" s="203" t="s">
        <v>409</v>
      </c>
      <c r="H97" s="204" t="s">
        <v>410</v>
      </c>
      <c r="I97" s="204" t="s">
        <v>411</v>
      </c>
      <c r="J97" s="204" t="s">
        <v>412</v>
      </c>
      <c r="K97" s="204" t="s">
        <v>390</v>
      </c>
    </row>
    <row r="98">
      <c r="A98" s="205">
        <f>SUM(D91:D94)</f>
      </c>
      <c r="B98" s="205">
        <f>SUM(E91:E94)</f>
      </c>
      <c r="C98" s="206">
        <f>B98/((K98*300)+A98)</f>
      </c>
      <c r="D98" s="207">
        <f>A98/J98</f>
      </c>
      <c r="E98" s="206">
        <f>B98/J98</f>
      </c>
      <c r="F98" s="208">
        <f>J98/I98</f>
      </c>
      <c r="G98" s="208">
        <f>H98/J98</f>
      </c>
      <c r="H98" s="209">
        <v>1</v>
      </c>
      <c r="I98" s="209">
        <v>37</v>
      </c>
      <c r="J98" s="209">
        <f>F95</f>
      </c>
      <c r="K98" s="210">
        <f>C95</f>
      </c>
    </row>
    <row r="99">
      <c r="A99" s="195" t="s">
        <v>430</v>
      </c>
      <c r="B99" s="195"/>
      <c r="C99" s="195"/>
      <c r="D99" s="195"/>
      <c r="E99" s="195"/>
      <c r="F99" s="195"/>
      <c r="G99" s="195"/>
      <c r="H99" s="195"/>
      <c r="I99" s="195"/>
      <c r="J99" s="195"/>
      <c r="K99" s="195"/>
    </row>
    <row r="100">
      <c r="A100" s="196" t="s">
        <v>388</v>
      </c>
      <c r="B100" s="196" t="s">
        <v>389</v>
      </c>
      <c r="C100" s="196" t="s">
        <v>390</v>
      </c>
      <c r="D100" s="196" t="s">
        <v>391</v>
      </c>
      <c r="E100" s="197" t="s">
        <v>392</v>
      </c>
      <c r="F100" s="196" t="s">
        <v>393</v>
      </c>
      <c r="G100" s="196" t="s">
        <v>394</v>
      </c>
      <c r="H100" s="196" t="s">
        <v>395</v>
      </c>
      <c r="I100" s="196" t="s">
        <v>396</v>
      </c>
      <c r="J100" s="196" t="s">
        <v>397</v>
      </c>
      <c r="K100" s="196"/>
    </row>
    <row r="101">
      <c r="A101" s="198" t="s">
        <v>398</v>
      </c>
      <c r="B101" s="199" t="s">
        <v>399</v>
      </c>
      <c r="C101" s="198">
        <v>4</v>
      </c>
      <c r="D101" s="198">
        <v>4140.969999999999</v>
      </c>
      <c r="E101" s="198">
        <v>5766.799999999999</v>
      </c>
      <c r="F101" s="198">
        <v>4</v>
      </c>
      <c r="G101" s="200">
        <f t="shared" ref="G101:G105" si="100">E101/F101</f>
      </c>
      <c r="H101" s="200">
        <f t="shared" ref="H101:H105" si="10">D101/F101</f>
      </c>
      <c r="I101" s="200">
        <f t="shared" ref="I101:I105" si="40">E101/D101</f>
      </c>
      <c r="J101" s="200">
        <f t="shared" ref="J101:J105" si="70">D101/C101</f>
      </c>
      <c r="K101" s="200"/>
    </row>
    <row r="102">
      <c r="A102" s="198" t="s">
        <v>417</v>
      </c>
      <c r="B102" s="199" t="s">
        <v>414</v>
      </c>
      <c r="C102" s="198">
        <v>4</v>
      </c>
      <c r="D102" s="198">
        <v>4493.660000000002</v>
      </c>
      <c r="E102" s="198">
        <v>11543.600000000002</v>
      </c>
      <c r="F102" s="198">
        <v>7</v>
      </c>
      <c r="G102" s="200">
        <f t="shared" si="100"/>
      </c>
      <c r="H102" s="200">
        <f t="shared" si="10"/>
      </c>
      <c r="I102" s="200">
        <f t="shared" si="40"/>
      </c>
      <c r="J102" s="200">
        <f t="shared" si="70"/>
      </c>
      <c r="K102" s="200"/>
    </row>
    <row r="103">
      <c r="A103" s="198" t="s">
        <v>415</v>
      </c>
      <c r="B103" s="199" t="s">
        <v>416</v>
      </c>
      <c r="C103" s="198">
        <v>4</v>
      </c>
      <c r="D103" s="198">
        <v>5381.979999999998</v>
      </c>
      <c r="E103" s="198">
        <v>1088</v>
      </c>
      <c r="F103" s="198">
        <v>1</v>
      </c>
      <c r="G103" s="200">
        <f t="shared" si="100"/>
      </c>
      <c r="H103" s="200">
        <f t="shared" si="10"/>
      </c>
      <c r="I103" s="200">
        <f t="shared" si="40"/>
      </c>
      <c r="J103" s="200">
        <f t="shared" si="70"/>
      </c>
      <c r="K103" s="200"/>
    </row>
    <row r="104">
      <c r="A104" s="198" t="s">
        <v>400</v>
      </c>
      <c r="B104" s="199" t="s">
        <v>418</v>
      </c>
      <c r="C104" s="198">
        <v>4</v>
      </c>
      <c r="D104" s="198">
        <v>7892.289999999999</v>
      </c>
      <c r="E104" s="198">
        <v>13459.999999999996</v>
      </c>
      <c r="F104" s="198">
        <v>6</v>
      </c>
      <c r="G104" s="200">
        <f t="shared" si="100"/>
      </c>
      <c r="H104" s="200">
        <f t="shared" si="10"/>
      </c>
      <c r="I104" s="200">
        <f t="shared" si="40"/>
      </c>
      <c r="J104" s="200">
        <f t="shared" si="70"/>
      </c>
      <c r="K104" s="200"/>
    </row>
    <row r="105">
      <c r="A105" s="196" t="s">
        <v>402</v>
      </c>
      <c r="B105" s="196"/>
      <c r="C105" s="196">
        <f>SUM(C101:C104)</f>
      </c>
      <c r="D105" s="196">
        <f>SUM(D101:D104)</f>
      </c>
      <c r="E105" s="196">
        <f>SUM(E101:E104)</f>
      </c>
      <c r="F105" s="196">
        <f>SUM(F101:F104)</f>
      </c>
      <c r="G105" s="201">
        <f t="shared" si="100"/>
      </c>
      <c r="H105" s="201">
        <f t="shared" si="10"/>
      </c>
      <c r="I105" s="201">
        <f t="shared" si="40"/>
      </c>
      <c r="J105" s="201">
        <f t="shared" si="70"/>
      </c>
      <c r="K105" s="201"/>
    </row>
    <row r="106">
      <c r="A106" s="202" t="s">
        <v>403</v>
      </c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</row>
    <row r="107">
      <c r="A107" s="203" t="s">
        <v>391</v>
      </c>
      <c r="B107" s="203" t="s">
        <v>404</v>
      </c>
      <c r="C107" s="203" t="s">
        <v>405</v>
      </c>
      <c r="D107" s="203" t="s">
        <v>406</v>
      </c>
      <c r="E107" s="203" t="s">
        <v>407</v>
      </c>
      <c r="F107" s="203" t="s">
        <v>408</v>
      </c>
      <c r="G107" s="203" t="s">
        <v>409</v>
      </c>
      <c r="H107" s="204" t="s">
        <v>410</v>
      </c>
      <c r="I107" s="204" t="s">
        <v>411</v>
      </c>
      <c r="J107" s="204" t="s">
        <v>412</v>
      </c>
      <c r="K107" s="204" t="s">
        <v>390</v>
      </c>
    </row>
    <row r="108">
      <c r="A108" s="205">
        <f>SUM(D101:D104)</f>
      </c>
      <c r="B108" s="205">
        <f>SUM(E101:E104)</f>
      </c>
      <c r="C108" s="206">
        <f>B108/((K108*300)+A108)</f>
      </c>
      <c r="D108" s="207">
        <f>A108/J108</f>
      </c>
      <c r="E108" s="206">
        <f>B108/J108</f>
      </c>
      <c r="F108" s="208">
        <f>J108/I108</f>
      </c>
      <c r="G108" s="208">
        <f>H108/J108</f>
      </c>
      <c r="H108" s="209">
        <v>2</v>
      </c>
      <c r="I108" s="209">
        <v>33</v>
      </c>
      <c r="J108" s="209">
        <f>F105</f>
      </c>
      <c r="K108" s="210">
        <f>C105</f>
      </c>
    </row>
    <row r="109">
      <c r="A109" s="195" t="s">
        <v>431</v>
      </c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</row>
    <row r="110">
      <c r="A110" s="196" t="s">
        <v>388</v>
      </c>
      <c r="B110" s="196" t="s">
        <v>389</v>
      </c>
      <c r="C110" s="196" t="s">
        <v>390</v>
      </c>
      <c r="D110" s="196" t="s">
        <v>391</v>
      </c>
      <c r="E110" s="197" t="s">
        <v>392</v>
      </c>
      <c r="F110" s="196" t="s">
        <v>393</v>
      </c>
      <c r="G110" s="196" t="s">
        <v>394</v>
      </c>
      <c r="H110" s="196" t="s">
        <v>395</v>
      </c>
      <c r="I110" s="196" t="s">
        <v>396</v>
      </c>
      <c r="J110" s="196" t="s">
        <v>397</v>
      </c>
      <c r="K110" s="196"/>
    </row>
    <row r="111">
      <c r="A111" s="198" t="s">
        <v>398</v>
      </c>
      <c r="B111" s="199" t="s">
        <v>432</v>
      </c>
      <c r="C111" s="198">
        <v>5</v>
      </c>
      <c r="D111" s="198">
        <v>5660.82</v>
      </c>
      <c r="E111" s="198">
        <v>7132.800000000001</v>
      </c>
      <c r="F111" s="198">
        <v>3</v>
      </c>
      <c r="G111" s="200">
        <f t="shared" ref="G111:G114" si="101">E111/F111</f>
      </c>
      <c r="H111" s="200">
        <f t="shared" ref="H111:H114" si="11">D111/F111</f>
      </c>
      <c r="I111" s="200">
        <f t="shared" ref="I111:I114" si="41">E111/D111</f>
      </c>
      <c r="J111" s="200">
        <f t="shared" ref="J111:J114" si="71">D111/C111</f>
      </c>
      <c r="K111" s="200"/>
    </row>
    <row r="112">
      <c r="A112" s="198" t="s">
        <v>400</v>
      </c>
      <c r="B112" s="199" t="s">
        <v>433</v>
      </c>
      <c r="C112" s="198">
        <v>5</v>
      </c>
      <c r="D112" s="198">
        <v>8274.16</v>
      </c>
      <c r="E112" s="198">
        <v>9410.000000000002</v>
      </c>
      <c r="F112" s="198">
        <v>6</v>
      </c>
      <c r="G112" s="200">
        <f t="shared" si="101"/>
      </c>
      <c r="H112" s="200">
        <f t="shared" si="11"/>
      </c>
      <c r="I112" s="200">
        <f t="shared" si="41"/>
      </c>
      <c r="J112" s="200">
        <f t="shared" si="71"/>
      </c>
      <c r="K112" s="200"/>
    </row>
    <row r="113">
      <c r="A113" s="198" t="s">
        <v>417</v>
      </c>
      <c r="B113" s="199" t="s">
        <v>434</v>
      </c>
      <c r="C113" s="198">
        <v>5</v>
      </c>
      <c r="D113" s="198">
        <v>9203.279999999999</v>
      </c>
      <c r="E113" s="198">
        <v>20452.799999999996</v>
      </c>
      <c r="F113" s="198">
        <v>9</v>
      </c>
      <c r="G113" s="200">
        <f t="shared" si="101"/>
      </c>
      <c r="H113" s="200">
        <f t="shared" si="11"/>
      </c>
      <c r="I113" s="200">
        <f t="shared" si="41"/>
      </c>
      <c r="J113" s="200">
        <f t="shared" si="71"/>
      </c>
      <c r="K113" s="200"/>
    </row>
    <row r="114">
      <c r="A114" s="196" t="s">
        <v>402</v>
      </c>
      <c r="B114" s="196"/>
      <c r="C114" s="196">
        <f>SUM(C111:C113)</f>
      </c>
      <c r="D114" s="196">
        <f>SUM(D111:D113)</f>
      </c>
      <c r="E114" s="196">
        <f>SUM(E111:E113)</f>
      </c>
      <c r="F114" s="196">
        <f>SUM(F111:F113)</f>
      </c>
      <c r="G114" s="201">
        <f t="shared" si="101"/>
      </c>
      <c r="H114" s="201">
        <f t="shared" si="11"/>
      </c>
      <c r="I114" s="201">
        <f t="shared" si="41"/>
      </c>
      <c r="J114" s="201">
        <f t="shared" si="71"/>
      </c>
      <c r="K114" s="201"/>
    </row>
    <row r="115">
      <c r="A115" s="202" t="s">
        <v>403</v>
      </c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</row>
    <row r="116">
      <c r="A116" s="203" t="s">
        <v>391</v>
      </c>
      <c r="B116" s="203" t="s">
        <v>404</v>
      </c>
      <c r="C116" s="203" t="s">
        <v>405</v>
      </c>
      <c r="D116" s="203" t="s">
        <v>406</v>
      </c>
      <c r="E116" s="203" t="s">
        <v>407</v>
      </c>
      <c r="F116" s="203" t="s">
        <v>408</v>
      </c>
      <c r="G116" s="203" t="s">
        <v>409</v>
      </c>
      <c r="H116" s="204" t="s">
        <v>410</v>
      </c>
      <c r="I116" s="204" t="s">
        <v>411</v>
      </c>
      <c r="J116" s="204" t="s">
        <v>412</v>
      </c>
      <c r="K116" s="204" t="s">
        <v>390</v>
      </c>
    </row>
    <row r="117">
      <c r="A117" s="205">
        <f>SUM(D111:D113)</f>
      </c>
      <c r="B117" s="205">
        <f>SUM(E111:E113)</f>
      </c>
      <c r="C117" s="206">
        <f>B117/((K117*300)+A117)</f>
      </c>
      <c r="D117" s="207">
        <f>A117/J117</f>
      </c>
      <c r="E117" s="206">
        <f>B117/J117</f>
      </c>
      <c r="F117" s="208">
        <f>J117/I117</f>
      </c>
      <c r="G117" s="208">
        <f>H117/J117</f>
      </c>
      <c r="H117" s="209">
        <v>1</v>
      </c>
      <c r="I117" s="209">
        <v>24</v>
      </c>
      <c r="J117" s="209">
        <f>F114</f>
      </c>
      <c r="K117" s="209">
        <v>15</v>
      </c>
    </row>
    <row r="118">
      <c r="A118" s="195" t="s">
        <v>435</v>
      </c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</row>
    <row r="119">
      <c r="A119" s="196" t="s">
        <v>388</v>
      </c>
      <c r="B119" s="196" t="s">
        <v>389</v>
      </c>
      <c r="C119" s="196" t="s">
        <v>390</v>
      </c>
      <c r="D119" s="196" t="s">
        <v>391</v>
      </c>
      <c r="E119" s="197" t="s">
        <v>392</v>
      </c>
      <c r="F119" s="196" t="s">
        <v>393</v>
      </c>
      <c r="G119" s="196" t="s">
        <v>394</v>
      </c>
      <c r="H119" s="196" t="s">
        <v>395</v>
      </c>
      <c r="I119" s="196" t="s">
        <v>396</v>
      </c>
      <c r="J119" s="196" t="s">
        <v>397</v>
      </c>
      <c r="K119" s="196"/>
    </row>
    <row r="120">
      <c r="A120" s="198" t="s">
        <v>400</v>
      </c>
      <c r="B120" s="199" t="s">
        <v>399</v>
      </c>
      <c r="C120" s="198">
        <v>4</v>
      </c>
      <c r="D120" s="198">
        <v>6761.38</v>
      </c>
      <c r="E120" s="198">
        <v>15249.2</v>
      </c>
      <c r="F120" s="198">
        <v>8</v>
      </c>
      <c r="G120" s="200">
        <f t="shared" ref="G120:G124" si="102">E120/F120</f>
      </c>
      <c r="H120" s="200">
        <f t="shared" ref="H120:H124" si="12">D120/F120</f>
      </c>
      <c r="I120" s="200">
        <f t="shared" ref="I120:I124" si="42">E120/D120</f>
      </c>
      <c r="J120" s="200">
        <f t="shared" ref="J120:J124" si="72">D120/C120</f>
      </c>
      <c r="K120" s="200"/>
    </row>
    <row r="121">
      <c r="A121" s="198" t="s">
        <v>421</v>
      </c>
      <c r="B121" s="199" t="s">
        <v>414</v>
      </c>
      <c r="C121" s="198">
        <v>4</v>
      </c>
      <c r="D121" s="198">
        <v>5937.809999999999</v>
      </c>
      <c r="E121" s="198">
        <v>12108.8</v>
      </c>
      <c r="F121" s="198">
        <v>6</v>
      </c>
      <c r="G121" s="200">
        <f t="shared" si="102"/>
      </c>
      <c r="H121" s="200">
        <f t="shared" si="12"/>
      </c>
      <c r="I121" s="200">
        <f t="shared" si="42"/>
      </c>
      <c r="J121" s="200">
        <f t="shared" si="72"/>
      </c>
      <c r="K121" s="200"/>
    </row>
    <row r="122">
      <c r="A122" s="198" t="s">
        <v>398</v>
      </c>
      <c r="B122" s="199" t="s">
        <v>416</v>
      </c>
      <c r="C122" s="198">
        <v>4</v>
      </c>
      <c r="D122" s="198">
        <v>5539.25</v>
      </c>
      <c r="E122" s="198">
        <v>7830.600000000006</v>
      </c>
      <c r="F122" s="198">
        <v>6</v>
      </c>
      <c r="G122" s="200">
        <f t="shared" si="102"/>
      </c>
      <c r="H122" s="200">
        <f t="shared" si="12"/>
      </c>
      <c r="I122" s="200">
        <f t="shared" si="42"/>
      </c>
      <c r="J122" s="200">
        <f t="shared" si="72"/>
      </c>
      <c r="K122" s="200"/>
    </row>
    <row r="123">
      <c r="A123" s="198" t="s">
        <v>417</v>
      </c>
      <c r="B123" s="199" t="s">
        <v>418</v>
      </c>
      <c r="C123" s="198">
        <v>4</v>
      </c>
      <c r="D123" s="198">
        <v>6620.09</v>
      </c>
      <c r="E123" s="198">
        <v>2855.9999999999927</v>
      </c>
      <c r="F123" s="198">
        <v>2</v>
      </c>
      <c r="G123" s="200">
        <f t="shared" si="102"/>
      </c>
      <c r="H123" s="200">
        <f t="shared" si="12"/>
      </c>
      <c r="I123" s="200">
        <f t="shared" si="42"/>
      </c>
      <c r="J123" s="200">
        <f t="shared" si="72"/>
      </c>
      <c r="K123" s="200"/>
    </row>
    <row r="124">
      <c r="A124" s="196" t="s">
        <v>402</v>
      </c>
      <c r="B124" s="196"/>
      <c r="C124" s="196">
        <f>SUM(C120:C123)</f>
      </c>
      <c r="D124" s="196">
        <f>SUM(D120:D123)</f>
      </c>
      <c r="E124" s="196">
        <f>SUM(E120:E123)</f>
      </c>
      <c r="F124" s="196">
        <f>SUM(F120:F123)</f>
      </c>
      <c r="G124" s="201">
        <f t="shared" si="102"/>
      </c>
      <c r="H124" s="201">
        <f t="shared" si="12"/>
      </c>
      <c r="I124" s="201">
        <f t="shared" si="42"/>
      </c>
      <c r="J124" s="201">
        <f t="shared" si="72"/>
      </c>
      <c r="K124" s="201"/>
    </row>
    <row r="125">
      <c r="A125" s="202" t="s">
        <v>403</v>
      </c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</row>
    <row r="126">
      <c r="A126" s="203" t="s">
        <v>391</v>
      </c>
      <c r="B126" s="203" t="s">
        <v>404</v>
      </c>
      <c r="C126" s="203" t="s">
        <v>405</v>
      </c>
      <c r="D126" s="203" t="s">
        <v>406</v>
      </c>
      <c r="E126" s="203" t="s">
        <v>407</v>
      </c>
      <c r="F126" s="203" t="s">
        <v>408</v>
      </c>
      <c r="G126" s="203" t="s">
        <v>409</v>
      </c>
      <c r="H126" s="204" t="s">
        <v>410</v>
      </c>
      <c r="I126" s="204" t="s">
        <v>411</v>
      </c>
      <c r="J126" s="204" t="s">
        <v>412</v>
      </c>
      <c r="K126" s="204" t="s">
        <v>390</v>
      </c>
    </row>
    <row r="127">
      <c r="A127" s="205">
        <f>SUM(D120:D123)</f>
      </c>
      <c r="B127" s="205">
        <f>SUM(E120:E123)</f>
      </c>
      <c r="C127" s="206">
        <f>B127/((K127*300)+A127)</f>
      </c>
      <c r="D127" s="207">
        <f>A127/J127</f>
      </c>
      <c r="E127" s="206">
        <f>B127/J127</f>
      </c>
      <c r="F127" s="208">
        <f>J127/I127</f>
      </c>
      <c r="G127" s="208">
        <f>H127/J127</f>
      </c>
      <c r="H127" s="209">
        <v>2</v>
      </c>
      <c r="I127" s="209">
        <v>35</v>
      </c>
      <c r="J127" s="209">
        <f>F124</f>
      </c>
      <c r="K127" s="209">
        <v>16</v>
      </c>
    </row>
    <row r="128">
      <c r="A128" s="195" t="s">
        <v>436</v>
      </c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</row>
    <row r="129">
      <c r="A129" s="196" t="s">
        <v>388</v>
      </c>
      <c r="B129" s="196" t="s">
        <v>389</v>
      </c>
      <c r="C129" s="196" t="s">
        <v>390</v>
      </c>
      <c r="D129" s="196" t="s">
        <v>391</v>
      </c>
      <c r="E129" s="197" t="s">
        <v>392</v>
      </c>
      <c r="F129" s="196" t="s">
        <v>393</v>
      </c>
      <c r="G129" s="196" t="s">
        <v>394</v>
      </c>
      <c r="H129" s="196" t="s">
        <v>395</v>
      </c>
      <c r="I129" s="196" t="s">
        <v>396</v>
      </c>
      <c r="J129" s="196" t="s">
        <v>397</v>
      </c>
      <c r="K129" s="196"/>
    </row>
    <row r="130">
      <c r="A130" s="198" t="s">
        <v>400</v>
      </c>
      <c r="B130" s="199" t="s">
        <v>399</v>
      </c>
      <c r="C130" s="198">
        <v>4</v>
      </c>
      <c r="D130" s="198">
        <v>5507.389999999999</v>
      </c>
      <c r="E130" s="198">
        <v>17581.199999999997</v>
      </c>
      <c r="F130" s="198">
        <v>8</v>
      </c>
      <c r="G130" s="200">
        <f t="shared" ref="G130:G133" si="103">E130/F130</f>
      </c>
      <c r="H130" s="200">
        <f t="shared" ref="H130:H133" si="13">D130/F130</f>
      </c>
      <c r="I130" s="200">
        <f t="shared" ref="I130:I133" si="43">E130/D130</f>
      </c>
      <c r="J130" s="200">
        <f t="shared" ref="J130:J133" si="73">D130/C130</f>
      </c>
      <c r="K130" s="200"/>
    </row>
    <row r="131">
      <c r="A131" s="198" t="s">
        <v>421</v>
      </c>
      <c r="B131" s="199" t="s">
        <v>414</v>
      </c>
      <c r="C131" s="198">
        <v>4</v>
      </c>
      <c r="D131" s="198">
        <v>7307.130000000001</v>
      </c>
      <c r="E131" s="198">
        <v>13580.400000000001</v>
      </c>
      <c r="F131" s="198">
        <v>9</v>
      </c>
      <c r="G131" s="200">
        <f t="shared" si="103"/>
      </c>
      <c r="H131" s="200">
        <f t="shared" si="13"/>
      </c>
      <c r="I131" s="200">
        <f t="shared" si="43"/>
      </c>
      <c r="J131" s="200">
        <f t="shared" si="73"/>
      </c>
      <c r="K131" s="200"/>
    </row>
    <row r="132">
      <c r="A132" s="198" t="s">
        <v>398</v>
      </c>
      <c r="B132" s="199" t="s">
        <v>416</v>
      </c>
      <c r="C132" s="198">
        <v>4</v>
      </c>
      <c r="D132" s="198">
        <v>7505.689999999999</v>
      </c>
      <c r="E132" s="198">
        <v>4733.4000000000015</v>
      </c>
      <c r="F132" s="198">
        <v>4</v>
      </c>
      <c r="G132" s="200">
        <f t="shared" si="103"/>
      </c>
      <c r="H132" s="200">
        <f t="shared" si="13"/>
      </c>
      <c r="I132" s="200">
        <f t="shared" si="43"/>
      </c>
      <c r="J132" s="200">
        <f t="shared" si="73"/>
      </c>
      <c r="K132" s="200"/>
    </row>
    <row r="133">
      <c r="A133" s="196" t="s">
        <v>402</v>
      </c>
      <c r="B133" s="196"/>
      <c r="C133" s="196">
        <f>SUM(C130:C132)</f>
      </c>
      <c r="D133" s="196">
        <f>SUM(D130:D132)</f>
      </c>
      <c r="E133" s="196">
        <f>SUM(E130:E132)</f>
      </c>
      <c r="F133" s="196">
        <f>SUM(F130:F132)</f>
      </c>
      <c r="G133" s="201">
        <f t="shared" si="103"/>
      </c>
      <c r="H133" s="201">
        <f t="shared" si="13"/>
      </c>
      <c r="I133" s="201">
        <f t="shared" si="43"/>
      </c>
      <c r="J133" s="201">
        <f t="shared" si="73"/>
      </c>
      <c r="K133" s="201"/>
    </row>
    <row r="134">
      <c r="A134" s="202" t="s">
        <v>403</v>
      </c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</row>
    <row r="135">
      <c r="A135" s="203" t="s">
        <v>391</v>
      </c>
      <c r="B135" s="203" t="s">
        <v>404</v>
      </c>
      <c r="C135" s="203" t="s">
        <v>405</v>
      </c>
      <c r="D135" s="203" t="s">
        <v>406</v>
      </c>
      <c r="E135" s="203" t="s">
        <v>407</v>
      </c>
      <c r="F135" s="203" t="s">
        <v>408</v>
      </c>
      <c r="G135" s="203" t="s">
        <v>409</v>
      </c>
      <c r="H135" s="204" t="s">
        <v>410</v>
      </c>
      <c r="I135" s="204" t="s">
        <v>411</v>
      </c>
      <c r="J135" s="204" t="s">
        <v>412</v>
      </c>
      <c r="K135" s="204" t="s">
        <v>390</v>
      </c>
    </row>
    <row r="136">
      <c r="A136" s="205">
        <f>SUM(D130:D132)</f>
      </c>
      <c r="B136" s="205">
        <f>SUM(E130:E132)</f>
      </c>
      <c r="C136" s="206">
        <f>B136/((K136*300)+A136)</f>
      </c>
      <c r="D136" s="207">
        <f>A136/J136</f>
      </c>
      <c r="E136" s="206">
        <f>B136/J136</f>
      </c>
      <c r="F136" s="208">
        <f>J136/I136</f>
      </c>
      <c r="G136" s="208">
        <f>H136/J136</f>
      </c>
      <c r="H136" s="209">
        <v>1</v>
      </c>
      <c r="I136" s="209">
        <v>28</v>
      </c>
      <c r="J136" s="209">
        <f>F133</f>
      </c>
      <c r="K136" s="209">
        <v>12</v>
      </c>
    </row>
    <row r="137">
      <c r="A137" s="195" t="s">
        <v>437</v>
      </c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</row>
    <row r="138">
      <c r="A138" s="196" t="s">
        <v>388</v>
      </c>
      <c r="B138" s="196" t="s">
        <v>389</v>
      </c>
      <c r="C138" s="196" t="s">
        <v>390</v>
      </c>
      <c r="D138" s="196" t="s">
        <v>391</v>
      </c>
      <c r="E138" s="197" t="s">
        <v>392</v>
      </c>
      <c r="F138" s="196" t="s">
        <v>393</v>
      </c>
      <c r="G138" s="196" t="s">
        <v>394</v>
      </c>
      <c r="H138" s="196" t="s">
        <v>395</v>
      </c>
      <c r="I138" s="196" t="s">
        <v>396</v>
      </c>
      <c r="J138" s="196" t="s">
        <v>397</v>
      </c>
      <c r="K138" s="196"/>
    </row>
    <row r="139">
      <c r="A139" s="198" t="s">
        <v>398</v>
      </c>
      <c r="B139" s="199" t="s">
        <v>399</v>
      </c>
      <c r="C139" s="198">
        <v>4</v>
      </c>
      <c r="D139" s="198">
        <v>2957.42</v>
      </c>
      <c r="E139" s="198">
        <v>3900</v>
      </c>
      <c r="F139" s="198">
        <v>3</v>
      </c>
      <c r="G139" s="200">
        <f t="shared" ref="G139:G143" si="104">E139/F139</f>
      </c>
      <c r="H139" s="200">
        <f t="shared" ref="H139:H143" si="14">D139/F139</f>
      </c>
      <c r="I139" s="200">
        <f t="shared" ref="I139:I143" si="44">E139/D139</f>
      </c>
      <c r="J139" s="200">
        <f t="shared" ref="J139:J143" si="74">D139/C139</f>
      </c>
      <c r="K139" s="200"/>
    </row>
    <row r="140">
      <c r="A140" s="198" t="s">
        <v>421</v>
      </c>
      <c r="B140" s="199" t="s">
        <v>414</v>
      </c>
      <c r="C140" s="198">
        <v>4</v>
      </c>
      <c r="D140" s="198">
        <v>4531.45</v>
      </c>
      <c r="E140" s="198">
        <v>879.6</v>
      </c>
      <c r="F140" s="198">
        <v>1</v>
      </c>
      <c r="G140" s="200">
        <f t="shared" si="104"/>
      </c>
      <c r="H140" s="200">
        <f t="shared" si="14"/>
      </c>
      <c r="I140" s="200">
        <f t="shared" si="44"/>
      </c>
      <c r="J140" s="200">
        <f t="shared" si="74"/>
      </c>
      <c r="K140" s="200"/>
    </row>
    <row r="141">
      <c r="A141" s="198" t="s">
        <v>417</v>
      </c>
      <c r="B141" s="199" t="s">
        <v>416</v>
      </c>
      <c r="C141" s="198">
        <v>4</v>
      </c>
      <c r="D141" s="198">
        <v>3337.26</v>
      </c>
      <c r="E141" s="198">
        <v>4756.8</v>
      </c>
      <c r="F141" s="198">
        <v>4</v>
      </c>
      <c r="G141" s="200">
        <f t="shared" si="104"/>
      </c>
      <c r="H141" s="200">
        <f t="shared" si="14"/>
      </c>
      <c r="I141" s="200">
        <f t="shared" si="44"/>
      </c>
      <c r="J141" s="200">
        <f t="shared" si="74"/>
      </c>
      <c r="K141" s="200"/>
    </row>
    <row r="142">
      <c r="A142" s="198" t="s">
        <v>400</v>
      </c>
      <c r="B142" s="199" t="s">
        <v>418</v>
      </c>
      <c r="C142" s="198">
        <v>4</v>
      </c>
      <c r="D142" s="198">
        <v>7401.53</v>
      </c>
      <c r="E142" s="198">
        <v>8623.4</v>
      </c>
      <c r="F142" s="198">
        <v>5</v>
      </c>
      <c r="G142" s="200">
        <f t="shared" si="104"/>
      </c>
      <c r="H142" s="200">
        <f t="shared" si="14"/>
      </c>
      <c r="I142" s="200">
        <f t="shared" si="44"/>
      </c>
      <c r="J142" s="200">
        <f t="shared" si="74"/>
      </c>
      <c r="K142" s="200"/>
    </row>
    <row r="143">
      <c r="A143" s="196" t="s">
        <v>402</v>
      </c>
      <c r="B143" s="196"/>
      <c r="C143" s="196">
        <f>SUM(C139:C142)</f>
      </c>
      <c r="D143" s="196">
        <f>SUM(D139:D142)</f>
      </c>
      <c r="E143" s="196">
        <f>SUM(E139:E142)</f>
      </c>
      <c r="F143" s="196">
        <f>SUM(F139:F142)</f>
      </c>
      <c r="G143" s="201">
        <f t="shared" si="104"/>
      </c>
      <c r="H143" s="201">
        <f t="shared" si="14"/>
      </c>
      <c r="I143" s="201">
        <f t="shared" si="44"/>
      </c>
      <c r="J143" s="201">
        <f t="shared" si="74"/>
      </c>
      <c r="K143" s="201"/>
    </row>
    <row r="144">
      <c r="A144" s="202" t="s">
        <v>403</v>
      </c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</row>
    <row r="145">
      <c r="A145" s="203" t="s">
        <v>391</v>
      </c>
      <c r="B145" s="203" t="s">
        <v>404</v>
      </c>
      <c r="C145" s="203" t="s">
        <v>405</v>
      </c>
      <c r="D145" s="203" t="s">
        <v>406</v>
      </c>
      <c r="E145" s="203" t="s">
        <v>407</v>
      </c>
      <c r="F145" s="203" t="s">
        <v>408</v>
      </c>
      <c r="G145" s="203" t="s">
        <v>409</v>
      </c>
      <c r="H145" s="204" t="s">
        <v>410</v>
      </c>
      <c r="I145" s="204" t="s">
        <v>411</v>
      </c>
      <c r="J145" s="204" t="s">
        <v>412</v>
      </c>
      <c r="K145" s="204" t="s">
        <v>390</v>
      </c>
    </row>
    <row r="146">
      <c r="A146" s="205">
        <f>SUM(D139:D142)</f>
      </c>
      <c r="B146" s="205">
        <f>SUM(E139:E142)</f>
      </c>
      <c r="C146" s="206">
        <f>B146/((K146*300)+A146)</f>
      </c>
      <c r="D146" s="207">
        <f>A146/J146</f>
      </c>
      <c r="E146" s="206">
        <f>B146/J146</f>
      </c>
      <c r="F146" s="208">
        <f>J146/I146</f>
      </c>
      <c r="G146" s="208">
        <f>H146/J146</f>
      </c>
      <c r="H146" s="209">
        <v>3</v>
      </c>
      <c r="I146" s="209">
        <v>19</v>
      </c>
      <c r="J146" s="209">
        <f>F143</f>
      </c>
      <c r="K146" s="209">
        <v>16</v>
      </c>
    </row>
    <row r="147">
      <c r="A147" s="195" t="s">
        <v>438</v>
      </c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</row>
    <row r="148">
      <c r="A148" s="196" t="s">
        <v>388</v>
      </c>
      <c r="B148" s="196" t="s">
        <v>389</v>
      </c>
      <c r="C148" s="196" t="s">
        <v>390</v>
      </c>
      <c r="D148" s="196" t="s">
        <v>391</v>
      </c>
      <c r="E148" s="197" t="s">
        <v>392</v>
      </c>
      <c r="F148" s="196" t="s">
        <v>393</v>
      </c>
      <c r="G148" s="196" t="s">
        <v>394</v>
      </c>
      <c r="H148" s="196" t="s">
        <v>395</v>
      </c>
      <c r="I148" s="196" t="s">
        <v>396</v>
      </c>
      <c r="J148" s="196" t="s">
        <v>397</v>
      </c>
      <c r="K148" s="196"/>
    </row>
    <row r="149">
      <c r="A149" s="212" t="s">
        <v>415</v>
      </c>
      <c r="B149" s="199" t="s">
        <v>399</v>
      </c>
      <c r="C149" s="198">
        <v>4</v>
      </c>
      <c r="D149" s="198">
        <v>3153.62</v>
      </c>
      <c r="E149" s="198">
        <v>10018.4</v>
      </c>
      <c r="F149" s="198">
        <v>5</v>
      </c>
      <c r="G149" s="200">
        <f t="shared" ref="G149:G153" si="105">E149/F149</f>
      </c>
      <c r="H149" s="200">
        <f t="shared" ref="H149:H153" si="15">D149/F149</f>
      </c>
      <c r="I149" s="200">
        <f t="shared" ref="I149:I153" si="45">E149/D149</f>
      </c>
      <c r="J149" s="200">
        <f t="shared" ref="J149:J153" si="75">D149/C149</f>
      </c>
      <c r="K149" s="200"/>
    </row>
    <row r="150">
      <c r="A150" s="213" t="s">
        <v>398</v>
      </c>
      <c r="B150" s="199" t="s">
        <v>414</v>
      </c>
      <c r="C150" s="198">
        <v>4</v>
      </c>
      <c r="D150" s="198">
        <v>8750.16</v>
      </c>
      <c r="E150" s="198">
        <v>11319.6</v>
      </c>
      <c r="F150" s="198">
        <v>7</v>
      </c>
      <c r="G150" s="200">
        <f t="shared" si="105"/>
      </c>
      <c r="H150" s="200">
        <f t="shared" si="15"/>
      </c>
      <c r="I150" s="200">
        <f t="shared" si="45"/>
      </c>
      <c r="J150" s="200">
        <f t="shared" si="75"/>
      </c>
      <c r="K150" s="200"/>
    </row>
    <row r="151">
      <c r="A151" s="213" t="s">
        <v>421</v>
      </c>
      <c r="B151" s="199" t="s">
        <v>416</v>
      </c>
      <c r="C151" s="198">
        <v>4</v>
      </c>
      <c r="D151" s="198">
        <v>9461.06</v>
      </c>
      <c r="E151" s="198">
        <v>14360.4</v>
      </c>
      <c r="F151" s="198">
        <v>11</v>
      </c>
      <c r="G151" s="200">
        <f t="shared" si="105"/>
      </c>
      <c r="H151" s="200">
        <f t="shared" si="15"/>
      </c>
      <c r="I151" s="200">
        <f t="shared" si="45"/>
      </c>
      <c r="J151" s="200">
        <f t="shared" si="75"/>
      </c>
      <c r="K151" s="200"/>
    </row>
    <row r="152">
      <c r="A152" s="213" t="s">
        <v>400</v>
      </c>
      <c r="B152" s="199" t="s">
        <v>418</v>
      </c>
      <c r="C152" s="198">
        <v>4</v>
      </c>
      <c r="D152" s="198">
        <v>11584.02</v>
      </c>
      <c r="E152" s="198">
        <v>6081</v>
      </c>
      <c r="F152" s="198">
        <v>4</v>
      </c>
      <c r="G152" s="200">
        <f t="shared" si="105"/>
      </c>
      <c r="H152" s="200">
        <f t="shared" si="15"/>
      </c>
      <c r="I152" s="200">
        <f t="shared" si="45"/>
      </c>
      <c r="J152" s="200">
        <f t="shared" si="75"/>
      </c>
      <c r="K152" s="200"/>
    </row>
    <row r="153">
      <c r="A153" s="196" t="s">
        <v>402</v>
      </c>
      <c r="B153" s="196"/>
      <c r="C153" s="196">
        <f>SUM(C149:C152)</f>
      </c>
      <c r="D153" s="196">
        <f>SUM(D149:D152)</f>
      </c>
      <c r="E153" s="196">
        <f>SUM(E149:E152)</f>
      </c>
      <c r="F153" s="196">
        <f>SUM(F149:F152)</f>
      </c>
      <c r="G153" s="201">
        <f t="shared" si="105"/>
      </c>
      <c r="H153" s="201">
        <f t="shared" si="15"/>
      </c>
      <c r="I153" s="201">
        <f t="shared" si="45"/>
      </c>
      <c r="J153" s="201">
        <f t="shared" si="75"/>
      </c>
      <c r="K153" s="201"/>
    </row>
    <row r="154">
      <c r="A154" s="202" t="s">
        <v>403</v>
      </c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</row>
    <row r="155">
      <c r="A155" s="203" t="s">
        <v>391</v>
      </c>
      <c r="B155" s="203" t="s">
        <v>404</v>
      </c>
      <c r="C155" s="203" t="s">
        <v>405</v>
      </c>
      <c r="D155" s="203" t="s">
        <v>406</v>
      </c>
      <c r="E155" s="203" t="s">
        <v>407</v>
      </c>
      <c r="F155" s="203" t="s">
        <v>408</v>
      </c>
      <c r="G155" s="203" t="s">
        <v>409</v>
      </c>
      <c r="H155" s="204" t="s">
        <v>410</v>
      </c>
      <c r="I155" s="204" t="s">
        <v>411</v>
      </c>
      <c r="J155" s="204" t="s">
        <v>412</v>
      </c>
      <c r="K155" s="204" t="s">
        <v>390</v>
      </c>
    </row>
    <row r="156">
      <c r="A156" s="205">
        <f>SUM(D149:D152)</f>
      </c>
      <c r="B156" s="205">
        <f>SUM(E149:E152)</f>
      </c>
      <c r="C156" s="206">
        <f>B156/((K156*300)+A156)</f>
      </c>
      <c r="D156" s="207">
        <f>A156/J156</f>
      </c>
      <c r="E156" s="206">
        <f>B156/J156</f>
      </c>
      <c r="F156" s="208">
        <f>J156/I156</f>
      </c>
      <c r="G156" s="208">
        <f>H156/J156</f>
      </c>
      <c r="H156" s="209">
        <v>1</v>
      </c>
      <c r="I156" s="209">
        <v>40</v>
      </c>
      <c r="J156" s="209">
        <f>F153</f>
      </c>
      <c r="K156" s="209">
        <v>16</v>
      </c>
    </row>
    <row r="157">
      <c r="A157" s="195" t="s">
        <v>439</v>
      </c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</row>
    <row r="158">
      <c r="A158" s="196" t="s">
        <v>388</v>
      </c>
      <c r="B158" s="196" t="s">
        <v>389</v>
      </c>
      <c r="C158" s="196" t="s">
        <v>390</v>
      </c>
      <c r="D158" s="196" t="s">
        <v>391</v>
      </c>
      <c r="E158" s="197" t="s">
        <v>392</v>
      </c>
      <c r="F158" s="196" t="s">
        <v>393</v>
      </c>
      <c r="G158" s="196" t="s">
        <v>394</v>
      </c>
      <c r="H158" s="196" t="s">
        <v>395</v>
      </c>
      <c r="I158" s="196" t="s">
        <v>396</v>
      </c>
      <c r="J158" s="196" t="s">
        <v>397</v>
      </c>
      <c r="K158" s="196"/>
    </row>
    <row r="159">
      <c r="A159" s="212" t="s">
        <v>415</v>
      </c>
      <c r="B159" s="199" t="s">
        <v>399</v>
      </c>
      <c r="C159" s="198">
        <v>4</v>
      </c>
      <c r="D159" s="198">
        <v>6236.4400000000005</v>
      </c>
      <c r="E159" s="198">
        <v>5656.799999999999</v>
      </c>
      <c r="F159" s="198">
        <v>3</v>
      </c>
      <c r="G159" s="200">
        <f t="shared" ref="G159:G163" si="106">E159/F159</f>
      </c>
      <c r="H159" s="200">
        <f t="shared" ref="H159:H163" si="16">D159/F159</f>
      </c>
      <c r="I159" s="200">
        <f t="shared" ref="I159:I163" si="46">E159/D159</f>
      </c>
      <c r="J159" s="200">
        <f t="shared" ref="J159:J163" si="76">D159/C159</f>
      </c>
      <c r="K159" s="200"/>
    </row>
    <row r="160">
      <c r="A160" s="214" t="s">
        <v>421</v>
      </c>
      <c r="B160" s="199" t="s">
        <v>414</v>
      </c>
      <c r="C160" s="198">
        <v>4</v>
      </c>
      <c r="D160" s="198">
        <v>5226.9</v>
      </c>
      <c r="E160" s="198">
        <v>0</v>
      </c>
      <c r="F160" s="198">
        <v>0</v>
      </c>
      <c r="G160" s="200">
        <f t="shared" si="106"/>
      </c>
      <c r="H160" s="200">
        <f t="shared" si="16"/>
      </c>
      <c r="I160" s="200">
        <f t="shared" si="46"/>
      </c>
      <c r="J160" s="200">
        <f t="shared" si="76"/>
      </c>
      <c r="K160" s="200"/>
    </row>
    <row r="161">
      <c r="A161" s="214" t="s">
        <v>400</v>
      </c>
      <c r="B161" s="199" t="s">
        <v>416</v>
      </c>
      <c r="C161" s="198">
        <v>4</v>
      </c>
      <c r="D161" s="198">
        <v>3479.73</v>
      </c>
      <c r="E161" s="198">
        <v>2939.6</v>
      </c>
      <c r="F161" s="198">
        <v>3</v>
      </c>
      <c r="G161" s="200">
        <f t="shared" si="106"/>
      </c>
      <c r="H161" s="200">
        <f t="shared" si="16"/>
      </c>
      <c r="I161" s="200">
        <f t="shared" si="46"/>
      </c>
      <c r="J161" s="200">
        <f t="shared" si="76"/>
      </c>
      <c r="K161" s="200"/>
    </row>
    <row r="162">
      <c r="A162" s="214" t="s">
        <v>417</v>
      </c>
      <c r="B162" s="199" t="s">
        <v>418</v>
      </c>
      <c r="C162" s="198">
        <v>4</v>
      </c>
      <c r="D162" s="198">
        <v>2868.91</v>
      </c>
      <c r="E162" s="198">
        <v>3210.6</v>
      </c>
      <c r="F162" s="198">
        <v>3</v>
      </c>
      <c r="G162" s="200">
        <f t="shared" si="106"/>
      </c>
      <c r="H162" s="200">
        <f t="shared" si="16"/>
      </c>
      <c r="I162" s="200">
        <f t="shared" si="46"/>
      </c>
      <c r="J162" s="200">
        <f t="shared" si="76"/>
      </c>
      <c r="K162" s="200"/>
    </row>
    <row r="163">
      <c r="A163" s="196" t="s">
        <v>402</v>
      </c>
      <c r="B163" s="196"/>
      <c r="C163" s="196">
        <f>SUM(C159:C162)</f>
      </c>
      <c r="D163" s="196">
        <f>SUM(D159:D162)</f>
      </c>
      <c r="E163" s="196">
        <f>SUM(E159:E162)</f>
      </c>
      <c r="F163" s="196">
        <f>SUM(F159:F162)</f>
      </c>
      <c r="G163" s="201">
        <f t="shared" si="106"/>
      </c>
      <c r="H163" s="201">
        <f t="shared" si="16"/>
      </c>
      <c r="I163" s="201">
        <f t="shared" si="46"/>
      </c>
      <c r="J163" s="201">
        <f t="shared" si="76"/>
      </c>
      <c r="K163" s="201"/>
    </row>
    <row r="164">
      <c r="A164" s="202" t="s">
        <v>403</v>
      </c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</row>
    <row r="165">
      <c r="A165" s="203" t="s">
        <v>391</v>
      </c>
      <c r="B165" s="203" t="s">
        <v>404</v>
      </c>
      <c r="C165" s="203" t="s">
        <v>405</v>
      </c>
      <c r="D165" s="203" t="s">
        <v>406</v>
      </c>
      <c r="E165" s="203" t="s">
        <v>407</v>
      </c>
      <c r="F165" s="203" t="s">
        <v>408</v>
      </c>
      <c r="G165" s="203" t="s">
        <v>409</v>
      </c>
      <c r="H165" s="204" t="s">
        <v>410</v>
      </c>
      <c r="I165" s="204" t="s">
        <v>411</v>
      </c>
      <c r="J165" s="204" t="s">
        <v>412</v>
      </c>
      <c r="K165" s="204" t="s">
        <v>390</v>
      </c>
    </row>
    <row r="166">
      <c r="A166" s="205">
        <f>SUM(D159:D162)</f>
      </c>
      <c r="B166" s="205">
        <f>SUM(E159:E162)</f>
      </c>
      <c r="C166" s="206">
        <f>B166/((K166*300)+A166)</f>
      </c>
      <c r="D166" s="207">
        <f>A166/J166</f>
      </c>
      <c r="E166" s="206">
        <f>B166/J166</f>
      </c>
      <c r="F166" s="208">
        <f>J166/I166</f>
      </c>
      <c r="G166" s="208">
        <f>H166/J166</f>
      </c>
      <c r="H166" s="209">
        <v>0</v>
      </c>
      <c r="I166" s="209">
        <v>21</v>
      </c>
      <c r="J166" s="209">
        <f>F163</f>
      </c>
      <c r="K166" s="209">
        <v>16</v>
      </c>
    </row>
    <row r="167">
      <c r="A167" s="195" t="s">
        <v>440</v>
      </c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</row>
    <row r="168">
      <c r="A168" s="196" t="s">
        <v>388</v>
      </c>
      <c r="B168" s="196" t="s">
        <v>389</v>
      </c>
      <c r="C168" s="196" t="s">
        <v>390</v>
      </c>
      <c r="D168" s="196" t="s">
        <v>391</v>
      </c>
      <c r="E168" s="197" t="s">
        <v>392</v>
      </c>
      <c r="F168" s="196" t="s">
        <v>393</v>
      </c>
      <c r="G168" s="196" t="s">
        <v>394</v>
      </c>
      <c r="H168" s="196" t="s">
        <v>395</v>
      </c>
      <c r="I168" s="196" t="s">
        <v>396</v>
      </c>
      <c r="J168" s="196" t="s">
        <v>397</v>
      </c>
      <c r="K168" s="196"/>
    </row>
    <row r="169">
      <c r="A169" s="215" t="s">
        <v>421</v>
      </c>
      <c r="B169" s="199" t="s">
        <v>399</v>
      </c>
      <c r="C169" s="198">
        <v>4</v>
      </c>
      <c r="D169" s="198">
        <v>2830.71</v>
      </c>
      <c r="E169" s="198">
        <v>2712</v>
      </c>
      <c r="F169" s="198">
        <v>1</v>
      </c>
      <c r="G169" s="200">
        <f t="shared" ref="G169:G173" si="107">E169/F169</f>
      </c>
      <c r="H169" s="200">
        <f t="shared" ref="H169:H173" si="17">D169/F169</f>
      </c>
      <c r="I169" s="200">
        <f t="shared" ref="I169:I173" si="47">E169/D169</f>
      </c>
      <c r="J169" s="200">
        <f t="shared" ref="J169:J173" si="77">D169/C169</f>
      </c>
      <c r="K169" s="200"/>
    </row>
    <row r="170">
      <c r="A170" s="214" t="s">
        <v>400</v>
      </c>
      <c r="B170" s="199" t="s">
        <v>414</v>
      </c>
      <c r="C170" s="198">
        <v>4</v>
      </c>
      <c r="D170" s="198">
        <v>5614.56</v>
      </c>
      <c r="E170" s="198">
        <v>1667</v>
      </c>
      <c r="F170" s="198">
        <v>2</v>
      </c>
      <c r="G170" s="200">
        <f t="shared" si="107"/>
      </c>
      <c r="H170" s="200">
        <f t="shared" si="17"/>
      </c>
      <c r="I170" s="200">
        <f t="shared" si="47"/>
      </c>
      <c r="J170" s="200">
        <f t="shared" si="77"/>
      </c>
      <c r="K170" s="200"/>
    </row>
    <row r="171">
      <c r="A171" s="214" t="s">
        <v>398</v>
      </c>
      <c r="B171" s="199" t="s">
        <v>416</v>
      </c>
      <c r="C171" s="198">
        <v>4</v>
      </c>
      <c r="D171" s="198">
        <v>3261.35</v>
      </c>
      <c r="E171" s="198">
        <v>3289.2</v>
      </c>
      <c r="F171" s="198">
        <v>3</v>
      </c>
      <c r="G171" s="200">
        <f t="shared" si="107"/>
      </c>
      <c r="H171" s="200">
        <f t="shared" si="17"/>
      </c>
      <c r="I171" s="200">
        <f t="shared" si="47"/>
      </c>
      <c r="J171" s="200">
        <f t="shared" si="77"/>
      </c>
      <c r="K171" s="200"/>
    </row>
    <row r="172">
      <c r="A172" s="214" t="s">
        <v>417</v>
      </c>
      <c r="B172" s="199" t="s">
        <v>418</v>
      </c>
      <c r="C172" s="198">
        <v>4</v>
      </c>
      <c r="D172" s="198">
        <v>4237.54</v>
      </c>
      <c r="E172" s="198">
        <v>11184</v>
      </c>
      <c r="F172" s="198">
        <v>5</v>
      </c>
      <c r="G172" s="200">
        <f t="shared" si="107"/>
      </c>
      <c r="H172" s="200">
        <f t="shared" si="17"/>
      </c>
      <c r="I172" s="200">
        <f t="shared" si="47"/>
      </c>
      <c r="J172" s="200">
        <f t="shared" si="77"/>
      </c>
      <c r="K172" s="200"/>
    </row>
    <row r="173">
      <c r="A173" s="196" t="s">
        <v>402</v>
      </c>
      <c r="B173" s="196"/>
      <c r="C173" s="196">
        <f>SUM(C169:C172)</f>
      </c>
      <c r="D173" s="196">
        <f>SUM(D169:D172)</f>
      </c>
      <c r="E173" s="196">
        <f>SUM(E169:E172)</f>
      </c>
      <c r="F173" s="196">
        <f>SUM(F169:F172)</f>
      </c>
      <c r="G173" s="201">
        <f t="shared" si="107"/>
      </c>
      <c r="H173" s="201">
        <f t="shared" si="17"/>
      </c>
      <c r="I173" s="201">
        <f t="shared" si="47"/>
      </c>
      <c r="J173" s="201">
        <f t="shared" si="77"/>
      </c>
      <c r="K173" s="201"/>
    </row>
    <row r="174">
      <c r="A174" s="202" t="s">
        <v>403</v>
      </c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</row>
    <row r="175">
      <c r="A175" s="203" t="s">
        <v>391</v>
      </c>
      <c r="B175" s="203" t="s">
        <v>404</v>
      </c>
      <c r="C175" s="203" t="s">
        <v>405</v>
      </c>
      <c r="D175" s="203" t="s">
        <v>406</v>
      </c>
      <c r="E175" s="203" t="s">
        <v>407</v>
      </c>
      <c r="F175" s="203" t="s">
        <v>408</v>
      </c>
      <c r="G175" s="203" t="s">
        <v>409</v>
      </c>
      <c r="H175" s="204" t="s">
        <v>410</v>
      </c>
      <c r="I175" s="204" t="s">
        <v>411</v>
      </c>
      <c r="J175" s="204" t="s">
        <v>412</v>
      </c>
      <c r="K175" s="204" t="s">
        <v>390</v>
      </c>
    </row>
    <row r="176">
      <c r="A176" s="205">
        <f>SUM(D169:D172)</f>
      </c>
      <c r="B176" s="205">
        <f>SUM(E169:E172)</f>
      </c>
      <c r="C176" s="206">
        <f>B176/((K176*300)+A176)</f>
      </c>
      <c r="D176" s="207">
        <f>A176/J176</f>
      </c>
      <c r="E176" s="206">
        <f>B176/J176</f>
      </c>
      <c r="F176" s="208">
        <f>J176/I176</f>
      </c>
      <c r="G176" s="208">
        <f>H176/J176</f>
      </c>
      <c r="H176" s="209">
        <v>2</v>
      </c>
      <c r="I176" s="209">
        <v>22</v>
      </c>
      <c r="J176" s="209">
        <f>F173</f>
      </c>
      <c r="K176" s="209">
        <v>16</v>
      </c>
    </row>
    <row r="177">
      <c r="A177" s="195" t="s">
        <v>441</v>
      </c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</row>
    <row r="178">
      <c r="A178" s="196" t="s">
        <v>388</v>
      </c>
      <c r="B178" s="196" t="s">
        <v>389</v>
      </c>
      <c r="C178" s="196" t="s">
        <v>390</v>
      </c>
      <c r="D178" s="196" t="s">
        <v>391</v>
      </c>
      <c r="E178" s="197" t="s">
        <v>392</v>
      </c>
      <c r="F178" s="196" t="s">
        <v>393</v>
      </c>
      <c r="G178" s="196" t="s">
        <v>394</v>
      </c>
      <c r="H178" s="196" t="s">
        <v>395</v>
      </c>
      <c r="I178" s="196" t="s">
        <v>396</v>
      </c>
      <c r="J178" s="196" t="s">
        <v>397</v>
      </c>
      <c r="K178" s="196"/>
    </row>
    <row r="179">
      <c r="A179" s="215" t="s">
        <v>400</v>
      </c>
      <c r="B179" s="199" t="s">
        <v>399</v>
      </c>
      <c r="C179" s="198">
        <v>4</v>
      </c>
      <c r="D179" s="198">
        <v>7888.52</v>
      </c>
      <c r="E179" s="198">
        <v>28836</v>
      </c>
      <c r="F179" s="198">
        <v>9</v>
      </c>
      <c r="G179" s="200">
        <f t="shared" ref="G179:G183" si="108">E179/F179</f>
      </c>
      <c r="H179" s="200">
        <f t="shared" ref="H179:H183" si="18">D179/F179</f>
      </c>
      <c r="I179" s="200">
        <f t="shared" ref="I179:I183" si="48">E179/D179</f>
      </c>
      <c r="J179" s="200">
        <f t="shared" ref="J179:J183" si="78">D179/C179</f>
      </c>
      <c r="K179" s="200"/>
    </row>
    <row r="180">
      <c r="A180" s="214" t="s">
        <v>421</v>
      </c>
      <c r="B180" s="199" t="s">
        <v>414</v>
      </c>
      <c r="C180" s="198">
        <v>4</v>
      </c>
      <c r="D180" s="198">
        <v>8821.81</v>
      </c>
      <c r="E180" s="198">
        <v>8391.6</v>
      </c>
      <c r="F180" s="198">
        <v>7</v>
      </c>
      <c r="G180" s="200">
        <f t="shared" si="108"/>
      </c>
      <c r="H180" s="200">
        <f t="shared" si="18"/>
      </c>
      <c r="I180" s="200">
        <f t="shared" si="48"/>
      </c>
      <c r="J180" s="200">
        <f t="shared" si="78"/>
      </c>
      <c r="K180" s="200"/>
    </row>
    <row r="181">
      <c r="A181" s="214" t="s">
        <v>398</v>
      </c>
      <c r="B181" s="199" t="s">
        <v>416</v>
      </c>
      <c r="C181" s="198">
        <v>4</v>
      </c>
      <c r="D181" s="198">
        <v>3862.63</v>
      </c>
      <c r="E181" s="198">
        <v>0</v>
      </c>
      <c r="F181" s="198">
        <v>0</v>
      </c>
      <c r="G181" s="200">
        <f t="shared" si="108"/>
      </c>
      <c r="H181" s="200">
        <f t="shared" si="18"/>
      </c>
      <c r="I181" s="200">
        <f t="shared" si="48"/>
      </c>
      <c r="J181" s="200">
        <f t="shared" si="78"/>
      </c>
      <c r="K181" s="200"/>
    </row>
    <row r="182">
      <c r="A182" s="214" t="s">
        <v>417</v>
      </c>
      <c r="B182" s="199" t="s">
        <v>418</v>
      </c>
      <c r="C182" s="198">
        <v>4</v>
      </c>
      <c r="D182" s="198">
        <v>3968.66</v>
      </c>
      <c r="E182" s="198">
        <v>8334.8</v>
      </c>
      <c r="F182" s="198">
        <v>4</v>
      </c>
      <c r="G182" s="200">
        <f t="shared" si="108"/>
      </c>
      <c r="H182" s="200">
        <f t="shared" si="18"/>
      </c>
      <c r="I182" s="200">
        <f t="shared" si="48"/>
      </c>
      <c r="J182" s="200">
        <f t="shared" si="78"/>
      </c>
      <c r="K182" s="200"/>
    </row>
    <row r="183">
      <c r="A183" s="196" t="s">
        <v>402</v>
      </c>
      <c r="B183" s="196"/>
      <c r="C183" s="196">
        <f>SUM(C179:C182)</f>
      </c>
      <c r="D183" s="196">
        <f>SUM(D179:D182)</f>
      </c>
      <c r="E183" s="196">
        <f>SUM(E179:E182)</f>
      </c>
      <c r="F183" s="196">
        <f>SUM(F179:F182)</f>
      </c>
      <c r="G183" s="201">
        <f t="shared" si="108"/>
      </c>
      <c r="H183" s="201">
        <f t="shared" si="18"/>
      </c>
      <c r="I183" s="201">
        <f t="shared" si="48"/>
      </c>
      <c r="J183" s="201">
        <f t="shared" si="78"/>
      </c>
      <c r="K183" s="201"/>
    </row>
    <row r="184">
      <c r="A184" s="202" t="s">
        <v>403</v>
      </c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</row>
    <row r="185">
      <c r="A185" s="203" t="s">
        <v>391</v>
      </c>
      <c r="B185" s="203" t="s">
        <v>404</v>
      </c>
      <c r="C185" s="203" t="s">
        <v>405</v>
      </c>
      <c r="D185" s="203" t="s">
        <v>406</v>
      </c>
      <c r="E185" s="203" t="s">
        <v>407</v>
      </c>
      <c r="F185" s="203" t="s">
        <v>408</v>
      </c>
      <c r="G185" s="203" t="s">
        <v>409</v>
      </c>
      <c r="H185" s="204" t="s">
        <v>410</v>
      </c>
      <c r="I185" s="204" t="s">
        <v>411</v>
      </c>
      <c r="J185" s="204" t="s">
        <v>412</v>
      </c>
      <c r="K185" s="204" t="s">
        <v>390</v>
      </c>
    </row>
    <row r="186">
      <c r="A186" s="205">
        <f>SUM(D179:D182)</f>
      </c>
      <c r="B186" s="205">
        <f>SUM(E179:E182)</f>
      </c>
      <c r="C186" s="206">
        <f>B186/((K186*300)+A186)</f>
      </c>
      <c r="D186" s="207">
        <f>A186/J186</f>
      </c>
      <c r="E186" s="206">
        <f>B186/J186</f>
      </c>
      <c r="F186" s="208">
        <f>J186/I186</f>
      </c>
      <c r="G186" s="208">
        <f>H186/J186</f>
      </c>
      <c r="H186" s="209">
        <v>3</v>
      </c>
      <c r="I186" s="209">
        <v>30</v>
      </c>
      <c r="J186" s="209">
        <f>F183</f>
      </c>
      <c r="K186" s="209">
        <v>16</v>
      </c>
    </row>
    <row r="187">
      <c r="A187" s="195" t="s">
        <v>442</v>
      </c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</row>
    <row r="188">
      <c r="A188" s="196" t="s">
        <v>388</v>
      </c>
      <c r="B188" s="196" t="s">
        <v>389</v>
      </c>
      <c r="C188" s="196" t="s">
        <v>390</v>
      </c>
      <c r="D188" s="196" t="s">
        <v>391</v>
      </c>
      <c r="E188" s="197" t="s">
        <v>392</v>
      </c>
      <c r="F188" s="196" t="s">
        <v>393</v>
      </c>
      <c r="G188" s="196" t="s">
        <v>394</v>
      </c>
      <c r="H188" s="196" t="s">
        <v>395</v>
      </c>
      <c r="I188" s="196" t="s">
        <v>396</v>
      </c>
      <c r="J188" s="196" t="s">
        <v>397</v>
      </c>
      <c r="K188" s="196"/>
    </row>
    <row r="189">
      <c r="A189" s="215" t="s">
        <v>398</v>
      </c>
      <c r="B189" s="199" t="s">
        <v>399</v>
      </c>
      <c r="C189" s="198">
        <v>4</v>
      </c>
      <c r="D189" s="198">
        <v>6329.789999999999</v>
      </c>
      <c r="E189" s="198">
        <v>19303.4</v>
      </c>
      <c r="F189" s="198">
        <v>9</v>
      </c>
      <c r="G189" s="200">
        <f t="shared" ref="G189:G193" si="109">E189/F189</f>
      </c>
      <c r="H189" s="200">
        <f t="shared" ref="H189:H193" si="19">D189/F189</f>
      </c>
      <c r="I189" s="200">
        <f t="shared" ref="I189:I193" si="49">E189/D189</f>
      </c>
      <c r="J189" s="200">
        <f t="shared" ref="J189:J193" si="79">D189/C189</f>
      </c>
      <c r="K189" s="200"/>
    </row>
    <row r="190">
      <c r="A190" s="214" t="s">
        <v>421</v>
      </c>
      <c r="B190" s="199" t="s">
        <v>414</v>
      </c>
      <c r="C190" s="198">
        <v>4</v>
      </c>
      <c r="D190" s="198">
        <v>10144.61</v>
      </c>
      <c r="E190" s="198">
        <v>10538</v>
      </c>
      <c r="F190" s="198">
        <v>7</v>
      </c>
      <c r="G190" s="200">
        <f t="shared" si="109"/>
      </c>
      <c r="H190" s="200">
        <f t="shared" si="19"/>
      </c>
      <c r="I190" s="200">
        <f t="shared" si="49"/>
      </c>
      <c r="J190" s="200">
        <f t="shared" si="79"/>
      </c>
      <c r="K190" s="200"/>
    </row>
    <row r="191">
      <c r="A191" s="214" t="s">
        <v>417</v>
      </c>
      <c r="B191" s="199" t="s">
        <v>416</v>
      </c>
      <c r="C191" s="198">
        <v>4</v>
      </c>
      <c r="D191" s="198">
        <v>6365.31</v>
      </c>
      <c r="E191" s="198">
        <v>5237.6</v>
      </c>
      <c r="F191" s="198">
        <v>4</v>
      </c>
      <c r="G191" s="200">
        <f t="shared" si="109"/>
      </c>
      <c r="H191" s="200">
        <f t="shared" si="19"/>
      </c>
      <c r="I191" s="200">
        <f t="shared" si="49"/>
      </c>
      <c r="J191" s="200">
        <f t="shared" si="79"/>
      </c>
      <c r="K191" s="200"/>
    </row>
    <row r="192">
      <c r="A192" s="214" t="s">
        <v>400</v>
      </c>
      <c r="B192" s="199" t="s">
        <v>418</v>
      </c>
      <c r="C192" s="198">
        <v>4</v>
      </c>
      <c r="D192" s="198">
        <v>6253.38</v>
      </c>
      <c r="E192" s="198">
        <v>8031.2</v>
      </c>
      <c r="F192" s="198">
        <v>6</v>
      </c>
      <c r="G192" s="200">
        <f t="shared" si="109"/>
      </c>
      <c r="H192" s="200">
        <f t="shared" si="19"/>
      </c>
      <c r="I192" s="200">
        <f t="shared" si="49"/>
      </c>
      <c r="J192" s="200">
        <f t="shared" si="79"/>
      </c>
      <c r="K192" s="200"/>
    </row>
    <row r="193">
      <c r="A193" s="196" t="s">
        <v>402</v>
      </c>
      <c r="B193" s="196"/>
      <c r="C193" s="196">
        <f>SUM(C189:C192)</f>
      </c>
      <c r="D193" s="196">
        <f>SUM(D189:D192)</f>
      </c>
      <c r="E193" s="196">
        <f>SUM(E189:E192)</f>
      </c>
      <c r="F193" s="196">
        <f>SUM(F189:F192)</f>
      </c>
      <c r="G193" s="201">
        <f t="shared" si="109"/>
      </c>
      <c r="H193" s="201">
        <f t="shared" si="19"/>
      </c>
      <c r="I193" s="201">
        <f t="shared" si="49"/>
      </c>
      <c r="J193" s="201">
        <f t="shared" si="79"/>
      </c>
      <c r="K193" s="201"/>
    </row>
    <row r="194">
      <c r="A194" s="202" t="s">
        <v>403</v>
      </c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</row>
    <row r="195">
      <c r="A195" s="203" t="s">
        <v>391</v>
      </c>
      <c r="B195" s="203" t="s">
        <v>404</v>
      </c>
      <c r="C195" s="203" t="s">
        <v>405</v>
      </c>
      <c r="D195" s="203" t="s">
        <v>406</v>
      </c>
      <c r="E195" s="203" t="s">
        <v>407</v>
      </c>
      <c r="F195" s="203" t="s">
        <v>408</v>
      </c>
      <c r="G195" s="203" t="s">
        <v>409</v>
      </c>
      <c r="H195" s="204" t="s">
        <v>410</v>
      </c>
      <c r="I195" s="204" t="s">
        <v>411</v>
      </c>
      <c r="J195" s="204" t="s">
        <v>412</v>
      </c>
      <c r="K195" s="204" t="s">
        <v>390</v>
      </c>
    </row>
    <row r="196">
      <c r="A196" s="205">
        <f>SUM(D189:D192)</f>
      </c>
      <c r="B196" s="205">
        <f>SUM(E189:E192)</f>
      </c>
      <c r="C196" s="206">
        <f>B196/((K196*300)+A196)</f>
      </c>
      <c r="D196" s="207">
        <f>A196/J196</f>
      </c>
      <c r="E196" s="206">
        <f>B196/J196</f>
      </c>
      <c r="F196" s="208">
        <f>J196/I196</f>
      </c>
      <c r="G196" s="208">
        <f>H196/J196</f>
      </c>
      <c r="H196" s="209">
        <v>1</v>
      </c>
      <c r="I196" s="209">
        <v>42</v>
      </c>
      <c r="J196" s="209">
        <f>F193</f>
      </c>
      <c r="K196" s="209">
        <v>16</v>
      </c>
    </row>
    <row r="197">
      <c r="A197" s="195" t="s">
        <v>443</v>
      </c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</row>
    <row r="198">
      <c r="A198" s="196" t="s">
        <v>388</v>
      </c>
      <c r="B198" s="196" t="s">
        <v>389</v>
      </c>
      <c r="C198" s="196" t="s">
        <v>390</v>
      </c>
      <c r="D198" s="196" t="s">
        <v>391</v>
      </c>
      <c r="E198" s="197" t="s">
        <v>392</v>
      </c>
      <c r="F198" s="196" t="s">
        <v>393</v>
      </c>
      <c r="G198" s="196" t="s">
        <v>394</v>
      </c>
      <c r="H198" s="196" t="s">
        <v>395</v>
      </c>
      <c r="I198" s="196" t="s">
        <v>396</v>
      </c>
      <c r="J198" s="196" t="s">
        <v>397</v>
      </c>
      <c r="K198" s="196"/>
    </row>
    <row r="199">
      <c r="A199" s="215" t="s">
        <v>398</v>
      </c>
      <c r="B199" s="199" t="s">
        <v>444</v>
      </c>
      <c r="C199" s="198">
        <v>5</v>
      </c>
      <c r="D199" s="198">
        <v>7063.88</v>
      </c>
      <c r="E199" s="198">
        <v>6345.000000000001</v>
      </c>
      <c r="F199" s="198">
        <v>5</v>
      </c>
      <c r="G199" s="200">
        <f t="shared" ref="G199:G203" si="110">E199/F199</f>
      </c>
      <c r="H199" s="200">
        <f t="shared" ref="H199:H203" si="20">D199/F199</f>
      </c>
      <c r="I199" s="200">
        <f t="shared" ref="I199:I203" si="50">E199/D199</f>
      </c>
      <c r="J199" s="200">
        <f t="shared" ref="J199:J203" si="80">D199/C199</f>
      </c>
      <c r="K199" s="200"/>
    </row>
    <row r="200">
      <c r="A200" s="214" t="s">
        <v>400</v>
      </c>
      <c r="B200" s="199" t="s">
        <v>445</v>
      </c>
      <c r="C200" s="198">
        <v>4</v>
      </c>
      <c r="D200" s="198">
        <v>6494.94</v>
      </c>
      <c r="E200" s="198">
        <v>5565.8</v>
      </c>
      <c r="F200" s="198">
        <v>4</v>
      </c>
      <c r="G200" s="200">
        <f t="shared" si="110"/>
      </c>
      <c r="H200" s="200">
        <f t="shared" si="20"/>
      </c>
      <c r="I200" s="200">
        <f t="shared" si="50"/>
      </c>
      <c r="J200" s="200">
        <f t="shared" si="80"/>
      </c>
      <c r="K200" s="200"/>
    </row>
    <row r="201">
      <c r="A201" s="214" t="s">
        <v>415</v>
      </c>
      <c r="B201" s="199" t="s">
        <v>446</v>
      </c>
      <c r="C201" s="198">
        <v>5</v>
      </c>
      <c r="D201" s="198">
        <v>5619.76</v>
      </c>
      <c r="E201" s="198">
        <v>4928.4</v>
      </c>
      <c r="F201" s="198">
        <v>5</v>
      </c>
      <c r="G201" s="200">
        <f t="shared" si="110"/>
      </c>
      <c r="H201" s="200">
        <f t="shared" si="20"/>
      </c>
      <c r="I201" s="200">
        <f t="shared" si="50"/>
      </c>
      <c r="J201" s="200">
        <f t="shared" si="80"/>
      </c>
      <c r="K201" s="200"/>
    </row>
    <row r="202">
      <c r="A202" s="214" t="s">
        <v>417</v>
      </c>
      <c r="B202" s="199" t="s">
        <v>418</v>
      </c>
      <c r="C202" s="198">
        <v>4</v>
      </c>
      <c r="D202" s="198">
        <v>4802.71</v>
      </c>
      <c r="E202" s="198">
        <v>3244.8</v>
      </c>
      <c r="F202" s="198">
        <v>2</v>
      </c>
      <c r="G202" s="200">
        <f t="shared" si="110"/>
      </c>
      <c r="H202" s="200">
        <f t="shared" si="20"/>
      </c>
      <c r="I202" s="200">
        <f t="shared" si="50"/>
      </c>
      <c r="J202" s="200">
        <f t="shared" si="80"/>
      </c>
      <c r="K202" s="200"/>
    </row>
    <row r="203">
      <c r="A203" s="196" t="s">
        <v>402</v>
      </c>
      <c r="B203" s="196"/>
      <c r="C203" s="196">
        <f>SUM(C199:C202)</f>
      </c>
      <c r="D203" s="196">
        <f>SUM(D199:D202)</f>
      </c>
      <c r="E203" s="196">
        <f>SUM(E199:E202)</f>
      </c>
      <c r="F203" s="196">
        <f>SUM(F199:F202)</f>
      </c>
      <c r="G203" s="201">
        <f t="shared" si="110"/>
      </c>
      <c r="H203" s="201">
        <f t="shared" si="20"/>
      </c>
      <c r="I203" s="201">
        <f t="shared" si="50"/>
      </c>
      <c r="J203" s="201">
        <f t="shared" si="80"/>
      </c>
      <c r="K203" s="201"/>
    </row>
    <row r="204">
      <c r="A204" s="202" t="s">
        <v>403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</row>
    <row r="205">
      <c r="A205" s="203" t="s">
        <v>391</v>
      </c>
      <c r="B205" s="203" t="s">
        <v>404</v>
      </c>
      <c r="C205" s="203" t="s">
        <v>405</v>
      </c>
      <c r="D205" s="203" t="s">
        <v>406</v>
      </c>
      <c r="E205" s="203" t="s">
        <v>407</v>
      </c>
      <c r="F205" s="203" t="s">
        <v>408</v>
      </c>
      <c r="G205" s="203" t="s">
        <v>409</v>
      </c>
      <c r="H205" s="204" t="s">
        <v>410</v>
      </c>
      <c r="I205" s="204" t="s">
        <v>411</v>
      </c>
      <c r="J205" s="204" t="s">
        <v>412</v>
      </c>
      <c r="K205" s="204" t="s">
        <v>390</v>
      </c>
    </row>
    <row r="206">
      <c r="A206" s="216">
        <f>SUM(D199:D202)</f>
      </c>
      <c r="B206" s="216">
        <f>SUM(E199:E202)</f>
      </c>
      <c r="C206" s="217">
        <f>B206/((K206*300)+A206)</f>
      </c>
      <c r="D206" s="218">
        <f>A206/J206</f>
      </c>
      <c r="E206" s="217">
        <f>B206/J206</f>
      </c>
      <c r="F206" s="219">
        <f>J206/I206</f>
      </c>
      <c r="G206" s="219">
        <f>H206/J206</f>
      </c>
      <c r="H206" s="220">
        <v>0</v>
      </c>
      <c r="I206" s="220">
        <v>28</v>
      </c>
      <c r="J206" s="220">
        <f>F203</f>
      </c>
      <c r="K206" s="220">
        <v>18</v>
      </c>
    </row>
    <row r="207">
      <c r="A207" s="195" t="s">
        <v>447</v>
      </c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</row>
    <row r="208">
      <c r="A208" s="196" t="s">
        <v>388</v>
      </c>
      <c r="B208" s="196" t="s">
        <v>389</v>
      </c>
      <c r="C208" s="196" t="s">
        <v>390</v>
      </c>
      <c r="D208" s="196" t="s">
        <v>391</v>
      </c>
      <c r="E208" s="197" t="s">
        <v>392</v>
      </c>
      <c r="F208" s="196" t="s">
        <v>393</v>
      </c>
      <c r="G208" s="196" t="s">
        <v>394</v>
      </c>
      <c r="H208" s="196" t="s">
        <v>395</v>
      </c>
      <c r="I208" s="196" t="s">
        <v>396</v>
      </c>
      <c r="J208" s="196" t="s">
        <v>397</v>
      </c>
      <c r="K208" s="196"/>
    </row>
    <row r="209">
      <c r="A209" s="215" t="s">
        <v>400</v>
      </c>
      <c r="B209" s="199" t="s">
        <v>444</v>
      </c>
      <c r="C209" s="198">
        <v>5</v>
      </c>
      <c r="D209" s="198">
        <v>6907.969999999999</v>
      </c>
      <c r="E209" s="198">
        <v>7603</v>
      </c>
      <c r="F209" s="198">
        <v>5</v>
      </c>
      <c r="G209" s="200">
        <f t="shared" ref="G209:G213" si="111">E209/F209</f>
      </c>
      <c r="H209" s="200">
        <f t="shared" ref="H209:H213" si="21">D209/F209</f>
      </c>
      <c r="I209" s="200">
        <f t="shared" ref="I209:I213" si="51">E209/D209</f>
      </c>
      <c r="J209" s="200">
        <f t="shared" ref="J209:J213" si="81">D209/C209</f>
      </c>
      <c r="K209" s="200"/>
    </row>
    <row r="210">
      <c r="A210" s="214" t="s">
        <v>398</v>
      </c>
      <c r="B210" s="199" t="s">
        <v>445</v>
      </c>
      <c r="C210" s="198">
        <v>4</v>
      </c>
      <c r="D210" s="198">
        <v>6907.57</v>
      </c>
      <c r="E210" s="198">
        <v>15295.2</v>
      </c>
      <c r="F210" s="198">
        <v>10</v>
      </c>
      <c r="G210" s="200">
        <f t="shared" si="111"/>
      </c>
      <c r="H210" s="200">
        <f t="shared" si="21"/>
      </c>
      <c r="I210" s="200">
        <f t="shared" si="51"/>
      </c>
      <c r="J210" s="200">
        <f t="shared" si="81"/>
      </c>
      <c r="K210" s="200"/>
    </row>
    <row r="211">
      <c r="A211" s="214" t="s">
        <v>415</v>
      </c>
      <c r="B211" s="199" t="s">
        <v>448</v>
      </c>
      <c r="C211" s="198">
        <v>4</v>
      </c>
      <c r="D211" s="198">
        <v>4848.74</v>
      </c>
      <c r="E211" s="198">
        <v>7512</v>
      </c>
      <c r="F211" s="198">
        <v>7</v>
      </c>
      <c r="G211" s="200">
        <f t="shared" si="111"/>
      </c>
      <c r="H211" s="200">
        <f t="shared" si="21"/>
      </c>
      <c r="I211" s="200">
        <f t="shared" si="51"/>
      </c>
      <c r="J211" s="200">
        <f t="shared" si="81"/>
      </c>
      <c r="K211" s="200"/>
    </row>
    <row r="212">
      <c r="A212" s="214" t="s">
        <v>417</v>
      </c>
      <c r="B212" s="199" t="s">
        <v>428</v>
      </c>
      <c r="C212" s="198">
        <v>5</v>
      </c>
      <c r="D212" s="198">
        <v>5045.37</v>
      </c>
      <c r="E212" s="198">
        <v>1992.8</v>
      </c>
      <c r="F212" s="198">
        <v>2</v>
      </c>
      <c r="G212" s="200">
        <f t="shared" si="111"/>
      </c>
      <c r="H212" s="200">
        <f t="shared" si="21"/>
      </c>
      <c r="I212" s="200">
        <f t="shared" si="51"/>
      </c>
      <c r="J212" s="200">
        <f t="shared" si="81"/>
      </c>
      <c r="K212" s="200"/>
    </row>
    <row r="213">
      <c r="A213" s="196" t="s">
        <v>402</v>
      </c>
      <c r="B213" s="196"/>
      <c r="C213" s="196">
        <f>SUM(C209:C212)</f>
      </c>
      <c r="D213" s="196">
        <f>SUM(D209:D212)</f>
      </c>
      <c r="E213" s="196">
        <f>SUM(E209:E212)</f>
      </c>
      <c r="F213" s="196">
        <f>SUM(F209:F212)</f>
      </c>
      <c r="G213" s="201">
        <f t="shared" si="111"/>
      </c>
      <c r="H213" s="201">
        <f t="shared" si="21"/>
      </c>
      <c r="I213" s="201">
        <f t="shared" si="51"/>
      </c>
      <c r="J213" s="201">
        <f t="shared" si="81"/>
      </c>
      <c r="K213" s="201"/>
    </row>
    <row r="214">
      <c r="A214" s="202" t="s">
        <v>403</v>
      </c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</row>
    <row r="215">
      <c r="A215" s="203" t="s">
        <v>391</v>
      </c>
      <c r="B215" s="203" t="s">
        <v>404</v>
      </c>
      <c r="C215" s="203" t="s">
        <v>405</v>
      </c>
      <c r="D215" s="203" t="s">
        <v>406</v>
      </c>
      <c r="E215" s="203" t="s">
        <v>407</v>
      </c>
      <c r="F215" s="203" t="s">
        <v>408</v>
      </c>
      <c r="G215" s="203" t="s">
        <v>409</v>
      </c>
      <c r="H215" s="204" t="s">
        <v>410</v>
      </c>
      <c r="I215" s="204" t="s">
        <v>411</v>
      </c>
      <c r="J215" s="204" t="s">
        <v>412</v>
      </c>
      <c r="K215" s="204" t="s">
        <v>390</v>
      </c>
    </row>
    <row r="216">
      <c r="A216" s="216">
        <f>SUM(D209:D212)</f>
      </c>
      <c r="B216" s="216">
        <f>SUM(E209:E212)</f>
      </c>
      <c r="C216" s="217">
        <f>B216/((K216*300)+A216)</f>
      </c>
      <c r="D216" s="218">
        <f>A216/J216</f>
      </c>
      <c r="E216" s="217">
        <f>B216/J216</f>
      </c>
      <c r="F216" s="219">
        <f>J216/I216</f>
      </c>
      <c r="G216" s="219">
        <f>H216/J216</f>
      </c>
      <c r="H216" s="220">
        <v>5</v>
      </c>
      <c r="I216" s="220">
        <v>39</v>
      </c>
      <c r="J216" s="220">
        <f>F213</f>
      </c>
      <c r="K216" s="220">
        <v>18</v>
      </c>
    </row>
    <row r="217">
      <c r="A217" s="195" t="s">
        <v>449</v>
      </c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</row>
    <row r="218">
      <c r="A218" s="196" t="s">
        <v>388</v>
      </c>
      <c r="B218" s="196" t="s">
        <v>389</v>
      </c>
      <c r="C218" s="196" t="s">
        <v>390</v>
      </c>
      <c r="D218" s="196" t="s">
        <v>391</v>
      </c>
      <c r="E218" s="197" t="s">
        <v>392</v>
      </c>
      <c r="F218" s="196" t="s">
        <v>393</v>
      </c>
      <c r="G218" s="196" t="s">
        <v>394</v>
      </c>
      <c r="H218" s="196" t="s">
        <v>395</v>
      </c>
      <c r="I218" s="196" t="s">
        <v>396</v>
      </c>
      <c r="J218" s="196" t="s">
        <v>397</v>
      </c>
      <c r="K218" s="196"/>
    </row>
    <row r="219">
      <c r="A219" s="215" t="s">
        <v>400</v>
      </c>
      <c r="B219" s="199" t="s">
        <v>444</v>
      </c>
      <c r="C219" s="198">
        <v>5</v>
      </c>
      <c r="D219" s="198">
        <v>4748.55</v>
      </c>
      <c r="E219" s="198">
        <v>13821.8</v>
      </c>
      <c r="F219" s="198">
        <v>11</v>
      </c>
      <c r="G219" s="200">
        <f t="shared" ref="G219:G223" si="112">E219/F219</f>
      </c>
      <c r="H219" s="200">
        <f t="shared" ref="H219:H223" si="22">D219/F219</f>
      </c>
      <c r="I219" s="200">
        <f t="shared" ref="I219:I223" si="52">E219/D219</f>
      </c>
      <c r="J219" s="200">
        <f t="shared" ref="J219:J223" si="82">D219/C219</f>
      </c>
      <c r="K219" s="200"/>
    </row>
    <row r="220">
      <c r="A220" s="214" t="s">
        <v>398</v>
      </c>
      <c r="B220" s="199" t="s">
        <v>445</v>
      </c>
      <c r="C220" s="198">
        <v>4</v>
      </c>
      <c r="D220" s="198">
        <v>4841.82</v>
      </c>
      <c r="E220" s="198">
        <v>15225.8</v>
      </c>
      <c r="F220" s="198">
        <v>10</v>
      </c>
      <c r="G220" s="200">
        <f t="shared" si="112"/>
      </c>
      <c r="H220" s="200">
        <f t="shared" si="22"/>
      </c>
      <c r="I220" s="200">
        <f t="shared" si="52"/>
      </c>
      <c r="J220" s="200">
        <f t="shared" si="82"/>
      </c>
      <c r="K220" s="200"/>
    </row>
    <row r="221">
      <c r="A221" s="214" t="s">
        <v>415</v>
      </c>
      <c r="B221" s="199" t="s">
        <v>448</v>
      </c>
      <c r="C221" s="198">
        <v>4</v>
      </c>
      <c r="D221" s="198">
        <v>6418.22</v>
      </c>
      <c r="E221" s="198">
        <v>3376.8</v>
      </c>
      <c r="F221" s="198">
        <v>2</v>
      </c>
      <c r="G221" s="200">
        <f t="shared" si="112"/>
      </c>
      <c r="H221" s="200">
        <f t="shared" si="22"/>
      </c>
      <c r="I221" s="200">
        <f t="shared" si="52"/>
      </c>
      <c r="J221" s="200">
        <f t="shared" si="82"/>
      </c>
      <c r="K221" s="200"/>
    </row>
    <row r="222">
      <c r="A222" s="214" t="s">
        <v>417</v>
      </c>
      <c r="B222" s="199" t="s">
        <v>428</v>
      </c>
      <c r="C222" s="198">
        <v>5</v>
      </c>
      <c r="D222" s="198">
        <v>7812.34</v>
      </c>
      <c r="E222" s="198">
        <v>11087.6</v>
      </c>
      <c r="F222" s="198">
        <v>7</v>
      </c>
      <c r="G222" s="200">
        <f t="shared" si="112"/>
      </c>
      <c r="H222" s="200">
        <f t="shared" si="22"/>
      </c>
      <c r="I222" s="200">
        <f t="shared" si="52"/>
      </c>
      <c r="J222" s="200">
        <f t="shared" si="82"/>
      </c>
      <c r="K222" s="200"/>
    </row>
    <row r="223">
      <c r="A223" s="196" t="s">
        <v>402</v>
      </c>
      <c r="B223" s="196"/>
      <c r="C223" s="196">
        <f>SUM(C219:C222)</f>
      </c>
      <c r="D223" s="196">
        <f>SUM(D219:D222)</f>
      </c>
      <c r="E223" s="196">
        <f>SUM(E219:E222)</f>
      </c>
      <c r="F223" s="196">
        <f>SUM(F219:F222)</f>
      </c>
      <c r="G223" s="201">
        <f t="shared" si="112"/>
      </c>
      <c r="H223" s="201">
        <f t="shared" si="22"/>
      </c>
      <c r="I223" s="201">
        <f t="shared" si="52"/>
      </c>
      <c r="J223" s="201">
        <f t="shared" si="82"/>
      </c>
      <c r="K223" s="201"/>
    </row>
    <row r="224">
      <c r="A224" s="202" t="s">
        <v>403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</row>
    <row r="225">
      <c r="A225" s="203" t="s">
        <v>391</v>
      </c>
      <c r="B225" s="203" t="s">
        <v>404</v>
      </c>
      <c r="C225" s="203" t="s">
        <v>405</v>
      </c>
      <c r="D225" s="203" t="s">
        <v>406</v>
      </c>
      <c r="E225" s="203" t="s">
        <v>407</v>
      </c>
      <c r="F225" s="203" t="s">
        <v>408</v>
      </c>
      <c r="G225" s="203" t="s">
        <v>409</v>
      </c>
      <c r="H225" s="204" t="s">
        <v>410</v>
      </c>
      <c r="I225" s="204" t="s">
        <v>411</v>
      </c>
      <c r="J225" s="204" t="s">
        <v>412</v>
      </c>
      <c r="K225" s="204" t="s">
        <v>390</v>
      </c>
    </row>
    <row r="226">
      <c r="A226" s="216">
        <f>SUM(D219:D222)</f>
      </c>
      <c r="B226" s="216">
        <f>SUM(E219:E222)</f>
      </c>
      <c r="C226" s="217">
        <f>B226/((K226*300)+A226)</f>
      </c>
      <c r="D226" s="218">
        <f>A226/J226</f>
      </c>
      <c r="E226" s="217">
        <f>B226/J226</f>
      </c>
      <c r="F226" s="219">
        <f>J226/I226</f>
      </c>
      <c r="G226" s="219">
        <f>H226/J226</f>
      </c>
      <c r="H226" s="220">
        <v>5</v>
      </c>
      <c r="I226" s="220">
        <v>54</v>
      </c>
      <c r="J226" s="220">
        <f>F223</f>
      </c>
      <c r="K226" s="220">
        <f>C223</f>
      </c>
    </row>
    <row r="227">
      <c r="A227" s="195" t="s">
        <v>450</v>
      </c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</row>
    <row r="228">
      <c r="A228" s="196" t="s">
        <v>388</v>
      </c>
      <c r="B228" s="196" t="s">
        <v>389</v>
      </c>
      <c r="C228" s="196" t="s">
        <v>390</v>
      </c>
      <c r="D228" s="196" t="s">
        <v>391</v>
      </c>
      <c r="E228" s="197" t="s">
        <v>392</v>
      </c>
      <c r="F228" s="196" t="s">
        <v>393</v>
      </c>
      <c r="G228" s="196" t="s">
        <v>394</v>
      </c>
      <c r="H228" s="196" t="s">
        <v>395</v>
      </c>
      <c r="I228" s="196" t="s">
        <v>396</v>
      </c>
      <c r="J228" s="196" t="s">
        <v>397</v>
      </c>
      <c r="K228" s="196"/>
    </row>
    <row r="229">
      <c r="A229" s="214" t="s">
        <v>398</v>
      </c>
      <c r="B229" s="199" t="s">
        <v>432</v>
      </c>
      <c r="C229" s="198">
        <v>5</v>
      </c>
      <c r="D229" s="198">
        <v>8181.700000000001</v>
      </c>
      <c r="E229" s="198">
        <v>5743.6</v>
      </c>
      <c r="F229" s="198">
        <v>4</v>
      </c>
      <c r="G229" s="200">
        <f t="shared" ref="G229:G233" si="113">E229/F229</f>
      </c>
      <c r="H229" s="200">
        <f t="shared" ref="H229:H233" si="23">D229/F229</f>
      </c>
      <c r="I229" s="200">
        <f t="shared" ref="I229:I233" si="53">E229/D229</f>
      </c>
      <c r="J229" s="200">
        <f t="shared" ref="J229:J233" si="83">D229/C229</f>
      </c>
      <c r="K229" s="200"/>
    </row>
    <row r="230">
      <c r="A230" s="214" t="s">
        <v>421</v>
      </c>
      <c r="B230" s="199" t="s">
        <v>451</v>
      </c>
      <c r="C230" s="198">
        <v>3</v>
      </c>
      <c r="D230" s="198">
        <v>4942.049999999999</v>
      </c>
      <c r="E230" s="198">
        <v>8096</v>
      </c>
      <c r="F230" s="198">
        <v>5</v>
      </c>
      <c r="G230" s="200">
        <f t="shared" si="113"/>
      </c>
      <c r="H230" s="200">
        <f t="shared" si="23"/>
      </c>
      <c r="I230" s="200">
        <f t="shared" si="53"/>
      </c>
      <c r="J230" s="200">
        <f t="shared" si="83"/>
      </c>
      <c r="K230" s="200"/>
    </row>
    <row r="231">
      <c r="A231" s="214" t="s">
        <v>400</v>
      </c>
      <c r="B231" s="199" t="s">
        <v>416</v>
      </c>
      <c r="C231" s="198">
        <v>4</v>
      </c>
      <c r="D231" s="198">
        <v>6259.000000000004</v>
      </c>
      <c r="E231" s="198">
        <v>11180.199999999999</v>
      </c>
      <c r="F231" s="198">
        <v>8</v>
      </c>
      <c r="G231" s="200">
        <f t="shared" si="113"/>
      </c>
      <c r="H231" s="200">
        <f t="shared" si="23"/>
      </c>
      <c r="I231" s="200">
        <f t="shared" si="53"/>
      </c>
      <c r="J231" s="200">
        <f t="shared" si="83"/>
      </c>
      <c r="K231" s="200"/>
    </row>
    <row r="232">
      <c r="A232" s="214" t="s">
        <v>417</v>
      </c>
      <c r="B232" s="199" t="s">
        <v>418</v>
      </c>
      <c r="C232" s="198">
        <v>4</v>
      </c>
      <c r="D232" s="198">
        <v>8066.119999999999</v>
      </c>
      <c r="E232" s="198">
        <v>7958.600000000002</v>
      </c>
      <c r="F232" s="198">
        <v>6</v>
      </c>
      <c r="G232" s="200">
        <f t="shared" si="113"/>
      </c>
      <c r="H232" s="200">
        <f t="shared" si="23"/>
      </c>
      <c r="I232" s="200">
        <f t="shared" si="53"/>
      </c>
      <c r="J232" s="200">
        <f t="shared" si="83"/>
      </c>
      <c r="K232" s="200"/>
    </row>
    <row r="233">
      <c r="A233" s="196" t="s">
        <v>402</v>
      </c>
      <c r="B233" s="196"/>
      <c r="C233" s="196">
        <f>SUM(C229:C232)</f>
      </c>
      <c r="D233" s="196">
        <f>SUM(D229:D232)</f>
      </c>
      <c r="E233" s="196">
        <f>SUM(E229:E232)</f>
      </c>
      <c r="F233" s="196">
        <f>SUM(F229:F232)</f>
      </c>
      <c r="G233" s="201">
        <f t="shared" si="113"/>
      </c>
      <c r="H233" s="201">
        <f t="shared" si="23"/>
      </c>
      <c r="I233" s="201">
        <f t="shared" si="53"/>
      </c>
      <c r="J233" s="201">
        <f t="shared" si="83"/>
      </c>
      <c r="K233" s="201"/>
    </row>
    <row r="234">
      <c r="A234" s="202" t="s">
        <v>403</v>
      </c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</row>
    <row r="235">
      <c r="A235" s="203" t="s">
        <v>391</v>
      </c>
      <c r="B235" s="203" t="s">
        <v>404</v>
      </c>
      <c r="C235" s="203" t="s">
        <v>405</v>
      </c>
      <c r="D235" s="203" t="s">
        <v>406</v>
      </c>
      <c r="E235" s="203" t="s">
        <v>407</v>
      </c>
      <c r="F235" s="203" t="s">
        <v>408</v>
      </c>
      <c r="G235" s="203" t="s">
        <v>409</v>
      </c>
      <c r="H235" s="204" t="s">
        <v>410</v>
      </c>
      <c r="I235" s="204" t="s">
        <v>411</v>
      </c>
      <c r="J235" s="204" t="s">
        <v>412</v>
      </c>
      <c r="K235" s="204" t="s">
        <v>390</v>
      </c>
    </row>
    <row r="236">
      <c r="A236" s="216">
        <f>SUM(D229:D232)</f>
      </c>
      <c r="B236" s="216">
        <f>SUM(E229:E232)</f>
      </c>
      <c r="C236" s="217">
        <f>B236/((K236*300)+A236)</f>
      </c>
      <c r="D236" s="218">
        <f>A236/J236</f>
      </c>
      <c r="E236" s="217">
        <f>B236/J236</f>
      </c>
      <c r="F236" s="219">
        <f>J236/I236</f>
      </c>
      <c r="G236" s="219">
        <f>H236/J236</f>
      </c>
      <c r="H236" s="220">
        <v>1</v>
      </c>
      <c r="I236" s="220">
        <v>41</v>
      </c>
      <c r="J236" s="220">
        <f>F233</f>
      </c>
      <c r="K236" s="220">
        <f>C233</f>
      </c>
    </row>
    <row r="237">
      <c r="A237" s="195" t="s">
        <v>452</v>
      </c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</row>
    <row r="238">
      <c r="A238" s="196" t="s">
        <v>388</v>
      </c>
      <c r="B238" s="196" t="s">
        <v>389</v>
      </c>
      <c r="C238" s="196" t="s">
        <v>390</v>
      </c>
      <c r="D238" s="196" t="s">
        <v>391</v>
      </c>
      <c r="E238" s="197" t="s">
        <v>392</v>
      </c>
      <c r="F238" s="196" t="s">
        <v>393</v>
      </c>
      <c r="G238" s="196" t="s">
        <v>394</v>
      </c>
      <c r="H238" s="196" t="s">
        <v>395</v>
      </c>
      <c r="I238" s="196" t="s">
        <v>396</v>
      </c>
      <c r="J238" s="196" t="s">
        <v>397</v>
      </c>
      <c r="K238" s="196"/>
    </row>
    <row r="239">
      <c r="A239" s="214" t="s">
        <v>415</v>
      </c>
      <c r="B239" s="199" t="s">
        <v>399</v>
      </c>
      <c r="C239" s="198">
        <v>4</v>
      </c>
      <c r="D239" s="198">
        <v>4390.950000000001</v>
      </c>
      <c r="E239" s="198">
        <v>4721.4</v>
      </c>
      <c r="F239" s="198">
        <v>5</v>
      </c>
      <c r="G239" s="200">
        <f t="shared" ref="G239:G243" si="114">E239/F239</f>
      </c>
      <c r="H239" s="200">
        <f t="shared" ref="H239:H243" si="24">D239/F239</f>
      </c>
      <c r="I239" s="200">
        <f t="shared" ref="I239:I243" si="54">E239/D239</f>
      </c>
      <c r="J239" s="200">
        <f t="shared" ref="J239:J243" si="84">D239/C239</f>
      </c>
      <c r="K239" s="200"/>
    </row>
    <row r="240">
      <c r="A240" s="214" t="s">
        <v>398</v>
      </c>
      <c r="B240" s="199" t="s">
        <v>414</v>
      </c>
      <c r="C240" s="198">
        <v>4</v>
      </c>
      <c r="D240" s="198">
        <v>3482.4700000000003</v>
      </c>
      <c r="E240" s="198">
        <v>0</v>
      </c>
      <c r="F240" s="198">
        <v>0</v>
      </c>
      <c r="G240" s="200">
        <f t="shared" si="114"/>
      </c>
      <c r="H240" s="200">
        <f t="shared" si="24"/>
      </c>
      <c r="I240" s="200">
        <f t="shared" si="54"/>
      </c>
      <c r="J240" s="200">
        <f t="shared" si="84"/>
      </c>
      <c r="K240" s="200"/>
    </row>
    <row r="241">
      <c r="A241" s="214" t="s">
        <v>400</v>
      </c>
      <c r="B241" s="199" t="s">
        <v>416</v>
      </c>
      <c r="C241" s="198">
        <v>4</v>
      </c>
      <c r="D241" s="198">
        <v>5634.570000000001</v>
      </c>
      <c r="E241" s="198">
        <v>2498</v>
      </c>
      <c r="F241" s="198">
        <v>2</v>
      </c>
      <c r="G241" s="200">
        <f t="shared" si="114"/>
      </c>
      <c r="H241" s="200">
        <f t="shared" si="24"/>
      </c>
      <c r="I241" s="200">
        <f t="shared" si="54"/>
      </c>
      <c r="J241" s="200">
        <f t="shared" si="84"/>
      </c>
      <c r="K241" s="200"/>
    </row>
    <row r="242">
      <c r="A242" s="214" t="s">
        <v>417</v>
      </c>
      <c r="B242" s="199" t="s">
        <v>418</v>
      </c>
      <c r="C242" s="198">
        <v>4</v>
      </c>
      <c r="D242" s="198">
        <v>4842.78</v>
      </c>
      <c r="E242" s="198">
        <v>26285.799999999996</v>
      </c>
      <c r="F242" s="198">
        <v>12</v>
      </c>
      <c r="G242" s="200">
        <f t="shared" si="114"/>
      </c>
      <c r="H242" s="200">
        <f t="shared" si="24"/>
      </c>
      <c r="I242" s="200">
        <f t="shared" si="54"/>
      </c>
      <c r="J242" s="200">
        <f t="shared" si="84"/>
      </c>
      <c r="K242" s="200"/>
    </row>
    <row r="243">
      <c r="A243" s="196" t="s">
        <v>402</v>
      </c>
      <c r="B243" s="196"/>
      <c r="C243" s="196">
        <f>SUM(C239:C242)</f>
      </c>
      <c r="D243" s="196">
        <f>SUM(D239:D242)</f>
      </c>
      <c r="E243" s="196">
        <f>SUM(E239:E242)</f>
      </c>
      <c r="F243" s="196">
        <f>SUM(F239:F242)</f>
      </c>
      <c r="G243" s="201">
        <f t="shared" si="114"/>
      </c>
      <c r="H243" s="201">
        <f t="shared" si="24"/>
      </c>
      <c r="I243" s="201">
        <f t="shared" si="54"/>
      </c>
      <c r="J243" s="201">
        <f t="shared" si="84"/>
      </c>
      <c r="K243" s="201"/>
    </row>
    <row r="244">
      <c r="A244" s="202" t="s">
        <v>403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</row>
    <row r="245">
      <c r="A245" s="203" t="s">
        <v>391</v>
      </c>
      <c r="B245" s="203" t="s">
        <v>404</v>
      </c>
      <c r="C245" s="203" t="s">
        <v>405</v>
      </c>
      <c r="D245" s="203" t="s">
        <v>406</v>
      </c>
      <c r="E245" s="203" t="s">
        <v>407</v>
      </c>
      <c r="F245" s="203" t="s">
        <v>408</v>
      </c>
      <c r="G245" s="203" t="s">
        <v>409</v>
      </c>
      <c r="H245" s="204" t="s">
        <v>410</v>
      </c>
      <c r="I245" s="204" t="s">
        <v>411</v>
      </c>
      <c r="J245" s="204" t="s">
        <v>412</v>
      </c>
      <c r="K245" s="204" t="s">
        <v>390</v>
      </c>
    </row>
    <row r="246">
      <c r="A246" s="216">
        <f>SUM(D239:D242)</f>
      </c>
      <c r="B246" s="216">
        <f>SUM(E239:E242)</f>
      </c>
      <c r="C246" s="217">
        <f>B246/((K246*300)+A246)</f>
      </c>
      <c r="D246" s="218">
        <f>A246/J246</f>
      </c>
      <c r="E246" s="217">
        <f>B246/J246</f>
      </c>
      <c r="F246" s="219">
        <f>J246/I246</f>
      </c>
      <c r="G246" s="219">
        <f>H246/J246</f>
      </c>
      <c r="H246" s="220">
        <v>2</v>
      </c>
      <c r="I246" s="220">
        <v>23</v>
      </c>
      <c r="J246" s="220">
        <f>F243</f>
      </c>
      <c r="K246" s="220">
        <f>C243</f>
      </c>
    </row>
    <row r="247">
      <c r="A247" s="195" t="s">
        <v>453</v>
      </c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</row>
    <row r="248">
      <c r="A248" s="196" t="s">
        <v>388</v>
      </c>
      <c r="B248" s="196" t="s">
        <v>389</v>
      </c>
      <c r="C248" s="196" t="s">
        <v>390</v>
      </c>
      <c r="D248" s="196" t="s">
        <v>391</v>
      </c>
      <c r="E248" s="197" t="s">
        <v>392</v>
      </c>
      <c r="F248" s="196" t="s">
        <v>393</v>
      </c>
      <c r="G248" s="196" t="s">
        <v>394</v>
      </c>
      <c r="H248" s="196" t="s">
        <v>395</v>
      </c>
      <c r="I248" s="196" t="s">
        <v>396</v>
      </c>
      <c r="J248" s="196" t="s">
        <v>397</v>
      </c>
      <c r="K248" s="196"/>
    </row>
    <row r="249">
      <c r="A249" s="214" t="s">
        <v>398</v>
      </c>
      <c r="B249" s="199" t="s">
        <v>399</v>
      </c>
      <c r="C249" s="198">
        <v>4</v>
      </c>
      <c r="D249" s="198">
        <v>3884.34</v>
      </c>
      <c r="E249" s="198">
        <v>7127.2</v>
      </c>
      <c r="F249" s="198">
        <v>5</v>
      </c>
      <c r="G249" s="200">
        <f t="shared" ref="G249:G253" si="115">E249/F249</f>
      </c>
      <c r="H249" s="200">
        <f t="shared" ref="H249:H253" si="25">D249/F249</f>
      </c>
      <c r="I249" s="200">
        <f t="shared" ref="I249:I253" si="55">E249/D249</f>
      </c>
      <c r="J249" s="200">
        <f t="shared" ref="J249:J253" si="85">D249/C249</f>
      </c>
      <c r="K249" s="200"/>
    </row>
    <row r="250">
      <c r="A250" s="214" t="s">
        <v>421</v>
      </c>
      <c r="B250" s="199" t="s">
        <v>414</v>
      </c>
      <c r="C250" s="198">
        <v>4</v>
      </c>
      <c r="D250" s="198">
        <v>5210.18</v>
      </c>
      <c r="E250" s="198">
        <v>4239.599999999999</v>
      </c>
      <c r="F250" s="198">
        <v>1</v>
      </c>
      <c r="G250" s="200">
        <f t="shared" si="115"/>
      </c>
      <c r="H250" s="200">
        <f t="shared" si="25"/>
      </c>
      <c r="I250" s="200">
        <f t="shared" si="55"/>
      </c>
      <c r="J250" s="200">
        <f t="shared" si="85"/>
      </c>
      <c r="K250" s="200"/>
    </row>
    <row r="251">
      <c r="A251" s="214" t="s">
        <v>400</v>
      </c>
      <c r="B251" s="199" t="s">
        <v>416</v>
      </c>
      <c r="C251" s="198">
        <v>4</v>
      </c>
      <c r="D251" s="198">
        <v>5202.719999999999</v>
      </c>
      <c r="E251" s="198">
        <v>8901.600000000002</v>
      </c>
      <c r="F251" s="198">
        <v>4</v>
      </c>
      <c r="G251" s="200">
        <f t="shared" si="115"/>
      </c>
      <c r="H251" s="200">
        <f t="shared" si="25"/>
      </c>
      <c r="I251" s="200">
        <f t="shared" si="55"/>
      </c>
      <c r="J251" s="200">
        <f t="shared" si="85"/>
      </c>
      <c r="K251" s="200"/>
    </row>
    <row r="252">
      <c r="A252" s="214" t="s">
        <v>417</v>
      </c>
      <c r="B252" s="199" t="s">
        <v>418</v>
      </c>
      <c r="C252" s="198">
        <v>4</v>
      </c>
      <c r="D252" s="198">
        <v>13751.26</v>
      </c>
      <c r="E252" s="198">
        <v>14883.599999999999</v>
      </c>
      <c r="F252" s="198">
        <v>9</v>
      </c>
      <c r="G252" s="200">
        <f t="shared" si="115"/>
      </c>
      <c r="H252" s="200">
        <f t="shared" si="25"/>
      </c>
      <c r="I252" s="200">
        <f t="shared" si="55"/>
      </c>
      <c r="J252" s="200">
        <f t="shared" si="85"/>
      </c>
      <c r="K252" s="200"/>
    </row>
    <row r="253">
      <c r="A253" s="196" t="s">
        <v>402</v>
      </c>
      <c r="B253" s="196"/>
      <c r="C253" s="196">
        <f>SUM(C249:C252)</f>
      </c>
      <c r="D253" s="196">
        <f>SUM(D249:D252)</f>
      </c>
      <c r="E253" s="196">
        <f>SUM(E249:E252)</f>
      </c>
      <c r="F253" s="196">
        <f>SUM(F249:F252)</f>
      </c>
      <c r="G253" s="201">
        <f t="shared" si="115"/>
      </c>
      <c r="H253" s="201">
        <f t="shared" si="25"/>
      </c>
      <c r="I253" s="201">
        <f t="shared" si="55"/>
      </c>
      <c r="J253" s="201">
        <f t="shared" si="85"/>
      </c>
      <c r="K253" s="201"/>
    </row>
    <row r="254">
      <c r="A254" s="202" t="s">
        <v>403</v>
      </c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</row>
    <row r="255">
      <c r="A255" s="203" t="s">
        <v>391</v>
      </c>
      <c r="B255" s="203" t="s">
        <v>404</v>
      </c>
      <c r="C255" s="203" t="s">
        <v>405</v>
      </c>
      <c r="D255" s="203" t="s">
        <v>406</v>
      </c>
      <c r="E255" s="203" t="s">
        <v>407</v>
      </c>
      <c r="F255" s="203" t="s">
        <v>408</v>
      </c>
      <c r="G255" s="203" t="s">
        <v>409</v>
      </c>
      <c r="H255" s="204" t="s">
        <v>410</v>
      </c>
      <c r="I255" s="204" t="s">
        <v>411</v>
      </c>
      <c r="J255" s="204" t="s">
        <v>412</v>
      </c>
      <c r="K255" s="204" t="s">
        <v>390</v>
      </c>
    </row>
    <row r="256">
      <c r="A256" s="216">
        <f>SUM(D249:D252)</f>
      </c>
      <c r="B256" s="216">
        <f>SUM(E249:E252)</f>
      </c>
      <c r="C256" s="217">
        <f>B256/((K256*300)+A256)</f>
      </c>
      <c r="D256" s="218">
        <f>A256/J256</f>
      </c>
      <c r="E256" s="217">
        <f>B256/J256</f>
      </c>
      <c r="F256" s="219">
        <f>J256/I256</f>
      </c>
      <c r="G256" s="219">
        <f>H256/J256</f>
      </c>
      <c r="H256" s="220">
        <v>2</v>
      </c>
      <c r="I256" s="220">
        <v>40</v>
      </c>
      <c r="J256" s="220">
        <f>F253</f>
      </c>
      <c r="K256" s="220">
        <f>C253</f>
      </c>
    </row>
    <row r="257">
      <c r="A257" s="195" t="s">
        <v>454</v>
      </c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</row>
    <row r="258">
      <c r="A258" s="196" t="s">
        <v>388</v>
      </c>
      <c r="B258" s="196" t="s">
        <v>389</v>
      </c>
      <c r="C258" s="196" t="s">
        <v>390</v>
      </c>
      <c r="D258" s="196" t="s">
        <v>391</v>
      </c>
      <c r="E258" s="197" t="s">
        <v>392</v>
      </c>
      <c r="F258" s="196" t="s">
        <v>393</v>
      </c>
      <c r="G258" s="196" t="s">
        <v>394</v>
      </c>
      <c r="H258" s="196" t="s">
        <v>395</v>
      </c>
      <c r="I258" s="196" t="s">
        <v>396</v>
      </c>
      <c r="J258" s="196" t="s">
        <v>397</v>
      </c>
      <c r="K258" s="196"/>
    </row>
    <row r="259">
      <c r="A259" s="214" t="s">
        <v>400</v>
      </c>
      <c r="B259" s="199" t="s">
        <v>399</v>
      </c>
      <c r="C259" s="198">
        <v>4</v>
      </c>
      <c r="D259" s="198">
        <v>7727.109999999999</v>
      </c>
      <c r="E259" s="198">
        <v>8054.4</v>
      </c>
      <c r="F259" s="198">
        <v>5</v>
      </c>
      <c r="G259" s="200">
        <f t="shared" ref="G259:G263" si="116">E259/F259</f>
      </c>
      <c r="H259" s="200">
        <f t="shared" ref="H259:H263" si="26">D259/F259</f>
      </c>
      <c r="I259" s="200">
        <f t="shared" ref="I259:I263" si="56">E259/D259</f>
      </c>
      <c r="J259" s="200">
        <f t="shared" ref="J259:J263" si="86">D259/C259</f>
      </c>
      <c r="K259" s="200"/>
    </row>
    <row r="260">
      <c r="A260" s="214" t="s">
        <v>398</v>
      </c>
      <c r="B260" s="199" t="s">
        <v>414</v>
      </c>
      <c r="C260" s="198">
        <v>4</v>
      </c>
      <c r="D260" s="198">
        <v>8490.960000000001</v>
      </c>
      <c r="E260" s="198">
        <v>9137.4</v>
      </c>
      <c r="F260" s="198">
        <v>9</v>
      </c>
      <c r="G260" s="200">
        <f t="shared" si="116"/>
      </c>
      <c r="H260" s="200">
        <f t="shared" si="26"/>
      </c>
      <c r="I260" s="200">
        <f t="shared" si="56"/>
      </c>
      <c r="J260" s="200">
        <f t="shared" si="86"/>
      </c>
      <c r="K260" s="200"/>
    </row>
    <row r="261">
      <c r="A261" s="214" t="s">
        <v>421</v>
      </c>
      <c r="B261" s="199" t="s">
        <v>416</v>
      </c>
      <c r="C261" s="198">
        <v>4</v>
      </c>
      <c r="D261" s="198">
        <v>9544.43</v>
      </c>
      <c r="E261" s="198">
        <v>9366.8</v>
      </c>
      <c r="F261" s="198">
        <v>8</v>
      </c>
      <c r="G261" s="200">
        <f t="shared" si="116"/>
      </c>
      <c r="H261" s="200">
        <f t="shared" si="26"/>
      </c>
      <c r="I261" s="200">
        <f t="shared" si="56"/>
      </c>
      <c r="J261" s="200">
        <f t="shared" si="86"/>
      </c>
      <c r="K261" s="200"/>
    </row>
    <row r="262">
      <c r="A262" s="214" t="s">
        <v>417</v>
      </c>
      <c r="B262" s="199" t="s">
        <v>418</v>
      </c>
      <c r="C262" s="198">
        <v>4</v>
      </c>
      <c r="D262" s="198">
        <v>8356.370000000003</v>
      </c>
      <c r="E262" s="198">
        <v>7618.800000000003</v>
      </c>
      <c r="F262" s="198">
        <v>3</v>
      </c>
      <c r="G262" s="200">
        <f t="shared" si="116"/>
      </c>
      <c r="H262" s="200">
        <f t="shared" si="26"/>
      </c>
      <c r="I262" s="200">
        <f t="shared" si="56"/>
      </c>
      <c r="J262" s="200">
        <f t="shared" si="86"/>
      </c>
      <c r="K262" s="200"/>
    </row>
    <row r="263">
      <c r="A263" s="196" t="s">
        <v>402</v>
      </c>
      <c r="B263" s="196"/>
      <c r="C263" s="196">
        <f>SUM(C259:C262)</f>
      </c>
      <c r="D263" s="196">
        <f>SUM(D259:D262)</f>
      </c>
      <c r="E263" s="196">
        <f>SUM(E259:E262)</f>
      </c>
      <c r="F263" s="196">
        <f>SUM(F259:F262)</f>
      </c>
      <c r="G263" s="201">
        <f t="shared" si="116"/>
      </c>
      <c r="H263" s="201">
        <f t="shared" si="26"/>
      </c>
      <c r="I263" s="201">
        <f t="shared" si="56"/>
      </c>
      <c r="J263" s="201">
        <f t="shared" si="86"/>
      </c>
      <c r="K263" s="201"/>
    </row>
    <row r="264">
      <c r="A264" s="202" t="s">
        <v>403</v>
      </c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</row>
    <row r="265">
      <c r="A265" s="203" t="s">
        <v>391</v>
      </c>
      <c r="B265" s="203" t="s">
        <v>404</v>
      </c>
      <c r="C265" s="203" t="s">
        <v>405</v>
      </c>
      <c r="D265" s="203" t="s">
        <v>406</v>
      </c>
      <c r="E265" s="203" t="s">
        <v>407</v>
      </c>
      <c r="F265" s="203" t="s">
        <v>408</v>
      </c>
      <c r="G265" s="203" t="s">
        <v>409</v>
      </c>
      <c r="H265" s="204" t="s">
        <v>410</v>
      </c>
      <c r="I265" s="204" t="s">
        <v>411</v>
      </c>
      <c r="J265" s="204" t="s">
        <v>412</v>
      </c>
      <c r="K265" s="204" t="s">
        <v>390</v>
      </c>
    </row>
    <row r="266">
      <c r="A266" s="216">
        <f>SUM(D259:D262)</f>
      </c>
      <c r="B266" s="216">
        <f>SUM(E259:E262)</f>
      </c>
      <c r="C266" s="217">
        <f>B266/((K266*300)+A266)</f>
      </c>
      <c r="D266" s="218">
        <f>A266/J266</f>
      </c>
      <c r="E266" s="217">
        <f>B266/J266</f>
      </c>
      <c r="F266" s="219">
        <f>J266/I266</f>
      </c>
      <c r="G266" s="219">
        <f>H266/J266</f>
      </c>
      <c r="H266" s="220">
        <v>2</v>
      </c>
      <c r="I266" s="220">
        <v>44</v>
      </c>
      <c r="J266" s="220">
        <f>F263</f>
      </c>
      <c r="K266" s="220">
        <f>C263</f>
      </c>
    </row>
    <row r="267">
      <c r="A267" s="195" t="s">
        <v>455</v>
      </c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</row>
    <row r="268">
      <c r="A268" s="196" t="s">
        <v>388</v>
      </c>
      <c r="B268" s="196" t="s">
        <v>389</v>
      </c>
      <c r="C268" s="196" t="s">
        <v>390</v>
      </c>
      <c r="D268" s="196" t="s">
        <v>391</v>
      </c>
      <c r="E268" s="197" t="s">
        <v>392</v>
      </c>
      <c r="F268" s="196" t="s">
        <v>393</v>
      </c>
      <c r="G268" s="196" t="s">
        <v>394</v>
      </c>
      <c r="H268" s="196" t="s">
        <v>395</v>
      </c>
      <c r="I268" s="196" t="s">
        <v>396</v>
      </c>
      <c r="J268" s="196" t="s">
        <v>397</v>
      </c>
      <c r="K268" s="196"/>
    </row>
    <row r="269">
      <c r="A269" s="214" t="s">
        <v>398</v>
      </c>
      <c r="B269" s="199" t="s">
        <v>399</v>
      </c>
      <c r="C269" s="198">
        <v>4</v>
      </c>
      <c r="D269" s="198">
        <v>7416.45</v>
      </c>
      <c r="E269" s="198">
        <v>8502</v>
      </c>
      <c r="F269" s="198">
        <v>5</v>
      </c>
      <c r="G269" s="200">
        <f t="shared" ref="G269:G273" si="117">E269/F269</f>
      </c>
      <c r="H269" s="200">
        <f t="shared" ref="H269:H273" si="27">D269/F269</f>
      </c>
      <c r="I269" s="200">
        <f t="shared" ref="I269:I273" si="57">E269/D269</f>
      </c>
      <c r="J269" s="200">
        <f t="shared" ref="J269:J273" si="87">D269/C269</f>
      </c>
      <c r="K269" s="200"/>
    </row>
    <row r="270">
      <c r="A270" s="214" t="s">
        <v>400</v>
      </c>
      <c r="B270" s="199" t="s">
        <v>414</v>
      </c>
      <c r="C270" s="198">
        <v>4</v>
      </c>
      <c r="D270" s="198">
        <v>5961.830000000001</v>
      </c>
      <c r="E270" s="198">
        <v>8640</v>
      </c>
      <c r="F270" s="198">
        <v>7</v>
      </c>
      <c r="G270" s="200">
        <f t="shared" si="117"/>
      </c>
      <c r="H270" s="200">
        <f t="shared" si="27"/>
      </c>
      <c r="I270" s="200">
        <f t="shared" si="57"/>
      </c>
      <c r="J270" s="200">
        <f t="shared" si="87"/>
      </c>
      <c r="K270" s="200"/>
    </row>
    <row r="271">
      <c r="A271" s="214" t="s">
        <v>421</v>
      </c>
      <c r="B271" s="199" t="s">
        <v>456</v>
      </c>
      <c r="C271" s="198">
        <v>5</v>
      </c>
      <c r="D271" s="198">
        <v>12292.479999999998</v>
      </c>
      <c r="E271" s="198">
        <v>27652.199999999997</v>
      </c>
      <c r="F271" s="198">
        <v>18</v>
      </c>
      <c r="G271" s="200">
        <f t="shared" si="117"/>
      </c>
      <c r="H271" s="200">
        <f t="shared" si="27"/>
      </c>
      <c r="I271" s="200">
        <f t="shared" si="57"/>
      </c>
      <c r="J271" s="200">
        <f t="shared" si="87"/>
      </c>
      <c r="K271" s="200"/>
    </row>
    <row r="272">
      <c r="A272" s="214" t="s">
        <v>417</v>
      </c>
      <c r="B272" s="199" t="s">
        <v>457</v>
      </c>
      <c r="C272" s="198">
        <v>3</v>
      </c>
      <c r="D272" s="198">
        <v>9921.23</v>
      </c>
      <c r="E272" s="198">
        <v>5896.800000000003</v>
      </c>
      <c r="F272" s="198">
        <v>4</v>
      </c>
      <c r="G272" s="200">
        <f t="shared" si="117"/>
      </c>
      <c r="H272" s="200">
        <f t="shared" si="27"/>
      </c>
      <c r="I272" s="200">
        <f t="shared" si="57"/>
      </c>
      <c r="J272" s="200">
        <f t="shared" si="87"/>
      </c>
      <c r="K272" s="200"/>
    </row>
    <row r="273">
      <c r="A273" s="196" t="s">
        <v>402</v>
      </c>
      <c r="B273" s="196"/>
      <c r="C273" s="196">
        <f>SUM(C269:C272)</f>
      </c>
      <c r="D273" s="196">
        <f>SUM(D269:D272)</f>
      </c>
      <c r="E273" s="196">
        <f>SUM(E269:E272)</f>
      </c>
      <c r="F273" s="196">
        <f>SUM(F269:F272)</f>
      </c>
      <c r="G273" s="201">
        <f t="shared" si="117"/>
      </c>
      <c r="H273" s="201">
        <f t="shared" si="27"/>
      </c>
      <c r="I273" s="201">
        <f t="shared" si="57"/>
      </c>
      <c r="J273" s="201">
        <f t="shared" si="87"/>
      </c>
      <c r="K273" s="201"/>
    </row>
    <row r="274">
      <c r="A274" s="202" t="s">
        <v>403</v>
      </c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</row>
    <row r="275">
      <c r="A275" s="203" t="s">
        <v>391</v>
      </c>
      <c r="B275" s="203" t="s">
        <v>404</v>
      </c>
      <c r="C275" s="203" t="s">
        <v>405</v>
      </c>
      <c r="D275" s="203" t="s">
        <v>406</v>
      </c>
      <c r="E275" s="203" t="s">
        <v>407</v>
      </c>
      <c r="F275" s="203" t="s">
        <v>408</v>
      </c>
      <c r="G275" s="203" t="s">
        <v>409</v>
      </c>
      <c r="H275" s="204" t="s">
        <v>410</v>
      </c>
      <c r="I275" s="204" t="s">
        <v>411</v>
      </c>
      <c r="J275" s="204" t="s">
        <v>412</v>
      </c>
      <c r="K275" s="204" t="s">
        <v>390</v>
      </c>
    </row>
    <row r="276">
      <c r="A276" s="216">
        <f>SUM(D269:D272)</f>
      </c>
      <c r="B276" s="216">
        <f>SUM(E269:E272)</f>
      </c>
      <c r="C276" s="217">
        <f>B276/((K276*300)+A276)</f>
      </c>
      <c r="D276" s="218">
        <f>A276/J276</f>
      </c>
      <c r="E276" s="217">
        <f>B276/J276</f>
      </c>
      <c r="F276" s="219">
        <f>J276/I276</f>
      </c>
      <c r="G276" s="219">
        <f>H276/J276</f>
      </c>
      <c r="H276" s="220">
        <v>6</v>
      </c>
      <c r="I276" s="220">
        <v>52</v>
      </c>
      <c r="J276" s="220">
        <f>F273</f>
      </c>
      <c r="K276" s="220">
        <f>C273</f>
      </c>
    </row>
    <row r="277">
      <c r="A277" s="195" t="s">
        <v>458</v>
      </c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</row>
    <row r="278">
      <c r="A278" s="196" t="s">
        <v>388</v>
      </c>
      <c r="B278" s="196" t="s">
        <v>389</v>
      </c>
      <c r="C278" s="196" t="s">
        <v>390</v>
      </c>
      <c r="D278" s="196" t="s">
        <v>391</v>
      </c>
      <c r="E278" s="197" t="s">
        <v>392</v>
      </c>
      <c r="F278" s="196" t="s">
        <v>393</v>
      </c>
      <c r="G278" s="196" t="s">
        <v>394</v>
      </c>
      <c r="H278" s="196" t="s">
        <v>395</v>
      </c>
      <c r="I278" s="196" t="s">
        <v>396</v>
      </c>
      <c r="J278" s="196" t="s">
        <v>397</v>
      </c>
      <c r="K278" s="196"/>
    </row>
    <row r="279">
      <c r="A279" s="214" t="s">
        <v>398</v>
      </c>
      <c r="B279" s="199" t="s">
        <v>399</v>
      </c>
      <c r="C279" s="198">
        <v>4</v>
      </c>
      <c r="D279" s="198">
        <v>5867.17</v>
      </c>
      <c r="E279" s="198">
        <v>5241.6</v>
      </c>
      <c r="F279" s="198">
        <v>3</v>
      </c>
      <c r="G279" s="200">
        <f t="shared" ref="G279:G283" si="118">E279/F279</f>
      </c>
      <c r="H279" s="200">
        <f t="shared" ref="H279:H283" si="28">D279/F279</f>
      </c>
      <c r="I279" s="200">
        <f t="shared" ref="I279:I283" si="58">E279/D279</f>
      </c>
      <c r="J279" s="200">
        <f t="shared" ref="J279:J283" si="88">D279/C279</f>
      </c>
      <c r="K279" s="200"/>
    </row>
    <row r="280">
      <c r="A280" s="214" t="s">
        <v>400</v>
      </c>
      <c r="B280" s="199" t="s">
        <v>414</v>
      </c>
      <c r="C280" s="198">
        <v>4</v>
      </c>
      <c r="D280" s="198">
        <v>8619.24</v>
      </c>
      <c r="E280" s="198">
        <v>7133.6</v>
      </c>
      <c r="F280" s="198">
        <v>6</v>
      </c>
      <c r="G280" s="200">
        <f t="shared" si="118"/>
      </c>
      <c r="H280" s="200">
        <f t="shared" si="28"/>
      </c>
      <c r="I280" s="200">
        <f t="shared" si="58"/>
      </c>
      <c r="J280" s="200">
        <f t="shared" si="88"/>
      </c>
      <c r="K280" s="200"/>
    </row>
    <row r="281">
      <c r="A281" s="214" t="s">
        <v>421</v>
      </c>
      <c r="B281" s="199" t="s">
        <v>416</v>
      </c>
      <c r="C281" s="198">
        <v>4</v>
      </c>
      <c r="D281" s="198">
        <v>9295.740000000002</v>
      </c>
      <c r="E281" s="198">
        <v>8194.199999999997</v>
      </c>
      <c r="F281" s="198">
        <v>8</v>
      </c>
      <c r="G281" s="200">
        <f t="shared" si="118"/>
      </c>
      <c r="H281" s="200">
        <f t="shared" si="28"/>
      </c>
      <c r="I281" s="200">
        <f t="shared" si="58"/>
      </c>
      <c r="J281" s="200">
        <f t="shared" si="88"/>
      </c>
      <c r="K281" s="200"/>
    </row>
    <row r="282">
      <c r="A282" s="214" t="s">
        <v>417</v>
      </c>
      <c r="B282" s="199" t="s">
        <v>418</v>
      </c>
      <c r="C282" s="198">
        <v>4</v>
      </c>
      <c r="D282" s="198">
        <v>9747.089999999997</v>
      </c>
      <c r="E282" s="198">
        <v>24569.600000000002</v>
      </c>
      <c r="F282" s="198">
        <v>11</v>
      </c>
      <c r="G282" s="200">
        <f t="shared" si="118"/>
      </c>
      <c r="H282" s="200">
        <f t="shared" si="28"/>
      </c>
      <c r="I282" s="200">
        <f t="shared" si="58"/>
      </c>
      <c r="J282" s="200">
        <f t="shared" si="88"/>
      </c>
      <c r="K282" s="200"/>
    </row>
    <row r="283">
      <c r="A283" s="196" t="s">
        <v>402</v>
      </c>
      <c r="B283" s="196"/>
      <c r="C283" s="196">
        <f>SUM(C279:C282)</f>
      </c>
      <c r="D283" s="196">
        <f>SUM(D279:D282)</f>
      </c>
      <c r="E283" s="196">
        <f>SUM(E279:E282)</f>
      </c>
      <c r="F283" s="196">
        <f>SUM(F279:F282)</f>
      </c>
      <c r="G283" s="201">
        <f t="shared" si="118"/>
      </c>
      <c r="H283" s="201">
        <f t="shared" si="28"/>
      </c>
      <c r="I283" s="201">
        <f t="shared" si="58"/>
      </c>
      <c r="J283" s="201">
        <f t="shared" si="88"/>
      </c>
      <c r="K283" s="201"/>
    </row>
    <row r="284">
      <c r="A284" s="202" t="s">
        <v>403</v>
      </c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</row>
    <row r="285">
      <c r="A285" s="203" t="s">
        <v>391</v>
      </c>
      <c r="B285" s="203" t="s">
        <v>404</v>
      </c>
      <c r="C285" s="203" t="s">
        <v>405</v>
      </c>
      <c r="D285" s="203" t="s">
        <v>406</v>
      </c>
      <c r="E285" s="203" t="s">
        <v>407</v>
      </c>
      <c r="F285" s="203" t="s">
        <v>408</v>
      </c>
      <c r="G285" s="203" t="s">
        <v>409</v>
      </c>
      <c r="H285" s="204" t="s">
        <v>410</v>
      </c>
      <c r="I285" s="204" t="s">
        <v>411</v>
      </c>
      <c r="J285" s="204" t="s">
        <v>412</v>
      </c>
      <c r="K285" s="204" t="s">
        <v>390</v>
      </c>
    </row>
    <row r="286">
      <c r="A286" s="216">
        <f>SUM(D279:D282)</f>
      </c>
      <c r="B286" s="216">
        <f>SUM(E279:E282)</f>
      </c>
      <c r="C286" s="217">
        <f>B286/((K286*300)+A286)</f>
      </c>
      <c r="D286" s="218">
        <f>A286/J286</f>
      </c>
      <c r="E286" s="217">
        <f>B286/J286</f>
      </c>
      <c r="F286" s="219">
        <f>J286/I286</f>
      </c>
      <c r="G286" s="219">
        <f>H286/J286</f>
      </c>
      <c r="H286" s="220">
        <v>3</v>
      </c>
      <c r="I286" s="220">
        <v>39</v>
      </c>
      <c r="J286" s="220">
        <f>F283</f>
      </c>
      <c r="K286" s="220">
        <f>C283</f>
      </c>
    </row>
    <row r="287">
      <c r="A287" s="221" t="s">
        <v>459</v>
      </c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</row>
    <row r="288">
      <c r="A288" s="196" t="s">
        <v>388</v>
      </c>
      <c r="B288" s="196" t="s">
        <v>389</v>
      </c>
      <c r="C288" s="196" t="s">
        <v>390</v>
      </c>
      <c r="D288" s="196" t="s">
        <v>391</v>
      </c>
      <c r="E288" s="197" t="s">
        <v>392</v>
      </c>
      <c r="F288" s="196" t="s">
        <v>393</v>
      </c>
      <c r="G288" s="196" t="s">
        <v>394</v>
      </c>
      <c r="H288" s="196" t="s">
        <v>395</v>
      </c>
      <c r="I288" s="196" t="s">
        <v>396</v>
      </c>
      <c r="J288" s="196" t="s">
        <v>397</v>
      </c>
      <c r="K288" s="196"/>
    </row>
    <row r="289">
      <c r="A289" s="214" t="s">
        <v>400</v>
      </c>
      <c r="B289" s="199" t="s">
        <v>399</v>
      </c>
      <c r="C289" s="198">
        <v>4</v>
      </c>
      <c r="D289" s="198">
        <v>8200.13</v>
      </c>
      <c r="E289" s="198">
        <v>16358.999999999998</v>
      </c>
      <c r="F289" s="198">
        <v>10</v>
      </c>
      <c r="G289" s="200">
        <f t="shared" ref="G289:G293" si="119">E289/F289</f>
      </c>
      <c r="H289" s="200">
        <f t="shared" ref="H289:H293" si="29">D289/F289</f>
      </c>
      <c r="I289" s="200">
        <f t="shared" ref="I289:I293" si="59">E289/D289</f>
      </c>
      <c r="J289" s="200">
        <f t="shared" ref="J289:J293" si="89">D289/C289</f>
      </c>
      <c r="K289" s="200"/>
    </row>
    <row r="290">
      <c r="A290" s="214" t="s">
        <v>421</v>
      </c>
      <c r="B290" s="199" t="s">
        <v>414</v>
      </c>
      <c r="C290" s="198">
        <v>4</v>
      </c>
      <c r="D290" s="198">
        <v>8742.880000000003</v>
      </c>
      <c r="E290" s="198">
        <v>22224</v>
      </c>
      <c r="F290" s="198">
        <v>13</v>
      </c>
      <c r="G290" s="200">
        <f t="shared" si="119"/>
      </c>
      <c r="H290" s="200">
        <f t="shared" si="29"/>
      </c>
      <c r="I290" s="200">
        <f t="shared" si="59"/>
      </c>
      <c r="J290" s="200">
        <f t="shared" si="89"/>
      </c>
      <c r="K290" s="200"/>
    </row>
    <row r="291">
      <c r="A291" s="214" t="s">
        <v>398</v>
      </c>
      <c r="B291" s="199" t="s">
        <v>416</v>
      </c>
      <c r="C291" s="198">
        <v>4</v>
      </c>
      <c r="D291" s="198">
        <v>7639.610000000001</v>
      </c>
      <c r="E291" s="198">
        <v>8380.799999999996</v>
      </c>
      <c r="F291" s="198">
        <v>6</v>
      </c>
      <c r="G291" s="200">
        <f t="shared" si="119"/>
      </c>
      <c r="H291" s="200">
        <f t="shared" si="29"/>
      </c>
      <c r="I291" s="200">
        <f t="shared" si="59"/>
      </c>
      <c r="J291" s="200">
        <f t="shared" si="89"/>
      </c>
      <c r="K291" s="200"/>
    </row>
    <row r="292">
      <c r="A292" s="214" t="s">
        <v>417</v>
      </c>
      <c r="B292" s="199" t="s">
        <v>460</v>
      </c>
      <c r="C292" s="198">
        <v>4</v>
      </c>
      <c r="D292" s="198">
        <v>6234.149999999998</v>
      </c>
      <c r="E292" s="198">
        <v>20071.999999999993</v>
      </c>
      <c r="F292" s="198">
        <v>11</v>
      </c>
      <c r="G292" s="200">
        <f t="shared" si="119"/>
      </c>
      <c r="H292" s="200">
        <f t="shared" si="29"/>
      </c>
      <c r="I292" s="200">
        <f t="shared" si="59"/>
      </c>
      <c r="J292" s="200">
        <f t="shared" si="89"/>
      </c>
      <c r="K292" s="200"/>
    </row>
    <row r="293">
      <c r="A293" s="196" t="s">
        <v>402</v>
      </c>
      <c r="B293" s="196"/>
      <c r="C293" s="196">
        <f>SUM(C289:C292)</f>
      </c>
      <c r="D293" s="196">
        <f>SUM(D289:D292)</f>
      </c>
      <c r="E293" s="196">
        <f>SUM(E289:E292)</f>
      </c>
      <c r="F293" s="196">
        <f>SUM(F289:F292)</f>
      </c>
      <c r="G293" s="201">
        <f t="shared" si="119"/>
      </c>
      <c r="H293" s="201">
        <f t="shared" si="29"/>
      </c>
      <c r="I293" s="201">
        <f t="shared" si="59"/>
      </c>
      <c r="J293" s="201">
        <f t="shared" si="89"/>
      </c>
      <c r="K293" s="201"/>
    </row>
    <row r="294">
      <c r="A294" s="202" t="s">
        <v>403</v>
      </c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</row>
    <row r="295">
      <c r="A295" s="203" t="s">
        <v>391</v>
      </c>
      <c r="B295" s="203" t="s">
        <v>404</v>
      </c>
      <c r="C295" s="203" t="s">
        <v>405</v>
      </c>
      <c r="D295" s="203" t="s">
        <v>406</v>
      </c>
      <c r="E295" s="203" t="s">
        <v>407</v>
      </c>
      <c r="F295" s="203" t="s">
        <v>408</v>
      </c>
      <c r="G295" s="203" t="s">
        <v>409</v>
      </c>
      <c r="H295" s="204" t="s">
        <v>410</v>
      </c>
      <c r="I295" s="204" t="s">
        <v>411</v>
      </c>
      <c r="J295" s="204" t="s">
        <v>412</v>
      </c>
      <c r="K295" s="204" t="s">
        <v>390</v>
      </c>
    </row>
    <row r="296">
      <c r="A296" s="216">
        <f>SUM(D289:D292)</f>
      </c>
      <c r="B296" s="216">
        <f>SUM(E289:E292)</f>
      </c>
      <c r="C296" s="217">
        <f>B296/((K296*300)+A296)</f>
      </c>
      <c r="D296" s="218">
        <f>A296/J296</f>
      </c>
      <c r="E296" s="217">
        <f>B296/J296</f>
      </c>
      <c r="F296" s="219">
        <f>J296/I296</f>
      </c>
      <c r="G296" s="219">
        <f>H296/J296</f>
      </c>
      <c r="H296" s="220">
        <v>5</v>
      </c>
      <c r="I296" s="220">
        <v>50</v>
      </c>
      <c r="J296" s="220">
        <f>F293</f>
      </c>
      <c r="K296" s="220">
        <f>C293</f>
      </c>
    </row>
    <row r="297">
      <c r="A297" s="205"/>
      <c r="B297" s="205"/>
      <c r="C297" s="206"/>
      <c r="D297" s="222">
        <f>D298-D293</f>
      </c>
      <c r="E297" s="222">
        <f>E298-E293</f>
      </c>
      <c r="F297" s="208"/>
      <c r="G297" s="208"/>
      <c r="H297" s="209"/>
      <c r="I297" s="209"/>
      <c r="J297" s="209"/>
      <c r="K297" s="209"/>
    </row>
    <row r="298">
      <c r="A298" s="205"/>
      <c r="B298" s="205"/>
      <c r="C298" s="206"/>
      <c r="D298" s="223">
        <v>30816.77</v>
      </c>
      <c r="E298" s="223">
        <v>67035.79999999999</v>
      </c>
      <c r="F298" s="208"/>
      <c r="G298" s="208"/>
      <c r="H298" s="209"/>
      <c r="I298" s="209"/>
      <c r="J298" s="209"/>
      <c r="K298" s="209"/>
    </row>
    <row r="299">
      <c r="A299" s="205"/>
      <c r="B299" s="205"/>
      <c r="C299" s="206"/>
      <c r="D299" s="206"/>
      <c r="E299" s="206"/>
      <c r="F299" s="208"/>
      <c r="G299" s="208"/>
      <c r="H299" s="209"/>
      <c r="I299" s="209"/>
      <c r="J299" s="209"/>
      <c r="K299" s="209"/>
    </row>
    <row r="300">
      <c r="A300" s="205"/>
      <c r="B300" s="205"/>
      <c r="C300" s="206"/>
      <c r="D300" s="206"/>
      <c r="E300" s="206"/>
      <c r="F300" s="208"/>
      <c r="G300" s="208"/>
      <c r="H300" s="209"/>
      <c r="I300" s="209"/>
      <c r="J300" s="209"/>
      <c r="K300" s="209"/>
    </row>
    <row r="301">
      <c r="A301" s="205"/>
      <c r="B301" s="205"/>
      <c r="C301" s="206"/>
      <c r="D301" s="206"/>
      <c r="E301" s="206"/>
      <c r="F301" s="208"/>
      <c r="G301" s="208"/>
      <c r="H301" s="209"/>
      <c r="I301" s="209"/>
      <c r="J301" s="209"/>
      <c r="K301" s="209"/>
    </row>
    <row r="302">
      <c r="A302" s="205"/>
      <c r="B302" s="205"/>
      <c r="C302" s="206"/>
      <c r="D302" s="206"/>
      <c r="E302" s="206"/>
      <c r="F302" s="208"/>
      <c r="G302" s="208"/>
      <c r="H302" s="209"/>
      <c r="I302" s="209"/>
      <c r="J302" s="209"/>
      <c r="K302" s="209"/>
    </row>
    <row r="303">
      <c r="A303" s="205"/>
      <c r="B303" s="205"/>
      <c r="C303" s="206"/>
      <c r="D303" s="206"/>
      <c r="E303" s="206"/>
      <c r="F303" s="208"/>
      <c r="G303" s="208"/>
      <c r="H303" s="209"/>
      <c r="I303" s="209"/>
      <c r="J303" s="209"/>
      <c r="K303" s="209"/>
    </row>
    <row r="304">
      <c r="A304" s="205"/>
      <c r="B304" s="205"/>
      <c r="C304" s="206"/>
      <c r="D304" s="206"/>
      <c r="E304" s="206"/>
      <c r="F304" s="208"/>
      <c r="G304" s="208"/>
      <c r="H304" s="209"/>
      <c r="I304" s="209"/>
      <c r="J304" s="209"/>
      <c r="K304" s="209"/>
    </row>
    <row r="305">
      <c r="A305" s="205"/>
      <c r="B305" s="205"/>
      <c r="C305" s="206"/>
      <c r="D305" s="206"/>
      <c r="E305" s="206"/>
      <c r="F305" s="208"/>
      <c r="G305" s="208"/>
      <c r="H305" s="209"/>
      <c r="I305" s="209"/>
      <c r="J305" s="209"/>
      <c r="K305" s="209"/>
    </row>
    <row r="306">
      <c r="A306" s="205"/>
      <c r="B306" s="205"/>
      <c r="C306" s="206"/>
      <c r="D306" s="206"/>
      <c r="E306" s="206"/>
      <c r="F306" s="208"/>
      <c r="G306" s="208"/>
      <c r="H306" s="209"/>
      <c r="I306" s="209"/>
      <c r="J306" s="209"/>
      <c r="K306" s="209"/>
    </row>
    <row r="307">
      <c r="A307" s="205"/>
      <c r="B307" s="205"/>
      <c r="C307" s="206"/>
      <c r="D307" s="206"/>
      <c r="E307" s="206"/>
      <c r="F307" s="208"/>
      <c r="G307" s="208"/>
      <c r="H307" s="209"/>
      <c r="I307" s="209"/>
      <c r="J307" s="209"/>
      <c r="K307" s="209"/>
    </row>
    <row r="308">
      <c r="A308" s="205"/>
      <c r="B308" s="205"/>
      <c r="C308" s="206"/>
      <c r="D308" s="206"/>
      <c r="E308" s="206"/>
      <c r="F308" s="208"/>
      <c r="G308" s="208"/>
      <c r="H308" s="209"/>
      <c r="I308" s="209"/>
      <c r="J308" s="209"/>
      <c r="K308" s="209"/>
    </row>
    <row r="309">
      <c r="A309" s="205"/>
      <c r="B309" s="205"/>
      <c r="C309" s="206"/>
      <c r="D309" s="206"/>
      <c r="E309" s="206"/>
      <c r="F309" s="208"/>
      <c r="G309" s="208"/>
      <c r="H309" s="209"/>
      <c r="I309" s="209"/>
      <c r="J309" s="209"/>
      <c r="K309" s="209"/>
    </row>
    <row r="310">
      <c r="A310" s="205"/>
      <c r="B310" s="205"/>
      <c r="C310" s="206"/>
      <c r="D310" s="206"/>
      <c r="E310" s="206"/>
      <c r="F310" s="208"/>
      <c r="G310" s="208"/>
      <c r="H310" s="209"/>
      <c r="I310" s="209"/>
      <c r="J310" s="209"/>
      <c r="K310" s="209"/>
    </row>
    <row r="311">
      <c r="A311" s="205"/>
      <c r="B311" s="205"/>
      <c r="C311" s="206"/>
      <c r="D311" s="206"/>
      <c r="E311" s="206"/>
      <c r="F311" s="208"/>
      <c r="G311" s="208"/>
      <c r="H311" s="209"/>
      <c r="I311" s="209"/>
      <c r="J311" s="209"/>
      <c r="K311" s="209"/>
    </row>
    <row r="312">
      <c r="A312" s="205"/>
      <c r="B312" s="205"/>
      <c r="C312" s="206"/>
      <c r="D312" s="206"/>
      <c r="E312" s="206"/>
      <c r="F312" s="208"/>
      <c r="G312" s="208"/>
      <c r="H312" s="209"/>
      <c r="I312" s="209"/>
      <c r="J312" s="209"/>
      <c r="K312" s="209"/>
    </row>
    <row r="313">
      <c r="A313" s="205"/>
      <c r="B313" s="205"/>
      <c r="C313" s="206"/>
      <c r="D313" s="206"/>
      <c r="E313" s="206"/>
      <c r="F313" s="208"/>
      <c r="G313" s="208"/>
      <c r="H313" s="209"/>
      <c r="I313" s="209"/>
      <c r="J313" s="209"/>
      <c r="K313" s="209"/>
    </row>
    <row r="314">
      <c r="A314" s="205"/>
      <c r="B314" s="205"/>
      <c r="C314" s="206"/>
      <c r="D314" s="206"/>
      <c r="E314" s="206"/>
      <c r="F314" s="208"/>
      <c r="G314" s="208"/>
      <c r="H314" s="209"/>
      <c r="I314" s="209"/>
      <c r="J314" s="209"/>
      <c r="K314" s="209"/>
    </row>
    <row r="315">
      <c r="A315" s="205"/>
      <c r="B315" s="205"/>
      <c r="C315" s="206"/>
      <c r="D315" s="206"/>
      <c r="E315" s="206"/>
      <c r="F315" s="208"/>
      <c r="G315" s="208"/>
      <c r="H315" s="209"/>
      <c r="I315" s="209"/>
      <c r="J315" s="209"/>
      <c r="K315" s="209"/>
    </row>
    <row r="316">
      <c r="A316" s="205"/>
      <c r="B316" s="205"/>
      <c r="C316" s="206"/>
      <c r="D316" s="206"/>
      <c r="E316" s="206"/>
      <c r="F316" s="208"/>
      <c r="G316" s="208"/>
      <c r="H316" s="209"/>
      <c r="I316" s="209"/>
      <c r="J316" s="209"/>
      <c r="K316" s="209"/>
    </row>
    <row r="317">
      <c r="A317" s="205"/>
      <c r="B317" s="205"/>
      <c r="C317" s="206"/>
      <c r="D317" s="206"/>
      <c r="E317" s="206"/>
      <c r="F317" s="208"/>
      <c r="G317" s="208"/>
      <c r="H317" s="209"/>
      <c r="I317" s="209"/>
      <c r="J317" s="209"/>
      <c r="K317" s="209"/>
    </row>
    <row r="318">
      <c r="A318" s="205"/>
      <c r="B318" s="205"/>
      <c r="C318" s="206"/>
      <c r="D318" s="206"/>
      <c r="E318" s="206"/>
      <c r="F318" s="208"/>
      <c r="G318" s="208"/>
      <c r="H318" s="209"/>
      <c r="I318" s="209"/>
      <c r="J318" s="209"/>
      <c r="K318" s="209"/>
    </row>
    <row r="319">
      <c r="A319" s="205"/>
      <c r="B319" s="205"/>
      <c r="C319" s="206"/>
      <c r="D319" s="206"/>
      <c r="E319" s="206"/>
      <c r="F319" s="208"/>
      <c r="G319" s="208"/>
      <c r="H319" s="209"/>
      <c r="I319" s="209"/>
      <c r="J319" s="209"/>
      <c r="K319" s="209"/>
    </row>
    <row r="320">
      <c r="A320" s="205"/>
      <c r="B320" s="205"/>
      <c r="C320" s="206"/>
      <c r="D320" s="206"/>
      <c r="E320" s="206"/>
      <c r="F320" s="208"/>
      <c r="G320" s="208"/>
      <c r="H320" s="209"/>
      <c r="I320" s="209"/>
      <c r="J320" s="209"/>
      <c r="K320" s="209"/>
    </row>
    <row r="321">
      <c r="A321" s="205"/>
      <c r="B321" s="205"/>
      <c r="C321" s="206"/>
      <c r="D321" s="206"/>
      <c r="E321" s="206"/>
      <c r="F321" s="208"/>
      <c r="G321" s="208"/>
      <c r="H321" s="209"/>
      <c r="I321" s="209"/>
      <c r="J321" s="209"/>
      <c r="K321" s="209"/>
    </row>
    <row r="322">
      <c r="A322" s="205"/>
      <c r="B322" s="205"/>
      <c r="C322" s="206"/>
      <c r="D322" s="206"/>
      <c r="E322" s="206"/>
      <c r="F322" s="208"/>
      <c r="G322" s="208"/>
      <c r="H322" s="209"/>
      <c r="I322" s="209"/>
      <c r="J322" s="209"/>
      <c r="K322" s="209"/>
    </row>
    <row r="323">
      <c r="A323" s="205"/>
      <c r="B323" s="205"/>
      <c r="C323" s="206"/>
      <c r="D323" s="206"/>
      <c r="E323" s="206"/>
      <c r="F323" s="208"/>
      <c r="G323" s="208"/>
      <c r="H323" s="209"/>
      <c r="I323" s="209"/>
      <c r="J323" s="209"/>
      <c r="K323" s="209"/>
    </row>
    <row r="324">
      <c r="A324" s="205"/>
      <c r="B324" s="205"/>
      <c r="C324" s="206"/>
      <c r="D324" s="206"/>
      <c r="E324" s="206"/>
      <c r="F324" s="208"/>
      <c r="G324" s="208"/>
      <c r="H324" s="209"/>
      <c r="I324" s="209"/>
      <c r="J324" s="209"/>
      <c r="K324" s="209"/>
    </row>
    <row r="325">
      <c r="A325" s="205"/>
      <c r="B325" s="205"/>
      <c r="C325" s="206"/>
      <c r="D325" s="206"/>
      <c r="E325" s="206"/>
      <c r="F325" s="208"/>
      <c r="G325" s="208"/>
      <c r="H325" s="209"/>
      <c r="I325" s="209"/>
      <c r="J325" s="209"/>
      <c r="K325" s="209"/>
    </row>
    <row r="326">
      <c r="A326" s="205"/>
      <c r="B326" s="205"/>
      <c r="C326" s="206"/>
      <c r="D326" s="206"/>
      <c r="E326" s="206"/>
      <c r="F326" s="208"/>
      <c r="G326" s="208"/>
      <c r="H326" s="209"/>
      <c r="I326" s="209"/>
      <c r="J326" s="209"/>
      <c r="K326" s="209"/>
    </row>
  </sheetData>
  <mergeCells>
    <mergeCell ref="A184:K184"/>
    <mergeCell ref="J183:K183"/>
    <mergeCell ref="J182:K182"/>
    <mergeCell ref="J181:K181"/>
    <mergeCell ref="J180:K180"/>
    <mergeCell ref="J179:K179"/>
    <mergeCell ref="J178:K178"/>
    <mergeCell ref="A177:K177"/>
    <mergeCell ref="A174:K174"/>
    <mergeCell ref="J173:K173"/>
    <mergeCell ref="J172:K172"/>
    <mergeCell ref="J171:K171"/>
    <mergeCell ref="J170:K170"/>
    <mergeCell ref="J169:K169"/>
    <mergeCell ref="J168:K168"/>
    <mergeCell ref="A167:K167"/>
    <mergeCell ref="A164:K164"/>
    <mergeCell ref="J163:K163"/>
    <mergeCell ref="J162:K162"/>
    <mergeCell ref="J161:K161"/>
    <mergeCell ref="J160:K160"/>
    <mergeCell ref="J159:K159"/>
    <mergeCell ref="J158:K158"/>
    <mergeCell ref="A157:K157"/>
    <mergeCell ref="A154:K154"/>
    <mergeCell ref="J153:K153"/>
    <mergeCell ref="J152:K152"/>
    <mergeCell ref="J151:K151"/>
    <mergeCell ref="J150:K150"/>
    <mergeCell ref="J149:K149"/>
    <mergeCell ref="J148:K148"/>
    <mergeCell ref="A147:K147"/>
    <mergeCell ref="A144:K144"/>
    <mergeCell ref="J143:K143"/>
    <mergeCell ref="J142:K142"/>
    <mergeCell ref="J141:K141"/>
    <mergeCell ref="J140:K140"/>
    <mergeCell ref="J139:K139"/>
    <mergeCell ref="J138:K138"/>
    <mergeCell ref="A137:K137"/>
    <mergeCell ref="A115:K115"/>
    <mergeCell ref="J114:K114"/>
    <mergeCell ref="J113:K113"/>
    <mergeCell ref="J112:K112"/>
    <mergeCell ref="J111:K111"/>
    <mergeCell ref="J110:K110"/>
    <mergeCell ref="A109:K109"/>
    <mergeCell ref="A106:K106"/>
    <mergeCell ref="J105:K105"/>
    <mergeCell ref="J104:K104"/>
    <mergeCell ref="J103:K103"/>
    <mergeCell ref="J102:K102"/>
    <mergeCell ref="J101:K101"/>
    <mergeCell ref="J100:K100"/>
    <mergeCell ref="A99:K99"/>
    <mergeCell ref="A96:K96"/>
    <mergeCell ref="J95:K95"/>
    <mergeCell ref="J94:K94"/>
    <mergeCell ref="J93:K93"/>
    <mergeCell ref="J92:K92"/>
    <mergeCell ref="J91:K91"/>
    <mergeCell ref="J90:K90"/>
    <mergeCell ref="A89:K89"/>
    <mergeCell ref="A86:K86"/>
    <mergeCell ref="J85:K85"/>
    <mergeCell ref="J84:K84"/>
    <mergeCell ref="J83:K83"/>
    <mergeCell ref="J82:K82"/>
    <mergeCell ref="J81:K81"/>
    <mergeCell ref="J80:K80"/>
    <mergeCell ref="A79:K79"/>
    <mergeCell ref="A76:K76"/>
    <mergeCell ref="J75:K75"/>
    <mergeCell ref="J74:K74"/>
    <mergeCell ref="J73:K73"/>
    <mergeCell ref="J72:K72"/>
    <mergeCell ref="J71:K71"/>
    <mergeCell ref="J70:K70"/>
    <mergeCell ref="A69:K69"/>
    <mergeCell ref="A66:K66"/>
    <mergeCell ref="J65:K65"/>
    <mergeCell ref="J64:K64"/>
    <mergeCell ref="J63:K63"/>
    <mergeCell ref="J62:K62"/>
    <mergeCell ref="J61:K61"/>
    <mergeCell ref="J60:K60"/>
    <mergeCell ref="A59:K59"/>
    <mergeCell ref="A56:K56"/>
    <mergeCell ref="J55:K55"/>
    <mergeCell ref="J54:K54"/>
    <mergeCell ref="J53:K53"/>
    <mergeCell ref="J52:K52"/>
    <mergeCell ref="J51:K51"/>
    <mergeCell ref="J50:K50"/>
    <mergeCell ref="A49:K49"/>
    <mergeCell ref="A46:K46"/>
    <mergeCell ref="J45:K45"/>
    <mergeCell ref="J44:K44"/>
    <mergeCell ref="J43:K43"/>
    <mergeCell ref="J42:K42"/>
    <mergeCell ref="J41:K41"/>
    <mergeCell ref="J40:K40"/>
    <mergeCell ref="A39:K39"/>
    <mergeCell ref="A36:K36"/>
    <mergeCell ref="J35:K35"/>
    <mergeCell ref="J34:K34"/>
    <mergeCell ref="J33:K33"/>
    <mergeCell ref="J32:K32"/>
    <mergeCell ref="J31:K31"/>
    <mergeCell ref="J30:K30"/>
    <mergeCell ref="A29:K29"/>
    <mergeCell ref="A26:K26"/>
    <mergeCell ref="J25:K25"/>
    <mergeCell ref="J24:K24"/>
    <mergeCell ref="J23:K23"/>
    <mergeCell ref="J22:K22"/>
    <mergeCell ref="J21:K21"/>
    <mergeCell ref="J20:K20"/>
    <mergeCell ref="A19:K19"/>
    <mergeCell ref="A16:K16"/>
    <mergeCell ref="J15:K15"/>
    <mergeCell ref="J14:K14"/>
    <mergeCell ref="J13:K13"/>
    <mergeCell ref="J12:K12"/>
    <mergeCell ref="J11:K11"/>
    <mergeCell ref="J10:K10"/>
    <mergeCell ref="A9:K9"/>
    <mergeCell ref="A1:K1"/>
    <mergeCell ref="J2:K2"/>
    <mergeCell ref="J3:K3"/>
    <mergeCell ref="J4:K4"/>
    <mergeCell ref="J5:K5"/>
    <mergeCell ref="A6:K6"/>
    <mergeCell ref="A118:K118"/>
    <mergeCell ref="J119:K119"/>
    <mergeCell ref="J120:K120"/>
    <mergeCell ref="J121:K121"/>
    <mergeCell ref="J122:K122"/>
    <mergeCell ref="J123:K123"/>
    <mergeCell ref="J124:K124"/>
    <mergeCell ref="A125:K125"/>
    <mergeCell ref="A128:K128"/>
    <mergeCell ref="J129:K129"/>
    <mergeCell ref="J130:K130"/>
    <mergeCell ref="J131:K131"/>
    <mergeCell ref="J132:K132"/>
    <mergeCell ref="J133:K133"/>
    <mergeCell ref="A134:K134"/>
    <mergeCell ref="A187:K187"/>
    <mergeCell ref="J188:K188"/>
    <mergeCell ref="J189:K189"/>
    <mergeCell ref="J190:K190"/>
    <mergeCell ref="J191:K191"/>
    <mergeCell ref="J192:K192"/>
    <mergeCell ref="J193:K193"/>
    <mergeCell ref="A194:K194"/>
    <mergeCell ref="A197:K197"/>
    <mergeCell ref="J198:K198"/>
    <mergeCell ref="J199:K199"/>
    <mergeCell ref="J200:K200"/>
    <mergeCell ref="J201:K201"/>
    <mergeCell ref="J202:K202"/>
    <mergeCell ref="J203:K203"/>
    <mergeCell ref="A204:K204"/>
    <mergeCell ref="A207:K207"/>
    <mergeCell ref="J208:K208"/>
    <mergeCell ref="J209:K209"/>
    <mergeCell ref="J210:K210"/>
    <mergeCell ref="J211:K211"/>
    <mergeCell ref="J212:K212"/>
    <mergeCell ref="J213:K213"/>
    <mergeCell ref="A214:K214"/>
    <mergeCell ref="A217:K217"/>
    <mergeCell ref="J218:K218"/>
    <mergeCell ref="J219:K219"/>
    <mergeCell ref="J220:K220"/>
    <mergeCell ref="J221:K221"/>
    <mergeCell ref="J222:K222"/>
    <mergeCell ref="J223:K223"/>
    <mergeCell ref="A224:K224"/>
    <mergeCell ref="A227:K227"/>
    <mergeCell ref="J228:K228"/>
    <mergeCell ref="J229:K229"/>
    <mergeCell ref="J230:K230"/>
    <mergeCell ref="J231:K231"/>
    <mergeCell ref="J232:K232"/>
    <mergeCell ref="J233:K233"/>
    <mergeCell ref="A234:K234"/>
    <mergeCell ref="A237:K237"/>
    <mergeCell ref="J238:K238"/>
    <mergeCell ref="J239:K239"/>
    <mergeCell ref="J240:K240"/>
    <mergeCell ref="J241:K241"/>
    <mergeCell ref="J242:K242"/>
    <mergeCell ref="J243:K243"/>
    <mergeCell ref="A244:K244"/>
    <mergeCell ref="A247:K247"/>
    <mergeCell ref="J248:K248"/>
    <mergeCell ref="J249:K249"/>
    <mergeCell ref="J250:K250"/>
    <mergeCell ref="J251:K251"/>
    <mergeCell ref="J252:K252"/>
    <mergeCell ref="J253:K253"/>
    <mergeCell ref="A254:K254"/>
    <mergeCell ref="A257:K257"/>
    <mergeCell ref="J258:K258"/>
    <mergeCell ref="J259:K259"/>
    <mergeCell ref="J260:K260"/>
    <mergeCell ref="J261:K261"/>
    <mergeCell ref="J262:K262"/>
    <mergeCell ref="J263:K263"/>
    <mergeCell ref="A264:K264"/>
    <mergeCell ref="A267:K267"/>
    <mergeCell ref="J268:K268"/>
    <mergeCell ref="J269:K269"/>
    <mergeCell ref="J270:K270"/>
    <mergeCell ref="J271:K271"/>
    <mergeCell ref="J272:K272"/>
    <mergeCell ref="J273:K273"/>
    <mergeCell ref="A274:K274"/>
    <mergeCell ref="A277:K277"/>
    <mergeCell ref="J278:K278"/>
    <mergeCell ref="J279:K279"/>
    <mergeCell ref="J280:K280"/>
    <mergeCell ref="J281:K281"/>
    <mergeCell ref="J282:K282"/>
    <mergeCell ref="J283:K283"/>
    <mergeCell ref="A284:K284"/>
    <mergeCell ref="A287:K287"/>
    <mergeCell ref="J288:K288"/>
    <mergeCell ref="J289:K289"/>
    <mergeCell ref="J290:K290"/>
    <mergeCell ref="J291:K291"/>
    <mergeCell ref="J292:K292"/>
    <mergeCell ref="J293:K293"/>
    <mergeCell ref="A294:K294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24" t="s">
        <v>461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</row>
    <row r="2">
      <c r="A2" s="225" t="s">
        <v>462</v>
      </c>
      <c r="B2" s="225" t="s">
        <v>463</v>
      </c>
      <c r="C2" s="225" t="s">
        <v>464</v>
      </c>
      <c r="D2" s="225" t="s">
        <v>465</v>
      </c>
      <c r="E2" s="226" t="s">
        <v>466</v>
      </c>
      <c r="F2" s="225" t="s">
        <v>467</v>
      </c>
      <c r="G2" s="225" t="s">
        <v>468</v>
      </c>
      <c r="H2" s="225" t="s">
        <v>469</v>
      </c>
      <c r="I2" s="225" t="s">
        <v>470</v>
      </c>
      <c r="J2" s="225" t="s">
        <v>471</v>
      </c>
      <c r="K2" s="225"/>
    </row>
    <row r="3">
      <c r="A3" s="227" t="s">
        <v>472</v>
      </c>
      <c r="B3" s="228" t="s">
        <v>473</v>
      </c>
      <c r="C3" s="227">
        <v>4</v>
      </c>
      <c r="D3" s="227">
        <v>4094.03</v>
      </c>
      <c r="E3" s="229">
        <v>16278.999999999996</v>
      </c>
      <c r="F3" s="229">
        <v>12</v>
      </c>
      <c r="G3" s="230">
        <f t="shared" ref="G3:G7" si="60">E3/F3</f>
      </c>
      <c r="H3" s="230">
        <f t="shared" ref="H3:H7" si="30">D3/F3</f>
      </c>
      <c r="I3" s="230">
        <f t="shared" ref="I3:I7" si="0">E3/D3</f>
      </c>
      <c r="J3" s="230">
        <f t="shared" ref="J3:J7" si="90">D3/C3</f>
      </c>
      <c r="K3" s="230"/>
    </row>
    <row r="4">
      <c r="A4" s="229" t="s">
        <v>474</v>
      </c>
      <c r="B4" s="228" t="s">
        <v>475</v>
      </c>
      <c r="C4" s="229">
        <v>4</v>
      </c>
      <c r="D4" s="229">
        <v>4852.6</v>
      </c>
      <c r="E4" s="229">
        <v>3067.2</v>
      </c>
      <c r="F4" s="229">
        <v>2</v>
      </c>
      <c r="G4" s="230">
        <f t="shared" si="60"/>
      </c>
      <c r="H4" s="230">
        <f t="shared" si="30"/>
      </c>
      <c r="I4" s="230">
        <f t="shared" si="0"/>
      </c>
      <c r="J4" s="230">
        <f t="shared" si="90"/>
      </c>
      <c r="K4" s="230"/>
    </row>
    <row r="5">
      <c r="A5" s="229" t="s">
        <v>476</v>
      </c>
      <c r="B5" s="228" t="s">
        <v>477</v>
      </c>
      <c r="C5" s="229">
        <v>4</v>
      </c>
      <c r="D5" s="229">
        <v>4177.17</v>
      </c>
      <c r="E5" s="229">
        <v>10035.5</v>
      </c>
      <c r="F5" s="229">
        <v>9</v>
      </c>
      <c r="G5" s="230">
        <f t="shared" si="60"/>
      </c>
      <c r="H5" s="230">
        <f t="shared" si="30"/>
      </c>
      <c r="I5" s="230">
        <f t="shared" si="0"/>
      </c>
      <c r="J5" s="230">
        <f t="shared" si="90"/>
      </c>
      <c r="K5" s="230"/>
    </row>
    <row r="6">
      <c r="A6" s="227" t="s">
        <v>478</v>
      </c>
      <c r="B6" s="228" t="s">
        <v>479</v>
      </c>
      <c r="C6" s="229">
        <v>4</v>
      </c>
      <c r="D6" s="229">
        <v>5552.77</v>
      </c>
      <c r="E6" s="229">
        <v>5222.4</v>
      </c>
      <c r="F6" s="229">
        <v>5</v>
      </c>
      <c r="G6" s="230">
        <f t="shared" si="60"/>
      </c>
      <c r="H6" s="230">
        <f t="shared" si="30"/>
      </c>
      <c r="I6" s="230">
        <f t="shared" si="0"/>
      </c>
      <c r="J6" s="230">
        <f t="shared" si="90"/>
      </c>
      <c r="K6" s="230"/>
    </row>
    <row r="7">
      <c r="A7" s="225" t="s">
        <v>480</v>
      </c>
      <c r="B7" s="225"/>
      <c r="C7" s="225">
        <f>SUM(C3:C6)</f>
      </c>
      <c r="D7" s="225">
        <f>SUM(D3:D6)</f>
      </c>
      <c r="E7" s="225">
        <f>SUM(E3:E6)</f>
      </c>
      <c r="F7" s="225">
        <f>SUM(F3:F6)</f>
      </c>
      <c r="G7" s="231">
        <f t="shared" si="60"/>
      </c>
      <c r="H7" s="231">
        <f t="shared" si="30"/>
      </c>
      <c r="I7" s="231">
        <f t="shared" si="0"/>
      </c>
      <c r="J7" s="231">
        <f t="shared" si="90"/>
      </c>
      <c r="K7" s="231"/>
    </row>
    <row r="8">
      <c r="A8" s="232" t="s">
        <v>481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</row>
    <row r="9">
      <c r="A9" s="233" t="s">
        <v>465</v>
      </c>
      <c r="B9" s="233" t="s">
        <v>482</v>
      </c>
      <c r="C9" s="233" t="s">
        <v>483</v>
      </c>
      <c r="D9" s="233" t="s">
        <v>484</v>
      </c>
      <c r="E9" s="233" t="s">
        <v>485</v>
      </c>
      <c r="F9" s="233" t="s">
        <v>486</v>
      </c>
      <c r="G9" s="233" t="s">
        <v>487</v>
      </c>
      <c r="H9" s="234" t="s">
        <v>488</v>
      </c>
      <c r="I9" s="234" t="s">
        <v>489</v>
      </c>
      <c r="J9" s="234" t="s">
        <v>490</v>
      </c>
      <c r="K9" s="234" t="s">
        <v>464</v>
      </c>
    </row>
    <row r="10">
      <c r="A10" s="235">
        <f>SUM(D3:D6)</f>
      </c>
      <c r="B10" s="235">
        <f>SUM(E3:E6)</f>
      </c>
      <c r="C10" s="236">
        <f>B10/((K10*300)+A10)</f>
      </c>
      <c r="D10" s="237">
        <f>A10/J10</f>
      </c>
      <c r="E10" s="236">
        <f>B10/J10</f>
      </c>
      <c r="F10" s="238">
        <f>J10/I10</f>
      </c>
      <c r="G10" s="238">
        <f>H10/J10</f>
      </c>
      <c r="H10" s="239">
        <v>4</v>
      </c>
      <c r="I10" s="239">
        <v>37</v>
      </c>
      <c r="J10" s="240">
        <f>F7</f>
      </c>
      <c r="K10" s="240">
        <f>C7</f>
      </c>
    </row>
    <row r="11">
      <c r="A11" s="224" t="s">
        <v>491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</row>
    <row r="12">
      <c r="A12" s="225" t="s">
        <v>462</v>
      </c>
      <c r="B12" s="225" t="s">
        <v>463</v>
      </c>
      <c r="C12" s="225" t="s">
        <v>464</v>
      </c>
      <c r="D12" s="225" t="s">
        <v>465</v>
      </c>
      <c r="E12" s="226" t="s">
        <v>466</v>
      </c>
      <c r="F12" s="225" t="s">
        <v>467</v>
      </c>
      <c r="G12" s="225" t="s">
        <v>468</v>
      </c>
      <c r="H12" s="225" t="s">
        <v>469</v>
      </c>
      <c r="I12" s="225" t="s">
        <v>470</v>
      </c>
      <c r="J12" s="225" t="s">
        <v>471</v>
      </c>
      <c r="K12" s="225"/>
    </row>
    <row r="13">
      <c r="A13" s="227" t="s">
        <v>472</v>
      </c>
      <c r="B13" s="228" t="s">
        <v>473</v>
      </c>
      <c r="C13" s="227">
        <v>4</v>
      </c>
      <c r="D13" s="227">
        <v>4250.08</v>
      </c>
      <c r="E13" s="229">
        <v>9789.6</v>
      </c>
      <c r="F13" s="229">
        <v>8</v>
      </c>
      <c r="G13" s="230">
        <f t="shared" ref="G13:G17" si="61">E13/F13</f>
      </c>
      <c r="H13" s="230">
        <f t="shared" ref="H13:H17" si="31">D13/F13</f>
      </c>
      <c r="I13" s="230">
        <f t="shared" ref="I13:I17" si="1">E13/D13</f>
      </c>
      <c r="J13" s="230">
        <f t="shared" ref="J13:J17" si="91">D13/C13</f>
      </c>
      <c r="K13" s="230"/>
    </row>
    <row r="14">
      <c r="A14" s="229" t="s">
        <v>492</v>
      </c>
      <c r="B14" s="241" t="s">
        <v>493</v>
      </c>
      <c r="C14" s="229">
        <v>3</v>
      </c>
      <c r="D14" s="229">
        <v>4171.039999999999</v>
      </c>
      <c r="E14" s="229">
        <v>11138.999999999998</v>
      </c>
      <c r="F14" s="229">
        <v>10</v>
      </c>
      <c r="G14" s="230">
        <f t="shared" si="61"/>
      </c>
      <c r="H14" s="230">
        <f t="shared" si="31"/>
      </c>
      <c r="I14" s="230">
        <f t="shared" si="1"/>
      </c>
      <c r="J14" s="230">
        <f t="shared" si="91"/>
      </c>
      <c r="K14" s="230"/>
    </row>
    <row r="15">
      <c r="A15" s="229" t="s">
        <v>474</v>
      </c>
      <c r="B15" s="241" t="s">
        <v>494</v>
      </c>
      <c r="C15" s="229">
        <v>4</v>
      </c>
      <c r="D15" s="229">
        <v>5986.72</v>
      </c>
      <c r="E15" s="229">
        <v>3838.8</v>
      </c>
      <c r="F15" s="229">
        <v>3</v>
      </c>
      <c r="G15" s="230">
        <f t="shared" si="61"/>
      </c>
      <c r="H15" s="230">
        <f t="shared" si="31"/>
      </c>
      <c r="I15" s="230">
        <f t="shared" si="1"/>
      </c>
      <c r="J15" s="230">
        <f t="shared" si="91"/>
      </c>
      <c r="K15" s="230"/>
    </row>
    <row r="16">
      <c r="A16" s="227" t="s">
        <v>478</v>
      </c>
      <c r="B16" s="241" t="s">
        <v>495</v>
      </c>
      <c r="C16" s="229">
        <v>5</v>
      </c>
      <c r="D16" s="229">
        <v>3725.38</v>
      </c>
      <c r="E16" s="229">
        <v>4259.4</v>
      </c>
      <c r="F16" s="229">
        <v>2</v>
      </c>
      <c r="G16" s="230">
        <f t="shared" si="61"/>
      </c>
      <c r="H16" s="230">
        <f t="shared" si="31"/>
      </c>
      <c r="I16" s="230">
        <f t="shared" si="1"/>
      </c>
      <c r="J16" s="230">
        <f t="shared" si="91"/>
      </c>
      <c r="K16" s="230"/>
    </row>
    <row r="17">
      <c r="A17" s="225" t="s">
        <v>480</v>
      </c>
      <c r="B17" s="225"/>
      <c r="C17" s="225">
        <f>SUM(C13:C16)</f>
      </c>
      <c r="D17" s="225">
        <f>SUM(D13:D16)</f>
      </c>
      <c r="E17" s="225">
        <f>SUM(E13:E16)</f>
      </c>
      <c r="F17" s="225">
        <f>SUM(F13:F16)</f>
      </c>
      <c r="G17" s="231">
        <f t="shared" si="61"/>
      </c>
      <c r="H17" s="231">
        <f t="shared" si="31"/>
      </c>
      <c r="I17" s="231">
        <f t="shared" si="1"/>
      </c>
      <c r="J17" s="231">
        <f t="shared" si="91"/>
      </c>
      <c r="K17" s="231"/>
    </row>
    <row r="18">
      <c r="A18" s="232" t="s">
        <v>481</v>
      </c>
      <c r="B18" s="232"/>
      <c r="C18" s="232"/>
      <c r="D18" s="232"/>
      <c r="E18" s="232"/>
      <c r="F18" s="232"/>
      <c r="G18" s="232"/>
      <c r="H18" s="232"/>
      <c r="I18" s="232"/>
      <c r="J18" s="232"/>
      <c r="K18" s="232"/>
    </row>
    <row r="19">
      <c r="A19" s="233" t="s">
        <v>465</v>
      </c>
      <c r="B19" s="233" t="s">
        <v>482</v>
      </c>
      <c r="C19" s="233" t="s">
        <v>483</v>
      </c>
      <c r="D19" s="233" t="s">
        <v>484</v>
      </c>
      <c r="E19" s="233" t="s">
        <v>485</v>
      </c>
      <c r="F19" s="233" t="s">
        <v>486</v>
      </c>
      <c r="G19" s="233" t="s">
        <v>487</v>
      </c>
      <c r="H19" s="234" t="s">
        <v>488</v>
      </c>
      <c r="I19" s="234" t="s">
        <v>489</v>
      </c>
      <c r="J19" s="234" t="s">
        <v>490</v>
      </c>
      <c r="K19" s="234" t="s">
        <v>464</v>
      </c>
    </row>
    <row r="20">
      <c r="A20" s="235">
        <f>SUM(D13:D16)</f>
      </c>
      <c r="B20" s="235">
        <f>SUM(E13:E16)</f>
      </c>
      <c r="C20" s="236">
        <f>B20/((K20*300)+A20)</f>
      </c>
      <c r="D20" s="237">
        <f>A20/J20</f>
      </c>
      <c r="E20" s="236">
        <f>B20/J20</f>
      </c>
      <c r="F20" s="238">
        <f>J20/I20</f>
      </c>
      <c r="G20" s="238">
        <f>H20/J20</f>
      </c>
      <c r="H20" s="239">
        <v>3</v>
      </c>
      <c r="I20" s="239">
        <v>34</v>
      </c>
      <c r="J20" s="239">
        <f>F17</f>
      </c>
      <c r="K20" s="240">
        <f>C17</f>
      </c>
    </row>
    <row r="21">
      <c r="A21" s="224" t="s">
        <v>496</v>
      </c>
      <c r="B21" s="224"/>
      <c r="C21" s="224"/>
      <c r="D21" s="224"/>
      <c r="E21" s="224"/>
      <c r="F21" s="224"/>
      <c r="G21" s="224"/>
      <c r="H21" s="224"/>
      <c r="I21" s="224"/>
      <c r="J21" s="224"/>
      <c r="K21" s="224"/>
    </row>
    <row r="22">
      <c r="A22" s="225" t="s">
        <v>462</v>
      </c>
      <c r="B22" s="225" t="s">
        <v>463</v>
      </c>
      <c r="C22" s="225" t="s">
        <v>464</v>
      </c>
      <c r="D22" s="225" t="s">
        <v>465</v>
      </c>
      <c r="E22" s="226" t="s">
        <v>466</v>
      </c>
      <c r="F22" s="225" t="s">
        <v>467</v>
      </c>
      <c r="G22" s="225" t="s">
        <v>468</v>
      </c>
      <c r="H22" s="225" t="s">
        <v>469</v>
      </c>
      <c r="I22" s="225" t="s">
        <v>470</v>
      </c>
      <c r="J22" s="225" t="s">
        <v>471</v>
      </c>
      <c r="K22" s="225"/>
    </row>
    <row r="23">
      <c r="A23" s="229" t="s">
        <v>492</v>
      </c>
      <c r="B23" s="228" t="s">
        <v>473</v>
      </c>
      <c r="C23" s="227">
        <v>4</v>
      </c>
      <c r="D23" s="227">
        <v>1923.3700000000001</v>
      </c>
      <c r="E23" s="229">
        <v>3112.7999999999997</v>
      </c>
      <c r="F23" s="229">
        <v>1</v>
      </c>
      <c r="G23" s="230">
        <f t="shared" ref="G23:G27" si="62">E23/F23</f>
      </c>
      <c r="H23" s="230">
        <f t="shared" ref="H23:H27" si="32">D23/F23</f>
      </c>
      <c r="I23" s="230">
        <f t="shared" ref="I23:I27" si="2">E23/D23</f>
      </c>
      <c r="J23" s="230">
        <f t="shared" ref="J23:J27" si="92">D23/C23</f>
      </c>
      <c r="K23" s="230"/>
    </row>
    <row r="24">
      <c r="A24" s="229" t="s">
        <v>478</v>
      </c>
      <c r="B24" s="228" t="s">
        <v>475</v>
      </c>
      <c r="C24" s="229">
        <v>4</v>
      </c>
      <c r="D24" s="229">
        <v>1745.93</v>
      </c>
      <c r="E24" s="229">
        <v>2859.6</v>
      </c>
      <c r="F24" s="229">
        <v>3</v>
      </c>
      <c r="G24" s="230">
        <f t="shared" si="62"/>
      </c>
      <c r="H24" s="230">
        <f t="shared" si="32"/>
      </c>
      <c r="I24" s="230">
        <f t="shared" si="2"/>
      </c>
      <c r="J24" s="230">
        <f t="shared" si="92"/>
      </c>
      <c r="K24" s="230"/>
    </row>
    <row r="25">
      <c r="A25" s="229" t="s">
        <v>476</v>
      </c>
      <c r="B25" s="241" t="s">
        <v>497</v>
      </c>
      <c r="C25" s="229">
        <v>3</v>
      </c>
      <c r="D25" s="229">
        <v>1084.94</v>
      </c>
      <c r="E25" s="229">
        <v>0</v>
      </c>
      <c r="F25" s="229">
        <v>0</v>
      </c>
      <c r="G25" s="230">
        <f t="shared" si="62"/>
      </c>
      <c r="H25" s="230">
        <f t="shared" si="32"/>
      </c>
      <c r="I25" s="230">
        <f t="shared" si="2"/>
      </c>
      <c r="J25" s="230">
        <f t="shared" si="92"/>
      </c>
      <c r="K25" s="230"/>
    </row>
    <row r="26">
      <c r="A26" s="229" t="s">
        <v>474</v>
      </c>
      <c r="B26" s="241" t="s">
        <v>495</v>
      </c>
      <c r="C26" s="229">
        <v>5</v>
      </c>
      <c r="D26" s="229">
        <v>5597.2</v>
      </c>
      <c r="E26" s="229">
        <v>7031.1</v>
      </c>
      <c r="F26" s="229">
        <v>7</v>
      </c>
      <c r="G26" s="230">
        <f t="shared" si="62"/>
      </c>
      <c r="H26" s="230">
        <f t="shared" si="32"/>
      </c>
      <c r="I26" s="230">
        <f t="shared" si="2"/>
      </c>
      <c r="J26" s="230">
        <f t="shared" si="92"/>
      </c>
      <c r="K26" s="230"/>
    </row>
    <row r="27">
      <c r="A27" s="225" t="s">
        <v>480</v>
      </c>
      <c r="B27" s="225"/>
      <c r="C27" s="225">
        <f>SUM(C23:C26)</f>
      </c>
      <c r="D27" s="225">
        <f>SUM(D23:D26)</f>
      </c>
      <c r="E27" s="225">
        <f>SUM(E23:E26)</f>
      </c>
      <c r="F27" s="225">
        <f>SUM(F23:F26)</f>
      </c>
      <c r="G27" s="231">
        <f t="shared" si="62"/>
      </c>
      <c r="H27" s="231">
        <f t="shared" si="32"/>
      </c>
      <c r="I27" s="231">
        <f t="shared" si="2"/>
      </c>
      <c r="J27" s="231">
        <f t="shared" si="92"/>
      </c>
      <c r="K27" s="231"/>
    </row>
    <row r="28">
      <c r="A28" s="232" t="s">
        <v>481</v>
      </c>
      <c r="B28" s="232"/>
      <c r="C28" s="232"/>
      <c r="D28" s="232"/>
      <c r="E28" s="232"/>
      <c r="F28" s="232"/>
      <c r="G28" s="232"/>
      <c r="H28" s="232"/>
      <c r="I28" s="232"/>
      <c r="J28" s="232"/>
      <c r="K28" s="232"/>
    </row>
    <row r="29">
      <c r="A29" s="233" t="s">
        <v>465</v>
      </c>
      <c r="B29" s="233" t="s">
        <v>482</v>
      </c>
      <c r="C29" s="233" t="s">
        <v>483</v>
      </c>
      <c r="D29" s="233" t="s">
        <v>484</v>
      </c>
      <c r="E29" s="233" t="s">
        <v>485</v>
      </c>
      <c r="F29" s="233" t="s">
        <v>486</v>
      </c>
      <c r="G29" s="233" t="s">
        <v>487</v>
      </c>
      <c r="H29" s="234" t="s">
        <v>488</v>
      </c>
      <c r="I29" s="234" t="s">
        <v>489</v>
      </c>
      <c r="J29" s="234" t="s">
        <v>490</v>
      </c>
      <c r="K29" s="234" t="s">
        <v>464</v>
      </c>
    </row>
    <row r="30">
      <c r="A30" s="235">
        <f>SUM(D23:D26)</f>
      </c>
      <c r="B30" s="235">
        <f>SUM(E23:E26)</f>
      </c>
      <c r="C30" s="236">
        <f>B30/((K30*300)+A30)</f>
      </c>
      <c r="D30" s="237">
        <f>A30/J30</f>
      </c>
      <c r="E30" s="236">
        <f>B30/J30</f>
      </c>
      <c r="F30" s="238">
        <f>J30/I30</f>
      </c>
      <c r="G30" s="238">
        <f>H30/J30</f>
      </c>
      <c r="H30" s="239">
        <v>1</v>
      </c>
      <c r="I30" s="239">
        <v>25</v>
      </c>
      <c r="J30" s="239">
        <f>F27</f>
      </c>
      <c r="K30" s="240">
        <f>C27</f>
      </c>
    </row>
    <row r="31">
      <c r="A31" s="224" t="s">
        <v>498</v>
      </c>
      <c r="B31" s="224"/>
      <c r="C31" s="224"/>
      <c r="D31" s="224"/>
      <c r="E31" s="224"/>
      <c r="F31" s="224"/>
      <c r="G31" s="224"/>
      <c r="H31" s="224"/>
      <c r="I31" s="224"/>
      <c r="J31" s="224"/>
      <c r="K31" s="224"/>
    </row>
    <row r="32">
      <c r="A32" s="225" t="s">
        <v>462</v>
      </c>
      <c r="B32" s="225" t="s">
        <v>463</v>
      </c>
      <c r="C32" s="225" t="s">
        <v>464</v>
      </c>
      <c r="D32" s="225" t="s">
        <v>465</v>
      </c>
      <c r="E32" s="226" t="s">
        <v>466</v>
      </c>
      <c r="F32" s="225" t="s">
        <v>467</v>
      </c>
      <c r="G32" s="225" t="s">
        <v>468</v>
      </c>
      <c r="H32" s="225" t="s">
        <v>469</v>
      </c>
      <c r="I32" s="225" t="s">
        <v>470</v>
      </c>
      <c r="J32" s="225" t="s">
        <v>471</v>
      </c>
      <c r="K32" s="225"/>
    </row>
    <row r="33">
      <c r="A33" s="227" t="s">
        <v>472</v>
      </c>
      <c r="B33" s="228" t="s">
        <v>473</v>
      </c>
      <c r="C33" s="227">
        <v>4</v>
      </c>
      <c r="D33" s="227">
        <v>1742.5300000000002</v>
      </c>
      <c r="E33" s="229">
        <v>11184</v>
      </c>
      <c r="F33" s="229">
        <v>8</v>
      </c>
      <c r="G33" s="230">
        <f t="shared" ref="G33:G37" si="63">E33/F33</f>
      </c>
      <c r="H33" s="230">
        <f t="shared" ref="H33:H37" si="33">D33/F33</f>
      </c>
      <c r="I33" s="230">
        <f t="shared" ref="I33:I37" si="3">E33/D33</f>
      </c>
      <c r="J33" s="230">
        <f t="shared" ref="J33:J37" si="93">D33/C33</f>
      </c>
      <c r="K33" s="230"/>
    </row>
    <row r="34">
      <c r="A34" s="229" t="s">
        <v>492</v>
      </c>
      <c r="B34" s="228" t="s">
        <v>475</v>
      </c>
      <c r="C34" s="229">
        <v>4</v>
      </c>
      <c r="D34" s="229">
        <v>6189.76</v>
      </c>
      <c r="E34" s="229">
        <v>12365.6</v>
      </c>
      <c r="F34" s="229">
        <v>11</v>
      </c>
      <c r="G34" s="230">
        <f t="shared" si="63"/>
      </c>
      <c r="H34" s="230">
        <f t="shared" si="33"/>
      </c>
      <c r="I34" s="230">
        <f t="shared" si="3"/>
      </c>
      <c r="J34" s="230">
        <f t="shared" si="93"/>
      </c>
      <c r="K34" s="230"/>
    </row>
    <row r="35">
      <c r="A35" s="229" t="s">
        <v>476</v>
      </c>
      <c r="B35" s="228" t="s">
        <v>477</v>
      </c>
      <c r="C35" s="229">
        <v>4</v>
      </c>
      <c r="D35" s="229">
        <v>6223.66</v>
      </c>
      <c r="E35" s="229">
        <v>4873</v>
      </c>
      <c r="F35" s="229">
        <v>5</v>
      </c>
      <c r="G35" s="230">
        <f t="shared" si="63"/>
      </c>
      <c r="H35" s="230">
        <f t="shared" si="33"/>
      </c>
      <c r="I35" s="230">
        <f t="shared" si="3"/>
      </c>
      <c r="J35" s="230">
        <f t="shared" si="93"/>
      </c>
      <c r="K35" s="230"/>
    </row>
    <row r="36">
      <c r="A36" s="227" t="s">
        <v>478</v>
      </c>
      <c r="B36" s="228" t="s">
        <v>479</v>
      </c>
      <c r="C36" s="229">
        <v>4</v>
      </c>
      <c r="D36" s="229">
        <v>9796.34</v>
      </c>
      <c r="E36" s="229">
        <v>7627.3</v>
      </c>
      <c r="F36" s="229">
        <v>7</v>
      </c>
      <c r="G36" s="230">
        <f t="shared" si="63"/>
      </c>
      <c r="H36" s="230">
        <f t="shared" si="33"/>
      </c>
      <c r="I36" s="230">
        <f t="shared" si="3"/>
      </c>
      <c r="J36" s="230">
        <f t="shared" si="93"/>
      </c>
      <c r="K36" s="230"/>
    </row>
    <row r="37">
      <c r="A37" s="225" t="s">
        <v>480</v>
      </c>
      <c r="B37" s="225"/>
      <c r="C37" s="225">
        <f>SUM(C33:C36)</f>
      </c>
      <c r="D37" s="225">
        <f>SUM(D33:D36)</f>
      </c>
      <c r="E37" s="225">
        <f>SUM(E33:E36)</f>
      </c>
      <c r="F37" s="225">
        <f>SUM(F33:F36)</f>
      </c>
      <c r="G37" s="231">
        <f t="shared" si="63"/>
      </c>
      <c r="H37" s="231">
        <f t="shared" si="33"/>
      </c>
      <c r="I37" s="231">
        <f t="shared" si="3"/>
      </c>
      <c r="J37" s="231">
        <f t="shared" si="93"/>
      </c>
      <c r="K37" s="231"/>
    </row>
    <row r="38">
      <c r="A38" s="232" t="s">
        <v>481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</row>
    <row r="39">
      <c r="A39" s="233" t="s">
        <v>465</v>
      </c>
      <c r="B39" s="233" t="s">
        <v>482</v>
      </c>
      <c r="C39" s="233" t="s">
        <v>483</v>
      </c>
      <c r="D39" s="233" t="s">
        <v>484</v>
      </c>
      <c r="E39" s="233" t="s">
        <v>485</v>
      </c>
      <c r="F39" s="233" t="s">
        <v>486</v>
      </c>
      <c r="G39" s="233" t="s">
        <v>487</v>
      </c>
      <c r="H39" s="234" t="s">
        <v>488</v>
      </c>
      <c r="I39" s="234" t="s">
        <v>489</v>
      </c>
      <c r="J39" s="234" t="s">
        <v>490</v>
      </c>
      <c r="K39" s="234" t="s">
        <v>464</v>
      </c>
    </row>
    <row r="40">
      <c r="A40" s="235">
        <f>SUM(D33:D36)</f>
      </c>
      <c r="B40" s="235">
        <f>SUM(E33:E36)</f>
      </c>
      <c r="C40" s="236">
        <f>B40/((K40*300)+A40)</f>
      </c>
      <c r="D40" s="237">
        <f>A40/J40</f>
      </c>
      <c r="E40" s="236">
        <f>B40/J40</f>
      </c>
      <c r="F40" s="238">
        <f>J40/I40</f>
      </c>
      <c r="G40" s="238">
        <f>H40/J40</f>
      </c>
      <c r="H40" s="239">
        <v>3</v>
      </c>
      <c r="I40" s="239">
        <v>43</v>
      </c>
      <c r="J40" s="239">
        <f>F37</f>
      </c>
      <c r="K40" s="240">
        <f>C37</f>
      </c>
    </row>
    <row r="41">
      <c r="A41" s="224" t="s">
        <v>499</v>
      </c>
      <c r="B41" s="224"/>
      <c r="C41" s="224"/>
      <c r="D41" s="224"/>
      <c r="E41" s="224"/>
      <c r="F41" s="224"/>
      <c r="G41" s="224"/>
      <c r="H41" s="224"/>
      <c r="I41" s="224"/>
      <c r="J41" s="224"/>
      <c r="K41" s="224"/>
    </row>
    <row r="42">
      <c r="A42" s="225" t="s">
        <v>462</v>
      </c>
      <c r="B42" s="225" t="s">
        <v>463</v>
      </c>
      <c r="C42" s="225" t="s">
        <v>464</v>
      </c>
      <c r="D42" s="225" t="s">
        <v>465</v>
      </c>
      <c r="E42" s="226" t="s">
        <v>466</v>
      </c>
      <c r="F42" s="225" t="s">
        <v>467</v>
      </c>
      <c r="G42" s="225" t="s">
        <v>468</v>
      </c>
      <c r="H42" s="225" t="s">
        <v>469</v>
      </c>
      <c r="I42" s="225" t="s">
        <v>470</v>
      </c>
      <c r="J42" s="225" t="s">
        <v>471</v>
      </c>
      <c r="K42" s="225"/>
    </row>
    <row r="43">
      <c r="A43" s="227" t="s">
        <v>472</v>
      </c>
      <c r="B43" s="228" t="s">
        <v>473</v>
      </c>
      <c r="C43" s="227">
        <v>4</v>
      </c>
      <c r="D43" s="227">
        <v>5948.32</v>
      </c>
      <c r="E43" s="229">
        <v>1292.3999999999999</v>
      </c>
      <c r="F43" s="229">
        <v>2</v>
      </c>
      <c r="G43" s="230">
        <f t="shared" ref="G43:G47" si="64">E43/F43</f>
      </c>
      <c r="H43" s="230">
        <f t="shared" ref="H43:H47" si="34">D43/F43</f>
      </c>
      <c r="I43" s="230">
        <f t="shared" ref="I43:I47" si="4">E43/D43</f>
      </c>
      <c r="J43" s="230">
        <f t="shared" ref="J43:J47" si="94">D43/C43</f>
      </c>
      <c r="K43" s="230"/>
    </row>
    <row r="44">
      <c r="A44" s="229" t="s">
        <v>492</v>
      </c>
      <c r="B44" s="228" t="s">
        <v>475</v>
      </c>
      <c r="C44" s="229">
        <v>4</v>
      </c>
      <c r="D44" s="229">
        <v>4198.54</v>
      </c>
      <c r="E44" s="229">
        <v>9074.4</v>
      </c>
      <c r="F44" s="229">
        <v>5</v>
      </c>
      <c r="G44" s="230">
        <f t="shared" si="64"/>
      </c>
      <c r="H44" s="230">
        <f t="shared" si="34"/>
      </c>
      <c r="I44" s="230">
        <f t="shared" si="4"/>
      </c>
      <c r="J44" s="230">
        <f t="shared" si="94"/>
      </c>
      <c r="K44" s="230"/>
    </row>
    <row r="45">
      <c r="A45" s="229" t="s">
        <v>476</v>
      </c>
      <c r="B45" s="228" t="s">
        <v>477</v>
      </c>
      <c r="C45" s="229">
        <v>4</v>
      </c>
      <c r="D45" s="229">
        <v>4791.44</v>
      </c>
      <c r="E45" s="229">
        <v>5031</v>
      </c>
      <c r="F45" s="229">
        <v>3</v>
      </c>
      <c r="G45" s="230">
        <f t="shared" si="64"/>
      </c>
      <c r="H45" s="230">
        <f t="shared" si="34"/>
      </c>
      <c r="I45" s="230">
        <f t="shared" si="4"/>
      </c>
      <c r="J45" s="230">
        <f t="shared" si="94"/>
      </c>
      <c r="K45" s="230"/>
    </row>
    <row r="46">
      <c r="A46" s="227" t="s">
        <v>478</v>
      </c>
      <c r="B46" s="228" t="s">
        <v>479</v>
      </c>
      <c r="C46" s="229">
        <v>4</v>
      </c>
      <c r="D46" s="229">
        <v>6660.01</v>
      </c>
      <c r="E46" s="229">
        <v>15032.2</v>
      </c>
      <c r="F46" s="229">
        <v>13</v>
      </c>
      <c r="G46" s="230">
        <f t="shared" si="64"/>
      </c>
      <c r="H46" s="230">
        <f t="shared" si="34"/>
      </c>
      <c r="I46" s="230">
        <f t="shared" si="4"/>
      </c>
      <c r="J46" s="230">
        <f t="shared" si="94"/>
      </c>
      <c r="K46" s="230"/>
    </row>
    <row r="47">
      <c r="A47" s="225" t="s">
        <v>480</v>
      </c>
      <c r="B47" s="225"/>
      <c r="C47" s="225">
        <f>SUM(C43:C46)</f>
      </c>
      <c r="D47" s="225">
        <f>SUM(D43:D46)</f>
      </c>
      <c r="E47" s="225">
        <f>SUM(E43:E46)</f>
      </c>
      <c r="F47" s="225">
        <f>SUM(F43:F46)</f>
      </c>
      <c r="G47" s="231">
        <f t="shared" si="64"/>
      </c>
      <c r="H47" s="231">
        <f t="shared" si="34"/>
      </c>
      <c r="I47" s="231">
        <f t="shared" si="4"/>
      </c>
      <c r="J47" s="231">
        <f t="shared" si="94"/>
      </c>
      <c r="K47" s="231"/>
    </row>
    <row r="48">
      <c r="A48" s="232" t="s">
        <v>481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</row>
    <row r="49">
      <c r="A49" s="233" t="s">
        <v>465</v>
      </c>
      <c r="B49" s="233" t="s">
        <v>482</v>
      </c>
      <c r="C49" s="233" t="s">
        <v>483</v>
      </c>
      <c r="D49" s="233" t="s">
        <v>484</v>
      </c>
      <c r="E49" s="233" t="s">
        <v>485</v>
      </c>
      <c r="F49" s="233" t="s">
        <v>486</v>
      </c>
      <c r="G49" s="233" t="s">
        <v>487</v>
      </c>
      <c r="H49" s="234" t="s">
        <v>488</v>
      </c>
      <c r="I49" s="234" t="s">
        <v>489</v>
      </c>
      <c r="J49" s="234" t="s">
        <v>490</v>
      </c>
      <c r="K49" s="234" t="s">
        <v>464</v>
      </c>
    </row>
    <row r="50">
      <c r="A50" s="235">
        <f>SUM(D43:D46)</f>
      </c>
      <c r="B50" s="235">
        <f>SUM(E43:E46)</f>
      </c>
      <c r="C50" s="236">
        <f>B50/((K50*300)+A50)</f>
      </c>
      <c r="D50" s="237">
        <f>A50/J50</f>
      </c>
      <c r="E50" s="236">
        <f>B50/J50</f>
      </c>
      <c r="F50" s="238">
        <f>J50/I50</f>
      </c>
      <c r="G50" s="238">
        <f>H50/J50</f>
      </c>
      <c r="H50" s="239">
        <v>3</v>
      </c>
      <c r="I50" s="239">
        <v>31</v>
      </c>
      <c r="J50" s="239">
        <f>F47</f>
      </c>
      <c r="K50" s="240">
        <f>C47</f>
      </c>
    </row>
    <row r="51">
      <c r="A51" s="224" t="s">
        <v>500</v>
      </c>
      <c r="B51" s="224"/>
      <c r="C51" s="224"/>
      <c r="D51" s="224"/>
      <c r="E51" s="224"/>
      <c r="F51" s="224"/>
      <c r="G51" s="224"/>
      <c r="H51" s="224"/>
      <c r="I51" s="224"/>
      <c r="J51" s="224"/>
      <c r="K51" s="224"/>
    </row>
    <row r="52">
      <c r="A52" s="225" t="s">
        <v>462</v>
      </c>
      <c r="B52" s="225" t="s">
        <v>463</v>
      </c>
      <c r="C52" s="225" t="s">
        <v>464</v>
      </c>
      <c r="D52" s="225" t="s">
        <v>465</v>
      </c>
      <c r="E52" s="226" t="s">
        <v>466</v>
      </c>
      <c r="F52" s="225" t="s">
        <v>467</v>
      </c>
      <c r="G52" s="225" t="s">
        <v>468</v>
      </c>
      <c r="H52" s="225" t="s">
        <v>469</v>
      </c>
      <c r="I52" s="225" t="s">
        <v>470</v>
      </c>
      <c r="J52" s="225" t="s">
        <v>471</v>
      </c>
      <c r="K52" s="225"/>
    </row>
    <row r="53">
      <c r="A53" s="227" t="s">
        <v>472</v>
      </c>
      <c r="B53" s="228" t="s">
        <v>473</v>
      </c>
      <c r="C53" s="227">
        <v>4</v>
      </c>
      <c r="D53" s="227">
        <v>4711.01</v>
      </c>
      <c r="E53" s="229">
        <v>12451.199999999999</v>
      </c>
      <c r="F53" s="229">
        <v>7</v>
      </c>
      <c r="G53" s="230">
        <f t="shared" ref="G53:G57" si="65">E53/F53</f>
      </c>
      <c r="H53" s="230">
        <f t="shared" ref="H53:H57" si="35">D53/F53</f>
      </c>
      <c r="I53" s="230">
        <f t="shared" ref="I53:I57" si="5">E53/D53</f>
      </c>
      <c r="J53" s="230">
        <f t="shared" ref="J53:J57" si="95">D53/C53</f>
      </c>
      <c r="K53" s="230"/>
    </row>
    <row r="54">
      <c r="A54" s="229" t="s">
        <v>478</v>
      </c>
      <c r="B54" s="228" t="s">
        <v>475</v>
      </c>
      <c r="C54" s="229">
        <v>4</v>
      </c>
      <c r="D54" s="229">
        <v>7790.57</v>
      </c>
      <c r="E54" s="229">
        <v>8430</v>
      </c>
      <c r="F54" s="229">
        <v>9</v>
      </c>
      <c r="G54" s="230">
        <f t="shared" si="65"/>
      </c>
      <c r="H54" s="230">
        <f t="shared" si="35"/>
      </c>
      <c r="I54" s="230">
        <f t="shared" si="5"/>
      </c>
      <c r="J54" s="230">
        <f t="shared" si="95"/>
      </c>
      <c r="K54" s="230"/>
    </row>
    <row r="55">
      <c r="A55" s="229" t="s">
        <v>476</v>
      </c>
      <c r="B55" s="228" t="s">
        <v>477</v>
      </c>
      <c r="C55" s="229">
        <v>4</v>
      </c>
      <c r="D55" s="229">
        <v>9280.93</v>
      </c>
      <c r="E55" s="229">
        <v>18044.2</v>
      </c>
      <c r="F55" s="229">
        <v>11</v>
      </c>
      <c r="G55" s="230">
        <f t="shared" si="65"/>
      </c>
      <c r="H55" s="230">
        <f t="shared" si="35"/>
      </c>
      <c r="I55" s="230">
        <f t="shared" si="5"/>
      </c>
      <c r="J55" s="230">
        <f t="shared" si="95"/>
      </c>
      <c r="K55" s="230"/>
    </row>
    <row r="56">
      <c r="A56" s="229" t="s">
        <v>474</v>
      </c>
      <c r="B56" s="228" t="s">
        <v>479</v>
      </c>
      <c r="C56" s="229">
        <v>4</v>
      </c>
      <c r="D56" s="229">
        <v>10104.51</v>
      </c>
      <c r="E56" s="229">
        <v>11910.6</v>
      </c>
      <c r="F56" s="229">
        <v>10</v>
      </c>
      <c r="G56" s="230">
        <f t="shared" si="65"/>
      </c>
      <c r="H56" s="230">
        <f t="shared" si="35"/>
      </c>
      <c r="I56" s="230">
        <f t="shared" si="5"/>
      </c>
      <c r="J56" s="230">
        <f t="shared" si="95"/>
      </c>
      <c r="K56" s="230"/>
    </row>
    <row r="57">
      <c r="A57" s="225" t="s">
        <v>480</v>
      </c>
      <c r="B57" s="225"/>
      <c r="C57" s="225">
        <f>SUM(C53:C56)</f>
      </c>
      <c r="D57" s="225">
        <f>SUM(D53:D56)</f>
      </c>
      <c r="E57" s="225">
        <f>SUM(E53:E56)</f>
      </c>
      <c r="F57" s="225">
        <f>SUM(F53:F56)</f>
      </c>
      <c r="G57" s="231">
        <f t="shared" si="65"/>
      </c>
      <c r="H57" s="231">
        <f t="shared" si="35"/>
      </c>
      <c r="I57" s="231">
        <f t="shared" si="5"/>
      </c>
      <c r="J57" s="231">
        <f t="shared" si="95"/>
      </c>
      <c r="K57" s="231"/>
    </row>
    <row r="58">
      <c r="A58" s="232" t="s">
        <v>481</v>
      </c>
      <c r="B58" s="232"/>
      <c r="C58" s="232"/>
      <c r="D58" s="232"/>
      <c r="E58" s="232"/>
      <c r="F58" s="232"/>
      <c r="G58" s="232"/>
      <c r="H58" s="232"/>
      <c r="I58" s="232"/>
      <c r="J58" s="232"/>
      <c r="K58" s="232"/>
    </row>
    <row r="59">
      <c r="A59" s="233" t="s">
        <v>465</v>
      </c>
      <c r="B59" s="233" t="s">
        <v>482</v>
      </c>
      <c r="C59" s="233" t="s">
        <v>483</v>
      </c>
      <c r="D59" s="233" t="s">
        <v>484</v>
      </c>
      <c r="E59" s="233" t="s">
        <v>485</v>
      </c>
      <c r="F59" s="233" t="s">
        <v>486</v>
      </c>
      <c r="G59" s="233" t="s">
        <v>487</v>
      </c>
      <c r="H59" s="234" t="s">
        <v>488</v>
      </c>
      <c r="I59" s="234" t="s">
        <v>489</v>
      </c>
      <c r="J59" s="234" t="s">
        <v>490</v>
      </c>
      <c r="K59" s="234" t="s">
        <v>464</v>
      </c>
    </row>
    <row r="60">
      <c r="A60" s="235">
        <f>SUM(D53:D56)</f>
      </c>
      <c r="B60" s="235">
        <f>SUM(E53:E56)</f>
      </c>
      <c r="C60" s="236">
        <f>B60/((K60*300)+A60)</f>
      </c>
      <c r="D60" s="237">
        <f>A60/J60</f>
      </c>
      <c r="E60" s="236">
        <f>B60/J60</f>
      </c>
      <c r="F60" s="238">
        <f>J60/I60</f>
      </c>
      <c r="G60" s="238">
        <f>H60/J60</f>
      </c>
      <c r="H60" s="239">
        <v>2</v>
      </c>
      <c r="I60" s="239">
        <v>44</v>
      </c>
      <c r="J60" s="239">
        <f>F57</f>
      </c>
      <c r="K60" s="240">
        <f>C57</f>
      </c>
    </row>
    <row r="61">
      <c r="A61" s="224" t="s">
        <v>501</v>
      </c>
      <c r="B61" s="224"/>
      <c r="C61" s="224"/>
      <c r="D61" s="224"/>
      <c r="E61" s="224"/>
      <c r="F61" s="224"/>
      <c r="G61" s="224"/>
      <c r="H61" s="224"/>
      <c r="I61" s="224"/>
      <c r="J61" s="224"/>
      <c r="K61" s="224"/>
    </row>
    <row r="62">
      <c r="A62" s="225" t="s">
        <v>462</v>
      </c>
      <c r="B62" s="225" t="s">
        <v>463</v>
      </c>
      <c r="C62" s="225" t="s">
        <v>464</v>
      </c>
      <c r="D62" s="225" t="s">
        <v>465</v>
      </c>
      <c r="E62" s="226" t="s">
        <v>466</v>
      </c>
      <c r="F62" s="225" t="s">
        <v>467</v>
      </c>
      <c r="G62" s="225" t="s">
        <v>468</v>
      </c>
      <c r="H62" s="225" t="s">
        <v>469</v>
      </c>
      <c r="I62" s="225" t="s">
        <v>470</v>
      </c>
      <c r="J62" s="225" t="s">
        <v>471</v>
      </c>
      <c r="K62" s="225"/>
    </row>
    <row r="63">
      <c r="A63" s="229" t="s">
        <v>476</v>
      </c>
      <c r="B63" s="228" t="s">
        <v>473</v>
      </c>
      <c r="C63" s="227">
        <v>4</v>
      </c>
      <c r="D63" s="227">
        <v>4963.299999999999</v>
      </c>
      <c r="E63" s="229">
        <v>7730.400000000001</v>
      </c>
      <c r="F63" s="229">
        <v>3</v>
      </c>
      <c r="G63" s="230">
        <f t="shared" ref="G63:G67" si="66">E63/F63</f>
      </c>
      <c r="H63" s="230">
        <f t="shared" ref="H63:H67" si="36">D63/F63</f>
      </c>
      <c r="I63" s="230">
        <f t="shared" ref="I63:I67" si="6">E63/D63</f>
      </c>
      <c r="J63" s="230">
        <f t="shared" ref="J63:J67" si="96">D63/C63</f>
      </c>
      <c r="K63" s="230"/>
    </row>
    <row r="64">
      <c r="A64" s="229" t="s">
        <v>492</v>
      </c>
      <c r="B64" s="228" t="s">
        <v>475</v>
      </c>
      <c r="C64" s="229">
        <v>4</v>
      </c>
      <c r="D64" s="229">
        <v>5005.32</v>
      </c>
      <c r="E64" s="229">
        <v>1837.2</v>
      </c>
      <c r="F64" s="229">
        <v>2</v>
      </c>
      <c r="G64" s="230">
        <f t="shared" si="66"/>
      </c>
      <c r="H64" s="230">
        <f t="shared" si="36"/>
      </c>
      <c r="I64" s="230">
        <f t="shared" si="6"/>
      </c>
      <c r="J64" s="230">
        <f t="shared" si="96"/>
      </c>
      <c r="K64" s="230"/>
    </row>
    <row r="65">
      <c r="A65" s="229" t="s">
        <v>472</v>
      </c>
      <c r="B65" s="228" t="s">
        <v>477</v>
      </c>
      <c r="C65" s="229">
        <v>4</v>
      </c>
      <c r="D65" s="229">
        <v>3169.73</v>
      </c>
      <c r="E65" s="229">
        <v>3834</v>
      </c>
      <c r="F65" s="229">
        <v>2</v>
      </c>
      <c r="G65" s="230">
        <f t="shared" si="66"/>
      </c>
      <c r="H65" s="230">
        <f t="shared" si="36"/>
      </c>
      <c r="I65" s="230">
        <f t="shared" si="6"/>
      </c>
      <c r="J65" s="230">
        <f t="shared" si="96"/>
      </c>
      <c r="K65" s="230"/>
    </row>
    <row r="66">
      <c r="A66" s="229" t="s">
        <v>474</v>
      </c>
      <c r="B66" s="228" t="s">
        <v>479</v>
      </c>
      <c r="C66" s="229">
        <v>4</v>
      </c>
      <c r="D66" s="229">
        <v>3191</v>
      </c>
      <c r="E66" s="229">
        <v>10257.4</v>
      </c>
      <c r="F66" s="229">
        <v>8</v>
      </c>
      <c r="G66" s="230">
        <f t="shared" si="66"/>
      </c>
      <c r="H66" s="230">
        <f t="shared" si="36"/>
      </c>
      <c r="I66" s="230">
        <f t="shared" si="6"/>
      </c>
      <c r="J66" s="230">
        <f t="shared" si="96"/>
      </c>
      <c r="K66" s="230"/>
    </row>
    <row r="67">
      <c r="A67" s="225" t="s">
        <v>480</v>
      </c>
      <c r="B67" s="225"/>
      <c r="C67" s="225">
        <f>SUM(C63:C66)</f>
      </c>
      <c r="D67" s="225">
        <f>SUM(D63:D66)</f>
      </c>
      <c r="E67" s="225">
        <f>SUM(E63:E66)</f>
      </c>
      <c r="F67" s="225">
        <f>SUM(F63:F66)</f>
      </c>
      <c r="G67" s="231">
        <f t="shared" si="66"/>
      </c>
      <c r="H67" s="231">
        <f t="shared" si="36"/>
      </c>
      <c r="I67" s="231">
        <f t="shared" si="6"/>
      </c>
      <c r="J67" s="231">
        <f t="shared" si="96"/>
      </c>
      <c r="K67" s="231"/>
    </row>
    <row r="68">
      <c r="A68" s="232" t="s">
        <v>481</v>
      </c>
      <c r="B68" s="232"/>
      <c r="C68" s="232"/>
      <c r="D68" s="232"/>
      <c r="E68" s="232"/>
      <c r="F68" s="232"/>
      <c r="G68" s="232"/>
      <c r="H68" s="232"/>
      <c r="I68" s="232"/>
      <c r="J68" s="232"/>
      <c r="K68" s="232"/>
    </row>
    <row r="69">
      <c r="A69" s="233" t="s">
        <v>465</v>
      </c>
      <c r="B69" s="233" t="s">
        <v>482</v>
      </c>
      <c r="C69" s="233" t="s">
        <v>483</v>
      </c>
      <c r="D69" s="233" t="s">
        <v>484</v>
      </c>
      <c r="E69" s="233" t="s">
        <v>485</v>
      </c>
      <c r="F69" s="233" t="s">
        <v>486</v>
      </c>
      <c r="G69" s="233" t="s">
        <v>487</v>
      </c>
      <c r="H69" s="234" t="s">
        <v>488</v>
      </c>
      <c r="I69" s="234" t="s">
        <v>489</v>
      </c>
      <c r="J69" s="234" t="s">
        <v>490</v>
      </c>
      <c r="K69" s="234" t="s">
        <v>464</v>
      </c>
    </row>
    <row r="70">
      <c r="A70" s="235">
        <f>SUM(D63:D66)</f>
      </c>
      <c r="B70" s="235">
        <f>SUM(E63:E66)</f>
      </c>
      <c r="C70" s="236">
        <f>B70/((K70*300)+A70)</f>
      </c>
      <c r="D70" s="237">
        <f>A70/J70</f>
      </c>
      <c r="E70" s="236">
        <f>B70/J70</f>
      </c>
      <c r="F70" s="238">
        <f>J70/I70</f>
      </c>
      <c r="G70" s="238">
        <f>H70/J70</f>
      </c>
      <c r="H70" s="239">
        <v>1</v>
      </c>
      <c r="I70" s="239">
        <v>19</v>
      </c>
      <c r="J70" s="239">
        <f>F67</f>
      </c>
      <c r="K70" s="240">
        <f>C67</f>
      </c>
    </row>
    <row r="71">
      <c r="A71" s="224" t="s">
        <v>502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</row>
    <row r="72">
      <c r="A72" s="225" t="s">
        <v>462</v>
      </c>
      <c r="B72" s="225" t="s">
        <v>463</v>
      </c>
      <c r="C72" s="225" t="s">
        <v>464</v>
      </c>
      <c r="D72" s="225" t="s">
        <v>465</v>
      </c>
      <c r="E72" s="226" t="s">
        <v>466</v>
      </c>
      <c r="F72" s="225" t="s">
        <v>467</v>
      </c>
      <c r="G72" s="225" t="s">
        <v>468</v>
      </c>
      <c r="H72" s="225" t="s">
        <v>469</v>
      </c>
      <c r="I72" s="225" t="s">
        <v>470</v>
      </c>
      <c r="J72" s="225" t="s">
        <v>471</v>
      </c>
      <c r="K72" s="225"/>
    </row>
    <row r="73">
      <c r="A73" s="227" t="s">
        <v>472</v>
      </c>
      <c r="B73" s="228" t="s">
        <v>473</v>
      </c>
      <c r="C73" s="227">
        <v>4</v>
      </c>
      <c r="D73" s="227">
        <v>3671.27</v>
      </c>
      <c r="E73" s="229">
        <v>5150.4</v>
      </c>
      <c r="F73" s="229">
        <v>3</v>
      </c>
      <c r="G73" s="230">
        <f t="shared" ref="G73:G76" si="67">E73/F73</f>
      </c>
      <c r="H73" s="230">
        <f t="shared" ref="H73:H76" si="37">D73/F73</f>
      </c>
      <c r="I73" s="230">
        <f t="shared" ref="I73:I76" si="7">E73/D73</f>
      </c>
      <c r="J73" s="230">
        <f t="shared" ref="J73:J76" si="97">D73/C73</f>
      </c>
      <c r="K73" s="230"/>
    </row>
    <row r="74">
      <c r="A74" s="229" t="s">
        <v>492</v>
      </c>
      <c r="B74" s="228" t="s">
        <v>475</v>
      </c>
      <c r="C74" s="229">
        <v>4</v>
      </c>
      <c r="D74" s="229">
        <v>3931.62</v>
      </c>
      <c r="E74" s="229">
        <v>4696.8</v>
      </c>
      <c r="F74" s="229">
        <v>5</v>
      </c>
      <c r="G74" s="230">
        <f t="shared" si="67"/>
      </c>
      <c r="H74" s="230">
        <f t="shared" si="37"/>
      </c>
      <c r="I74" s="230">
        <f t="shared" si="7"/>
      </c>
      <c r="J74" s="230">
        <f t="shared" si="97"/>
      </c>
      <c r="K74" s="230"/>
    </row>
    <row r="75">
      <c r="A75" s="229" t="s">
        <v>474</v>
      </c>
      <c r="B75" s="228" t="s">
        <v>477</v>
      </c>
      <c r="C75" s="229">
        <v>4</v>
      </c>
      <c r="D75" s="229">
        <v>1882.91</v>
      </c>
      <c r="E75" s="229">
        <v>0</v>
      </c>
      <c r="F75" s="229">
        <v>0</v>
      </c>
      <c r="G75" s="230">
        <f t="shared" si="67"/>
      </c>
      <c r="H75" s="230">
        <f t="shared" si="37"/>
      </c>
      <c r="I75" s="230">
        <f t="shared" si="7"/>
      </c>
      <c r="J75" s="230">
        <f t="shared" si="97"/>
      </c>
      <c r="K75" s="230"/>
    </row>
    <row r="76">
      <c r="A76" s="225" t="s">
        <v>480</v>
      </c>
      <c r="B76" s="225"/>
      <c r="C76" s="225">
        <f>SUM(C73:C75)</f>
      </c>
      <c r="D76" s="225">
        <f>SUM(D73:D75)</f>
      </c>
      <c r="E76" s="225">
        <f>SUM(E73:E75)</f>
      </c>
      <c r="F76" s="225">
        <f>SUM(F73:F75)</f>
      </c>
      <c r="G76" s="231">
        <f t="shared" si="67"/>
      </c>
      <c r="H76" s="231">
        <f t="shared" si="37"/>
      </c>
      <c r="I76" s="231">
        <f t="shared" si="7"/>
      </c>
      <c r="J76" s="231">
        <f t="shared" si="97"/>
      </c>
      <c r="K76" s="231"/>
    </row>
    <row r="77">
      <c r="A77" s="232" t="s">
        <v>481</v>
      </c>
      <c r="B77" s="232"/>
      <c r="C77" s="232"/>
      <c r="D77" s="232"/>
      <c r="E77" s="232"/>
      <c r="F77" s="232"/>
      <c r="G77" s="232"/>
      <c r="H77" s="232"/>
      <c r="I77" s="232"/>
      <c r="J77" s="232"/>
      <c r="K77" s="232"/>
    </row>
    <row r="78">
      <c r="A78" s="233" t="s">
        <v>465</v>
      </c>
      <c r="B78" s="233" t="s">
        <v>482</v>
      </c>
      <c r="C78" s="233" t="s">
        <v>483</v>
      </c>
      <c r="D78" s="233" t="s">
        <v>484</v>
      </c>
      <c r="E78" s="233" t="s">
        <v>485</v>
      </c>
      <c r="F78" s="233" t="s">
        <v>486</v>
      </c>
      <c r="G78" s="233" t="s">
        <v>487</v>
      </c>
      <c r="H78" s="234" t="s">
        <v>488</v>
      </c>
      <c r="I78" s="234" t="s">
        <v>489</v>
      </c>
      <c r="J78" s="234" t="s">
        <v>490</v>
      </c>
      <c r="K78" s="234" t="s">
        <v>464</v>
      </c>
    </row>
    <row r="79">
      <c r="A79" s="235">
        <f>SUM(D73:D75)</f>
      </c>
      <c r="B79" s="235">
        <f>SUM(E73:E75)</f>
      </c>
      <c r="C79" s="236">
        <f>B79/((K79*300)+A79)</f>
      </c>
      <c r="D79" s="237">
        <f>A79/J79</f>
      </c>
      <c r="E79" s="236">
        <f>B79/J79</f>
      </c>
      <c r="F79" s="238">
        <f>J79/I79</f>
      </c>
      <c r="G79" s="238">
        <f>H79/J79</f>
      </c>
      <c r="H79" s="239">
        <v>0</v>
      </c>
      <c r="I79" s="239">
        <v>11</v>
      </c>
      <c r="J79" s="239">
        <f>F76</f>
      </c>
      <c r="K79" s="240">
        <f>C76</f>
      </c>
    </row>
    <row r="80">
      <c r="A80" s="224" t="s">
        <v>503</v>
      </c>
      <c r="B80" s="224"/>
      <c r="C80" s="224"/>
      <c r="D80" s="224"/>
      <c r="E80" s="224"/>
      <c r="F80" s="224"/>
      <c r="G80" s="224"/>
      <c r="H80" s="224"/>
      <c r="I80" s="224"/>
      <c r="J80" s="224"/>
      <c r="K80" s="224"/>
    </row>
    <row r="81">
      <c r="A81" s="225" t="s">
        <v>462</v>
      </c>
      <c r="B81" s="225" t="s">
        <v>463</v>
      </c>
      <c r="C81" s="225" t="s">
        <v>464</v>
      </c>
      <c r="D81" s="225" t="s">
        <v>465</v>
      </c>
      <c r="E81" s="226" t="s">
        <v>466</v>
      </c>
      <c r="F81" s="225" t="s">
        <v>467</v>
      </c>
      <c r="G81" s="225" t="s">
        <v>468</v>
      </c>
      <c r="H81" s="225" t="s">
        <v>469</v>
      </c>
      <c r="I81" s="225" t="s">
        <v>470</v>
      </c>
      <c r="J81" s="225" t="s">
        <v>471</v>
      </c>
      <c r="K81" s="225"/>
    </row>
    <row r="82">
      <c r="A82" s="229" t="s">
        <v>492</v>
      </c>
      <c r="B82" s="241" t="s">
        <v>504</v>
      </c>
      <c r="C82" s="229">
        <v>3</v>
      </c>
      <c r="D82" s="229">
        <v>1248.32</v>
      </c>
      <c r="E82" s="229">
        <v>520.8</v>
      </c>
      <c r="F82" s="229">
        <v>1</v>
      </c>
      <c r="G82" s="230">
        <f t="shared" ref="G82:G84" si="68">E82/F82</f>
      </c>
      <c r="H82" s="230">
        <f t="shared" ref="H82:H84" si="38">D82/F82</f>
      </c>
      <c r="I82" s="230">
        <f t="shared" ref="I82:I84" si="8">E82/D82</f>
      </c>
      <c r="J82" s="230">
        <f t="shared" ref="J82:J84" si="98">D82/C82</f>
      </c>
      <c r="K82" s="230"/>
    </row>
    <row r="83">
      <c r="A83" s="229" t="s">
        <v>478</v>
      </c>
      <c r="B83" s="241" t="s">
        <v>505</v>
      </c>
      <c r="C83" s="229">
        <v>4</v>
      </c>
      <c r="D83" s="229">
        <v>2162.04</v>
      </c>
      <c r="E83" s="229">
        <v>5091.6</v>
      </c>
      <c r="F83" s="229">
        <v>3</v>
      </c>
      <c r="G83" s="230">
        <f t="shared" si="68"/>
      </c>
      <c r="H83" s="230">
        <f t="shared" si="38"/>
      </c>
      <c r="I83" s="230">
        <f t="shared" si="8"/>
      </c>
      <c r="J83" s="230">
        <f t="shared" si="98"/>
      </c>
      <c r="K83" s="230"/>
    </row>
    <row r="84">
      <c r="A84" s="225" t="s">
        <v>480</v>
      </c>
      <c r="B84" s="225"/>
      <c r="C84" s="225">
        <f>SUM(C82:C83)</f>
      </c>
      <c r="D84" s="225">
        <f>SUM(D82:D83)</f>
      </c>
      <c r="E84" s="225">
        <f>SUM(E82:E83)</f>
      </c>
      <c r="F84" s="225">
        <f>SUM(F82:F83)</f>
      </c>
      <c r="G84" s="231">
        <f t="shared" si="68"/>
      </c>
      <c r="H84" s="231">
        <f t="shared" si="38"/>
      </c>
      <c r="I84" s="231">
        <f t="shared" si="8"/>
      </c>
      <c r="J84" s="231">
        <f t="shared" si="98"/>
      </c>
      <c r="K84" s="231"/>
    </row>
    <row r="85">
      <c r="A85" s="232" t="s">
        <v>481</v>
      </c>
      <c r="B85" s="232"/>
      <c r="C85" s="232"/>
      <c r="D85" s="232"/>
      <c r="E85" s="232"/>
      <c r="F85" s="232"/>
      <c r="G85" s="232"/>
      <c r="H85" s="232"/>
      <c r="I85" s="232"/>
      <c r="J85" s="232"/>
      <c r="K85" s="232"/>
    </row>
    <row r="86">
      <c r="A86" s="233" t="s">
        <v>465</v>
      </c>
      <c r="B86" s="233" t="s">
        <v>482</v>
      </c>
      <c r="C86" s="233" t="s">
        <v>483</v>
      </c>
      <c r="D86" s="233" t="s">
        <v>484</v>
      </c>
      <c r="E86" s="233" t="s">
        <v>485</v>
      </c>
      <c r="F86" s="233" t="s">
        <v>486</v>
      </c>
      <c r="G86" s="233" t="s">
        <v>487</v>
      </c>
      <c r="H86" s="234" t="s">
        <v>488</v>
      </c>
      <c r="I86" s="234" t="s">
        <v>489</v>
      </c>
      <c r="J86" s="234" t="s">
        <v>490</v>
      </c>
      <c r="K86" s="234" t="s">
        <v>464</v>
      </c>
    </row>
    <row r="87">
      <c r="A87" s="235">
        <f>SUM(D82:D83)</f>
      </c>
      <c r="B87" s="235">
        <f>SUM(E82:E83)</f>
      </c>
      <c r="C87" s="236">
        <f>B87/((K87*300)+A87)</f>
      </c>
      <c r="D87" s="237">
        <f>A87/J87</f>
      </c>
      <c r="E87" s="236">
        <f>B87/J87</f>
      </c>
      <c r="F87" s="238">
        <f>J87/I87</f>
      </c>
      <c r="G87" s="238">
        <f>H87/J87</f>
      </c>
      <c r="H87" s="239">
        <v>1</v>
      </c>
      <c r="I87" s="239">
        <v>4</v>
      </c>
      <c r="J87" s="239">
        <f>F84</f>
      </c>
      <c r="K87" s="240">
        <f>C84</f>
      </c>
    </row>
    <row r="88">
      <c r="A88" s="224" t="s">
        <v>506</v>
      </c>
      <c r="B88" s="224"/>
      <c r="C88" s="224"/>
      <c r="D88" s="224"/>
      <c r="E88" s="224"/>
      <c r="F88" s="224"/>
      <c r="G88" s="224"/>
      <c r="H88" s="224"/>
      <c r="I88" s="224"/>
      <c r="J88" s="224"/>
      <c r="K88" s="224"/>
    </row>
    <row r="89">
      <c r="A89" s="225" t="s">
        <v>462</v>
      </c>
      <c r="B89" s="225" t="s">
        <v>463</v>
      </c>
      <c r="C89" s="225" t="s">
        <v>464</v>
      </c>
      <c r="D89" s="225" t="s">
        <v>465</v>
      </c>
      <c r="E89" s="226" t="s">
        <v>466</v>
      </c>
      <c r="F89" s="225" t="s">
        <v>467</v>
      </c>
      <c r="G89" s="225" t="s">
        <v>468</v>
      </c>
      <c r="H89" s="225" t="s">
        <v>469</v>
      </c>
      <c r="I89" s="225" t="s">
        <v>470</v>
      </c>
      <c r="J89" s="225" t="s">
        <v>471</v>
      </c>
      <c r="K89" s="225"/>
    </row>
    <row r="90">
      <c r="A90" s="229" t="s">
        <v>472</v>
      </c>
      <c r="B90" s="228" t="s">
        <v>473</v>
      </c>
      <c r="C90" s="227">
        <v>4</v>
      </c>
      <c r="D90" s="227">
        <v>3101.02</v>
      </c>
      <c r="E90" s="229">
        <v>4797.6</v>
      </c>
      <c r="F90" s="229">
        <v>4</v>
      </c>
      <c r="G90" s="230">
        <f t="shared" ref="G90:G93" si="69">E90/F90</f>
      </c>
      <c r="H90" s="230">
        <f t="shared" ref="H90:H93" si="39">D90/F90</f>
      </c>
      <c r="I90" s="230">
        <f t="shared" ref="I90:I93" si="9">E90/D90</f>
      </c>
      <c r="J90" s="230">
        <f t="shared" ref="J90:J93" si="99">D90/C90</f>
      </c>
      <c r="K90" s="230"/>
    </row>
    <row r="91">
      <c r="A91" s="229" t="s">
        <v>474</v>
      </c>
      <c r="B91" s="241" t="s">
        <v>493</v>
      </c>
      <c r="C91" s="229">
        <v>3</v>
      </c>
      <c r="D91" s="229">
        <v>2144.22</v>
      </c>
      <c r="E91" s="229">
        <v>3034.2</v>
      </c>
      <c r="F91" s="229">
        <v>3</v>
      </c>
      <c r="G91" s="230">
        <f t="shared" si="69"/>
      </c>
      <c r="H91" s="230">
        <f t="shared" si="39"/>
      </c>
      <c r="I91" s="230">
        <f t="shared" si="9"/>
      </c>
      <c r="J91" s="230">
        <f t="shared" si="99"/>
      </c>
      <c r="K91" s="230"/>
    </row>
    <row r="92">
      <c r="A92" s="229" t="s">
        <v>478</v>
      </c>
      <c r="B92" s="228" t="s">
        <v>479</v>
      </c>
      <c r="C92" s="229">
        <v>4</v>
      </c>
      <c r="D92" s="229">
        <v>4210.629999999999</v>
      </c>
      <c r="E92" s="229">
        <v>3062.3999999999987</v>
      </c>
      <c r="F92" s="229">
        <v>1</v>
      </c>
      <c r="G92" s="230">
        <f t="shared" si="69"/>
      </c>
      <c r="H92" s="230">
        <f t="shared" si="39"/>
      </c>
      <c r="I92" s="230">
        <f t="shared" si="9"/>
      </c>
      <c r="J92" s="230">
        <f t="shared" si="99"/>
      </c>
      <c r="K92" s="230"/>
    </row>
    <row r="93">
      <c r="A93" s="225" t="s">
        <v>480</v>
      </c>
      <c r="B93" s="225"/>
      <c r="C93" s="225">
        <f>SUM(C90:C92)</f>
      </c>
      <c r="D93" s="225">
        <f>SUM(D90:D92)</f>
      </c>
      <c r="E93" s="225">
        <f>SUM(E90:E92)</f>
      </c>
      <c r="F93" s="225">
        <f>SUM(F90:F92)</f>
      </c>
      <c r="G93" s="231">
        <f t="shared" si="69"/>
      </c>
      <c r="H93" s="231">
        <f t="shared" si="39"/>
      </c>
      <c r="I93" s="231">
        <f t="shared" si="9"/>
      </c>
      <c r="J93" s="231">
        <f t="shared" si="99"/>
      </c>
      <c r="K93" s="231"/>
    </row>
    <row r="94">
      <c r="A94" s="232" t="s">
        <v>481</v>
      </c>
      <c r="B94" s="232"/>
      <c r="C94" s="232"/>
      <c r="D94" s="232"/>
      <c r="E94" s="232"/>
      <c r="F94" s="232"/>
      <c r="G94" s="232"/>
      <c r="H94" s="232"/>
      <c r="I94" s="232"/>
      <c r="J94" s="232"/>
      <c r="K94" s="232"/>
    </row>
    <row r="95">
      <c r="A95" s="233" t="s">
        <v>465</v>
      </c>
      <c r="B95" s="233" t="s">
        <v>482</v>
      </c>
      <c r="C95" s="233" t="s">
        <v>483</v>
      </c>
      <c r="D95" s="233" t="s">
        <v>484</v>
      </c>
      <c r="E95" s="233" t="s">
        <v>485</v>
      </c>
      <c r="F95" s="233" t="s">
        <v>486</v>
      </c>
      <c r="G95" s="233" t="s">
        <v>487</v>
      </c>
      <c r="H95" s="234" t="s">
        <v>488</v>
      </c>
      <c r="I95" s="234" t="s">
        <v>489</v>
      </c>
      <c r="J95" s="234" t="s">
        <v>490</v>
      </c>
      <c r="K95" s="234" t="s">
        <v>464</v>
      </c>
    </row>
    <row r="96">
      <c r="A96" s="235">
        <f>SUM(D90:D92)</f>
      </c>
      <c r="B96" s="235">
        <f>SUM(E90:E92)</f>
      </c>
      <c r="C96" s="236">
        <f>B96/((K96*300)+A96)</f>
      </c>
      <c r="D96" s="237">
        <f>A96/J96</f>
      </c>
      <c r="E96" s="236">
        <f>B96/J96</f>
      </c>
      <c r="F96" s="238">
        <f>J96/I96</f>
      </c>
      <c r="G96" s="238">
        <f>H96/J96</f>
      </c>
      <c r="H96" s="239">
        <v>1</v>
      </c>
      <c r="I96" s="239">
        <v>12</v>
      </c>
      <c r="J96" s="239">
        <f>F93</f>
      </c>
      <c r="K96" s="240">
        <f>C93</f>
      </c>
    </row>
    <row r="97">
      <c r="A97" s="224" t="s">
        <v>507</v>
      </c>
      <c r="B97" s="224"/>
      <c r="C97" s="224"/>
      <c r="D97" s="224"/>
      <c r="E97" s="224"/>
      <c r="F97" s="224"/>
      <c r="G97" s="224"/>
      <c r="H97" s="224"/>
      <c r="I97" s="224"/>
      <c r="J97" s="224"/>
      <c r="K97" s="224"/>
    </row>
    <row r="98">
      <c r="A98" s="225" t="s">
        <v>462</v>
      </c>
      <c r="B98" s="225" t="s">
        <v>463</v>
      </c>
      <c r="C98" s="225" t="s">
        <v>464</v>
      </c>
      <c r="D98" s="225" t="s">
        <v>465</v>
      </c>
      <c r="E98" s="226" t="s">
        <v>466</v>
      </c>
      <c r="F98" s="225" t="s">
        <v>467</v>
      </c>
      <c r="G98" s="225" t="s">
        <v>468</v>
      </c>
      <c r="H98" s="225" t="s">
        <v>469</v>
      </c>
      <c r="I98" s="225" t="s">
        <v>470</v>
      </c>
      <c r="J98" s="225" t="s">
        <v>471</v>
      </c>
      <c r="K98" s="225"/>
    </row>
    <row r="99">
      <c r="A99" s="229" t="s">
        <v>472</v>
      </c>
      <c r="B99" s="228" t="s">
        <v>473</v>
      </c>
      <c r="C99" s="227">
        <v>4</v>
      </c>
      <c r="D99" s="227">
        <v>4121.53</v>
      </c>
      <c r="E99" s="229">
        <v>2859.6000000000004</v>
      </c>
      <c r="F99" s="229">
        <v>3</v>
      </c>
      <c r="G99" s="230">
        <f t="shared" ref="G99:G103" si="70">E99/F99</f>
      </c>
      <c r="H99" s="230">
        <f t="shared" ref="H99:H103" si="40">D99/F99</f>
      </c>
      <c r="I99" s="230">
        <f t="shared" ref="I99:I103" si="10">E99/D99</f>
      </c>
      <c r="J99" s="230">
        <f t="shared" ref="J99:J103" si="100">D99/C99</f>
      </c>
      <c r="K99" s="230"/>
    </row>
    <row r="100">
      <c r="A100" s="229" t="s">
        <v>492</v>
      </c>
      <c r="B100" s="228" t="s">
        <v>475</v>
      </c>
      <c r="C100" s="229">
        <v>4</v>
      </c>
      <c r="D100" s="229">
        <v>5367.11</v>
      </c>
      <c r="E100" s="229">
        <v>2859.6000000000004</v>
      </c>
      <c r="F100" s="229">
        <v>3</v>
      </c>
      <c r="G100" s="230">
        <f t="shared" si="70"/>
      </c>
      <c r="H100" s="230">
        <f t="shared" si="40"/>
      </c>
      <c r="I100" s="230">
        <f t="shared" si="10"/>
      </c>
      <c r="J100" s="230">
        <f t="shared" si="100"/>
      </c>
      <c r="K100" s="230"/>
    </row>
    <row r="101">
      <c r="A101" s="229" t="s">
        <v>474</v>
      </c>
      <c r="B101" s="228" t="s">
        <v>477</v>
      </c>
      <c r="C101" s="229">
        <v>4</v>
      </c>
      <c r="D101" s="229">
        <v>6288.670000000002</v>
      </c>
      <c r="E101" s="229">
        <v>3511.7999999999993</v>
      </c>
      <c r="F101" s="229">
        <v>4</v>
      </c>
      <c r="G101" s="230">
        <f t="shared" si="70"/>
      </c>
      <c r="H101" s="230">
        <f t="shared" si="40"/>
      </c>
      <c r="I101" s="230">
        <f t="shared" si="10"/>
      </c>
      <c r="J101" s="230">
        <f t="shared" si="100"/>
      </c>
      <c r="K101" s="230"/>
    </row>
    <row r="102">
      <c r="A102" s="229" t="s">
        <v>476</v>
      </c>
      <c r="B102" s="228" t="s">
        <v>479</v>
      </c>
      <c r="C102" s="229">
        <v>4</v>
      </c>
      <c r="D102" s="229">
        <v>7798.91</v>
      </c>
      <c r="E102" s="229">
        <v>6427</v>
      </c>
      <c r="F102" s="229">
        <v>5</v>
      </c>
      <c r="G102" s="230">
        <f t="shared" si="70"/>
      </c>
      <c r="H102" s="230">
        <f t="shared" si="40"/>
      </c>
      <c r="I102" s="230">
        <f t="shared" si="10"/>
      </c>
      <c r="J102" s="230">
        <f t="shared" si="100"/>
      </c>
      <c r="K102" s="230"/>
    </row>
    <row r="103">
      <c r="A103" s="225" t="s">
        <v>480</v>
      </c>
      <c r="B103" s="225"/>
      <c r="C103" s="225">
        <f>SUM(C99:C102)</f>
      </c>
      <c r="D103" s="225">
        <f>SUM(D99:D102)</f>
      </c>
      <c r="E103" s="225">
        <f>SUM(E99:E102)</f>
      </c>
      <c r="F103" s="225">
        <f>SUM(F99:F102)</f>
      </c>
      <c r="G103" s="231">
        <f t="shared" si="70"/>
      </c>
      <c r="H103" s="231">
        <f t="shared" si="40"/>
      </c>
      <c r="I103" s="231">
        <f t="shared" si="10"/>
      </c>
      <c r="J103" s="231">
        <f t="shared" si="100"/>
      </c>
      <c r="K103" s="231"/>
    </row>
    <row r="104">
      <c r="A104" s="232" t="s">
        <v>481</v>
      </c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</row>
    <row r="105">
      <c r="A105" s="233" t="s">
        <v>465</v>
      </c>
      <c r="B105" s="233" t="s">
        <v>482</v>
      </c>
      <c r="C105" s="233" t="s">
        <v>483</v>
      </c>
      <c r="D105" s="233" t="s">
        <v>484</v>
      </c>
      <c r="E105" s="233" t="s">
        <v>485</v>
      </c>
      <c r="F105" s="233" t="s">
        <v>486</v>
      </c>
      <c r="G105" s="233" t="s">
        <v>487</v>
      </c>
      <c r="H105" s="234" t="s">
        <v>488</v>
      </c>
      <c r="I105" s="234" t="s">
        <v>489</v>
      </c>
      <c r="J105" s="234" t="s">
        <v>490</v>
      </c>
      <c r="K105" s="234" t="s">
        <v>464</v>
      </c>
    </row>
    <row r="106">
      <c r="A106" s="235">
        <f>SUM(D99:D102)</f>
      </c>
      <c r="B106" s="235">
        <f>SUM(E99:E102)</f>
      </c>
      <c r="C106" s="236">
        <f>B106/((K106*300)+A106)</f>
      </c>
      <c r="D106" s="237">
        <f>A106/J106</f>
      </c>
      <c r="E106" s="236">
        <f>B106/J106</f>
      </c>
      <c r="F106" s="238">
        <f>J106/I106</f>
      </c>
      <c r="G106" s="238">
        <f>H106/J106</f>
      </c>
      <c r="H106" s="239">
        <v>0</v>
      </c>
      <c r="I106" s="239">
        <v>26</v>
      </c>
      <c r="J106" s="239">
        <f>F103</f>
      </c>
      <c r="K106" s="240">
        <f>C103</f>
      </c>
    </row>
    <row r="107">
      <c r="A107" s="224" t="s">
        <v>508</v>
      </c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</row>
    <row r="108">
      <c r="A108" s="225" t="s">
        <v>462</v>
      </c>
      <c r="B108" s="225" t="s">
        <v>463</v>
      </c>
      <c r="C108" s="225" t="s">
        <v>464</v>
      </c>
      <c r="D108" s="225" t="s">
        <v>465</v>
      </c>
      <c r="E108" s="226" t="s">
        <v>466</v>
      </c>
      <c r="F108" s="225" t="s">
        <v>467</v>
      </c>
      <c r="G108" s="225" t="s">
        <v>468</v>
      </c>
      <c r="H108" s="225" t="s">
        <v>469</v>
      </c>
      <c r="I108" s="225" t="s">
        <v>470</v>
      </c>
      <c r="J108" s="225" t="s">
        <v>471</v>
      </c>
      <c r="K108" s="225"/>
    </row>
    <row r="109">
      <c r="A109" s="229" t="s">
        <v>478</v>
      </c>
      <c r="B109" s="228" t="s">
        <v>473</v>
      </c>
      <c r="C109" s="227">
        <v>4</v>
      </c>
      <c r="D109" s="229">
        <v>6727.16</v>
      </c>
      <c r="E109" s="229">
        <v>15831.4</v>
      </c>
      <c r="F109" s="229">
        <v>9</v>
      </c>
      <c r="G109" s="230">
        <f t="shared" ref="G109:G113" si="71">E109/F109</f>
      </c>
      <c r="H109" s="230">
        <f t="shared" ref="H109:H113" si="41">D109/F109</f>
      </c>
      <c r="I109" s="230">
        <f t="shared" ref="I109:I113" si="11">E109/D109</f>
      </c>
      <c r="J109" s="230">
        <f t="shared" ref="J109:J113" si="101">D109/C109</f>
      </c>
      <c r="K109" s="230"/>
    </row>
    <row r="110">
      <c r="A110" s="229" t="s">
        <v>492</v>
      </c>
      <c r="B110" s="228" t="s">
        <v>475</v>
      </c>
      <c r="C110" s="229">
        <v>4</v>
      </c>
      <c r="D110" s="229">
        <v>9496.980000000001</v>
      </c>
      <c r="E110" s="229">
        <v>6309.4</v>
      </c>
      <c r="F110" s="229">
        <v>5</v>
      </c>
      <c r="G110" s="230">
        <f t="shared" si="71"/>
      </c>
      <c r="H110" s="230">
        <f t="shared" si="41"/>
      </c>
      <c r="I110" s="230">
        <f t="shared" si="11"/>
      </c>
      <c r="J110" s="230">
        <f t="shared" si="101"/>
      </c>
      <c r="K110" s="230"/>
    </row>
    <row r="111">
      <c r="A111" s="229" t="s">
        <v>476</v>
      </c>
      <c r="B111" s="228" t="s">
        <v>477</v>
      </c>
      <c r="C111" s="229">
        <v>4</v>
      </c>
      <c r="D111" s="229">
        <v>3793.7800000000007</v>
      </c>
      <c r="E111" s="229">
        <v>3833.9999999999964</v>
      </c>
      <c r="F111" s="229">
        <v>2</v>
      </c>
      <c r="G111" s="230">
        <f t="shared" si="71"/>
      </c>
      <c r="H111" s="230">
        <f t="shared" si="41"/>
      </c>
      <c r="I111" s="230">
        <f t="shared" si="11"/>
      </c>
      <c r="J111" s="230">
        <f t="shared" si="101"/>
      </c>
      <c r="K111" s="230"/>
    </row>
    <row r="112">
      <c r="A112" s="229" t="s">
        <v>474</v>
      </c>
      <c r="B112" s="228" t="s">
        <v>479</v>
      </c>
      <c r="C112" s="229">
        <v>4</v>
      </c>
      <c r="D112" s="229">
        <v>5544.049999999999</v>
      </c>
      <c r="E112" s="229">
        <v>1316.4000000000015</v>
      </c>
      <c r="F112" s="229">
        <v>1</v>
      </c>
      <c r="G112" s="230">
        <f t="shared" si="71"/>
      </c>
      <c r="H112" s="230">
        <f t="shared" si="41"/>
      </c>
      <c r="I112" s="230">
        <f t="shared" si="11"/>
      </c>
      <c r="J112" s="230">
        <f t="shared" si="101"/>
      </c>
      <c r="K112" s="230"/>
    </row>
    <row r="113">
      <c r="A113" s="225" t="s">
        <v>480</v>
      </c>
      <c r="B113" s="225"/>
      <c r="C113" s="225">
        <f>SUM(C109:C112)</f>
      </c>
      <c r="D113" s="225">
        <f>SUM(D109:D112)</f>
      </c>
      <c r="E113" s="225">
        <f>SUM(E109:E112)</f>
      </c>
      <c r="F113" s="225">
        <f>SUM(F109:F112)</f>
      </c>
      <c r="G113" s="231">
        <f t="shared" si="71"/>
      </c>
      <c r="H113" s="231">
        <f t="shared" si="41"/>
      </c>
      <c r="I113" s="231">
        <f t="shared" si="11"/>
      </c>
      <c r="J113" s="231">
        <f t="shared" si="101"/>
      </c>
      <c r="K113" s="231"/>
    </row>
    <row r="114">
      <c r="A114" s="232" t="s">
        <v>481</v>
      </c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</row>
    <row r="115">
      <c r="A115" s="233" t="s">
        <v>465</v>
      </c>
      <c r="B115" s="233" t="s">
        <v>482</v>
      </c>
      <c r="C115" s="233" t="s">
        <v>483</v>
      </c>
      <c r="D115" s="233" t="s">
        <v>484</v>
      </c>
      <c r="E115" s="233" t="s">
        <v>485</v>
      </c>
      <c r="F115" s="233" t="s">
        <v>486</v>
      </c>
      <c r="G115" s="233" t="s">
        <v>487</v>
      </c>
      <c r="H115" s="234" t="s">
        <v>488</v>
      </c>
      <c r="I115" s="234" t="s">
        <v>489</v>
      </c>
      <c r="J115" s="234" t="s">
        <v>490</v>
      </c>
      <c r="K115" s="234" t="s">
        <v>464</v>
      </c>
    </row>
    <row r="116">
      <c r="A116" s="235">
        <f>SUM(D109:D112)</f>
      </c>
      <c r="B116" s="235">
        <f>SUM(E109:E112)</f>
      </c>
      <c r="C116" s="236">
        <f>B116/((K116*300)+A116)</f>
      </c>
      <c r="D116" s="237">
        <f>A116/J116</f>
      </c>
      <c r="E116" s="236">
        <f>B116/J116</f>
      </c>
      <c r="F116" s="238">
        <f>J116/I116</f>
      </c>
      <c r="G116" s="238">
        <f>H116/J116</f>
      </c>
      <c r="H116" s="239">
        <v>2</v>
      </c>
      <c r="I116" s="239">
        <v>19</v>
      </c>
      <c r="J116" s="239">
        <f>F113</f>
      </c>
      <c r="K116" s="240">
        <f>C113</f>
      </c>
    </row>
    <row r="117">
      <c r="A117" s="224" t="s">
        <v>509</v>
      </c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</row>
    <row r="118">
      <c r="A118" s="225" t="s">
        <v>462</v>
      </c>
      <c r="B118" s="225" t="s">
        <v>463</v>
      </c>
      <c r="C118" s="225" t="s">
        <v>464</v>
      </c>
      <c r="D118" s="225" t="s">
        <v>465</v>
      </c>
      <c r="E118" s="226" t="s">
        <v>466</v>
      </c>
      <c r="F118" s="225" t="s">
        <v>467</v>
      </c>
      <c r="G118" s="225" t="s">
        <v>468</v>
      </c>
      <c r="H118" s="225" t="s">
        <v>469</v>
      </c>
      <c r="I118" s="225" t="s">
        <v>470</v>
      </c>
      <c r="J118" s="225" t="s">
        <v>471</v>
      </c>
      <c r="K118" s="225"/>
    </row>
    <row r="119">
      <c r="A119" s="229" t="s">
        <v>492</v>
      </c>
      <c r="B119" s="228" t="s">
        <v>473</v>
      </c>
      <c r="C119" s="227">
        <v>4</v>
      </c>
      <c r="D119" s="229">
        <v>2601.77</v>
      </c>
      <c r="E119" s="229">
        <v>3062.4</v>
      </c>
      <c r="F119" s="229">
        <v>1</v>
      </c>
      <c r="G119" s="230">
        <f t="shared" ref="G119:G123" si="72">E119/F119</f>
      </c>
      <c r="H119" s="230">
        <f t="shared" ref="H119:H123" si="42">D119/F119</f>
      </c>
      <c r="I119" s="230">
        <f t="shared" ref="I119:I123" si="12">E119/D119</f>
      </c>
      <c r="J119" s="230">
        <f t="shared" ref="J119:J123" si="102">D119/C119</f>
      </c>
      <c r="K119" s="230"/>
    </row>
    <row r="120">
      <c r="A120" s="229" t="s">
        <v>472</v>
      </c>
      <c r="B120" s="228" t="s">
        <v>475</v>
      </c>
      <c r="C120" s="229">
        <v>4</v>
      </c>
      <c r="D120" s="229">
        <v>3061.2899999999995</v>
      </c>
      <c r="E120" s="229">
        <v>1228.7999999999997</v>
      </c>
      <c r="F120" s="229">
        <v>2</v>
      </c>
      <c r="G120" s="230">
        <f t="shared" si="72"/>
      </c>
      <c r="H120" s="230">
        <f t="shared" si="42"/>
      </c>
      <c r="I120" s="230">
        <f t="shared" si="12"/>
      </c>
      <c r="J120" s="230">
        <f t="shared" si="102"/>
      </c>
      <c r="K120" s="230"/>
    </row>
    <row r="121">
      <c r="A121" s="229" t="s">
        <v>476</v>
      </c>
      <c r="B121" s="228" t="s">
        <v>477</v>
      </c>
      <c r="C121" s="229">
        <v>4</v>
      </c>
      <c r="D121" s="229">
        <v>4765.68</v>
      </c>
      <c r="E121" s="229">
        <v>5420.399999999999</v>
      </c>
      <c r="F121" s="229">
        <v>4</v>
      </c>
      <c r="G121" s="230">
        <f t="shared" si="72"/>
      </c>
      <c r="H121" s="230">
        <f t="shared" si="42"/>
      </c>
      <c r="I121" s="230">
        <f t="shared" si="12"/>
      </c>
      <c r="J121" s="230">
        <f t="shared" si="102"/>
      </c>
      <c r="K121" s="230"/>
    </row>
    <row r="122">
      <c r="A122" s="229" t="s">
        <v>478</v>
      </c>
      <c r="B122" s="228" t="s">
        <v>479</v>
      </c>
      <c r="C122" s="229">
        <v>4</v>
      </c>
      <c r="D122" s="229">
        <v>5753.85</v>
      </c>
      <c r="E122" s="229">
        <v>10197.899999999998</v>
      </c>
      <c r="F122" s="229">
        <v>7</v>
      </c>
      <c r="G122" s="230">
        <f t="shared" si="72"/>
      </c>
      <c r="H122" s="230">
        <f t="shared" si="42"/>
      </c>
      <c r="I122" s="230">
        <f t="shared" si="12"/>
      </c>
      <c r="J122" s="230">
        <f t="shared" si="102"/>
      </c>
      <c r="K122" s="230"/>
    </row>
    <row r="123">
      <c r="A123" s="225" t="s">
        <v>480</v>
      </c>
      <c r="B123" s="225"/>
      <c r="C123" s="225">
        <f>SUM(C119:C122)</f>
      </c>
      <c r="D123" s="225">
        <f>SUM(D119:D122)</f>
      </c>
      <c r="E123" s="225">
        <f>SUM(E119:E122)</f>
      </c>
      <c r="F123" s="225">
        <f>SUM(F119:F122)</f>
      </c>
      <c r="G123" s="231">
        <f t="shared" si="72"/>
      </c>
      <c r="H123" s="231">
        <f t="shared" si="42"/>
      </c>
      <c r="I123" s="231">
        <f t="shared" si="12"/>
      </c>
      <c r="J123" s="231">
        <f t="shared" si="102"/>
      </c>
      <c r="K123" s="231"/>
    </row>
    <row r="124">
      <c r="A124" s="232" t="s">
        <v>481</v>
      </c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</row>
    <row r="125">
      <c r="A125" s="233" t="s">
        <v>465</v>
      </c>
      <c r="B125" s="233" t="s">
        <v>482</v>
      </c>
      <c r="C125" s="233" t="s">
        <v>483</v>
      </c>
      <c r="D125" s="233" t="s">
        <v>484</v>
      </c>
      <c r="E125" s="233" t="s">
        <v>485</v>
      </c>
      <c r="F125" s="233" t="s">
        <v>486</v>
      </c>
      <c r="G125" s="233" t="s">
        <v>487</v>
      </c>
      <c r="H125" s="234" t="s">
        <v>488</v>
      </c>
      <c r="I125" s="234" t="s">
        <v>489</v>
      </c>
      <c r="J125" s="234" t="s">
        <v>490</v>
      </c>
      <c r="K125" s="234" t="s">
        <v>464</v>
      </c>
    </row>
    <row r="126">
      <c r="A126" s="235">
        <f>SUM(D119:D122)</f>
      </c>
      <c r="B126" s="235">
        <f>SUM(E119:E122)</f>
      </c>
      <c r="C126" s="236">
        <f>B126/((K126*300)+A126)</f>
      </c>
      <c r="D126" s="237">
        <f>A126/J126</f>
      </c>
      <c r="E126" s="236">
        <f>B126/J126</f>
      </c>
      <c r="F126" s="238">
        <f>J126/I126</f>
      </c>
      <c r="G126" s="238">
        <f>H126/J126</f>
      </c>
      <c r="H126" s="239">
        <v>2</v>
      </c>
      <c r="I126" s="239">
        <v>19</v>
      </c>
      <c r="J126" s="239">
        <f>F123</f>
      </c>
      <c r="K126" s="240">
        <f>C123</f>
      </c>
    </row>
    <row r="127">
      <c r="A127" s="224" t="s">
        <v>510</v>
      </c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</row>
    <row r="128">
      <c r="A128" s="225" t="s">
        <v>462</v>
      </c>
      <c r="B128" s="225" t="s">
        <v>463</v>
      </c>
      <c r="C128" s="225" t="s">
        <v>464</v>
      </c>
      <c r="D128" s="225" t="s">
        <v>465</v>
      </c>
      <c r="E128" s="226" t="s">
        <v>466</v>
      </c>
      <c r="F128" s="225" t="s">
        <v>467</v>
      </c>
      <c r="G128" s="225" t="s">
        <v>468</v>
      </c>
      <c r="H128" s="225" t="s">
        <v>469</v>
      </c>
      <c r="I128" s="225" t="s">
        <v>470</v>
      </c>
      <c r="J128" s="225" t="s">
        <v>471</v>
      </c>
      <c r="K128" s="225"/>
    </row>
    <row r="129">
      <c r="A129" s="229" t="s">
        <v>472</v>
      </c>
      <c r="B129" s="241" t="s">
        <v>511</v>
      </c>
      <c r="C129" s="229">
        <v>5</v>
      </c>
      <c r="D129" s="229">
        <v>5758.46</v>
      </c>
      <c r="E129" s="229">
        <v>10050</v>
      </c>
      <c r="F129" s="229">
        <v>6</v>
      </c>
      <c r="G129" s="230">
        <f t="shared" ref="G129:G132" si="73">E129/F129</f>
      </c>
      <c r="H129" s="230">
        <f t="shared" ref="H129:H132" si="43">D129/F129</f>
      </c>
      <c r="I129" s="230">
        <f t="shared" ref="I129:I132" si="13">E129/D129</f>
      </c>
      <c r="J129" s="230">
        <f t="shared" ref="J129:J132" si="103">D129/C129</f>
      </c>
      <c r="K129" s="230"/>
    </row>
    <row r="130">
      <c r="A130" s="229" t="s">
        <v>478</v>
      </c>
      <c r="B130" s="241" t="s">
        <v>512</v>
      </c>
      <c r="C130" s="229">
        <v>6</v>
      </c>
      <c r="D130" s="229">
        <v>17044.08</v>
      </c>
      <c r="E130" s="229">
        <v>18829.699999999997</v>
      </c>
      <c r="F130" s="229">
        <v>16</v>
      </c>
      <c r="G130" s="230">
        <f t="shared" si="73"/>
      </c>
      <c r="H130" s="230">
        <f t="shared" si="43"/>
      </c>
      <c r="I130" s="230">
        <f t="shared" si="13"/>
      </c>
      <c r="J130" s="230">
        <f t="shared" si="103"/>
      </c>
      <c r="K130" s="230"/>
    </row>
    <row r="131">
      <c r="A131" s="229" t="s">
        <v>474</v>
      </c>
      <c r="B131" s="241" t="s">
        <v>495</v>
      </c>
      <c r="C131" s="229">
        <v>5</v>
      </c>
      <c r="D131" s="229">
        <v>12352.32</v>
      </c>
      <c r="E131" s="229">
        <v>15101.399999999994</v>
      </c>
      <c r="F131" s="229">
        <v>10</v>
      </c>
      <c r="G131" s="230">
        <f t="shared" si="73"/>
      </c>
      <c r="H131" s="230">
        <f t="shared" si="43"/>
      </c>
      <c r="I131" s="230">
        <f t="shared" si="13"/>
      </c>
      <c r="J131" s="230">
        <f t="shared" si="103"/>
      </c>
      <c r="K131" s="230"/>
    </row>
    <row r="132">
      <c r="A132" s="225" t="s">
        <v>480</v>
      </c>
      <c r="B132" s="225"/>
      <c r="C132" s="225">
        <f>SUM(C129:C131)</f>
      </c>
      <c r="D132" s="225">
        <f>SUM(D129:D131)</f>
      </c>
      <c r="E132" s="225">
        <f>SUM(E129:E131)</f>
      </c>
      <c r="F132" s="225">
        <f>SUM(F129:F131)</f>
      </c>
      <c r="G132" s="231">
        <f t="shared" si="73"/>
      </c>
      <c r="H132" s="231">
        <f t="shared" si="43"/>
      </c>
      <c r="I132" s="231">
        <f t="shared" si="13"/>
      </c>
      <c r="J132" s="231">
        <f t="shared" si="103"/>
      </c>
      <c r="K132" s="231"/>
    </row>
    <row r="133">
      <c r="A133" s="232" t="s">
        <v>481</v>
      </c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</row>
    <row r="134">
      <c r="A134" s="233" t="s">
        <v>465</v>
      </c>
      <c r="B134" s="233" t="s">
        <v>482</v>
      </c>
      <c r="C134" s="233" t="s">
        <v>483</v>
      </c>
      <c r="D134" s="233" t="s">
        <v>484</v>
      </c>
      <c r="E134" s="233" t="s">
        <v>485</v>
      </c>
      <c r="F134" s="233" t="s">
        <v>486</v>
      </c>
      <c r="G134" s="233" t="s">
        <v>487</v>
      </c>
      <c r="H134" s="234" t="s">
        <v>488</v>
      </c>
      <c r="I134" s="234" t="s">
        <v>489</v>
      </c>
      <c r="J134" s="234" t="s">
        <v>490</v>
      </c>
      <c r="K134" s="234" t="s">
        <v>464</v>
      </c>
    </row>
    <row r="135">
      <c r="A135" s="235">
        <f>SUM(D129:D131)</f>
      </c>
      <c r="B135" s="235">
        <f>SUM(E129:E131)</f>
      </c>
      <c r="C135" s="236">
        <f>B135/((K135*300)+A135)</f>
      </c>
      <c r="D135" s="237">
        <f>A135/J135</f>
      </c>
      <c r="E135" s="236">
        <f>B135/J135</f>
      </c>
      <c r="F135" s="238">
        <f>J135/I135</f>
      </c>
      <c r="G135" s="238">
        <f>H135/J135</f>
      </c>
      <c r="H135" s="239">
        <v>4</v>
      </c>
      <c r="I135" s="239">
        <v>44</v>
      </c>
      <c r="J135" s="239">
        <f>F132</f>
      </c>
      <c r="K135" s="240">
        <f>C132</f>
      </c>
    </row>
    <row r="136">
      <c r="A136" s="224" t="s">
        <v>513</v>
      </c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</row>
    <row r="137">
      <c r="A137" s="225" t="s">
        <v>462</v>
      </c>
      <c r="B137" s="225" t="s">
        <v>463</v>
      </c>
      <c r="C137" s="225" t="s">
        <v>464</v>
      </c>
      <c r="D137" s="225" t="s">
        <v>465</v>
      </c>
      <c r="E137" s="226" t="s">
        <v>466</v>
      </c>
      <c r="F137" s="225" t="s">
        <v>467</v>
      </c>
      <c r="G137" s="225" t="s">
        <v>468</v>
      </c>
      <c r="H137" s="225" t="s">
        <v>469</v>
      </c>
      <c r="I137" s="225" t="s">
        <v>470</v>
      </c>
      <c r="J137" s="225" t="s">
        <v>471</v>
      </c>
      <c r="K137" s="225"/>
    </row>
    <row r="138">
      <c r="A138" s="229" t="s">
        <v>478</v>
      </c>
      <c r="B138" s="228" t="s">
        <v>473</v>
      </c>
      <c r="C138" s="227">
        <v>4</v>
      </c>
      <c r="D138" s="229">
        <v>7440.72</v>
      </c>
      <c r="E138" s="229">
        <v>16019.4</v>
      </c>
      <c r="F138" s="229">
        <v>8</v>
      </c>
      <c r="G138" s="230">
        <f t="shared" ref="G138:G142" si="74">E138/F138</f>
      </c>
      <c r="H138" s="230">
        <f t="shared" ref="H138:H142" si="44">D138/F138</f>
      </c>
      <c r="I138" s="230">
        <f t="shared" ref="I138:I142" si="14">E138/D138</f>
      </c>
      <c r="J138" s="230">
        <f t="shared" ref="J138:J142" si="104">D138/C138</f>
      </c>
      <c r="K138" s="230"/>
    </row>
    <row r="139">
      <c r="A139" s="229" t="s">
        <v>492</v>
      </c>
      <c r="B139" s="228" t="s">
        <v>475</v>
      </c>
      <c r="C139" s="229">
        <v>4</v>
      </c>
      <c r="D139" s="229">
        <v>12320.64</v>
      </c>
      <c r="E139" s="229">
        <v>10990.199999999999</v>
      </c>
      <c r="F139" s="229">
        <v>9</v>
      </c>
      <c r="G139" s="230">
        <f t="shared" si="74"/>
      </c>
      <c r="H139" s="230">
        <f t="shared" si="44"/>
      </c>
      <c r="I139" s="230">
        <f t="shared" si="14"/>
      </c>
      <c r="J139" s="230">
        <f t="shared" si="104"/>
      </c>
      <c r="K139" s="230"/>
    </row>
    <row r="140">
      <c r="A140" s="229" t="s">
        <v>472</v>
      </c>
      <c r="B140" s="228" t="s">
        <v>477</v>
      </c>
      <c r="C140" s="229">
        <v>4</v>
      </c>
      <c r="D140" s="229">
        <v>6698.200000000001</v>
      </c>
      <c r="E140" s="229">
        <v>16185.599999999999</v>
      </c>
      <c r="F140" s="229">
        <v>6</v>
      </c>
      <c r="G140" s="230">
        <f t="shared" si="74"/>
      </c>
      <c r="H140" s="230">
        <f t="shared" si="44"/>
      </c>
      <c r="I140" s="230">
        <f t="shared" si="14"/>
      </c>
      <c r="J140" s="230">
        <f t="shared" si="104"/>
      </c>
      <c r="K140" s="230"/>
    </row>
    <row r="141">
      <c r="A141" s="229" t="s">
        <v>474</v>
      </c>
      <c r="B141" s="228" t="s">
        <v>479</v>
      </c>
      <c r="C141" s="229">
        <v>4</v>
      </c>
      <c r="D141" s="229">
        <v>8376.780000000002</v>
      </c>
      <c r="E141" s="229">
        <v>18593</v>
      </c>
      <c r="F141" s="229">
        <v>9</v>
      </c>
      <c r="G141" s="230">
        <f t="shared" si="74"/>
      </c>
      <c r="H141" s="230">
        <f t="shared" si="44"/>
      </c>
      <c r="I141" s="230">
        <f t="shared" si="14"/>
      </c>
      <c r="J141" s="230">
        <f t="shared" si="104"/>
      </c>
      <c r="K141" s="230"/>
    </row>
    <row r="142">
      <c r="A142" s="225" t="s">
        <v>480</v>
      </c>
      <c r="B142" s="225"/>
      <c r="C142" s="225">
        <f>SUM(C138:C141)</f>
      </c>
      <c r="D142" s="225">
        <f>SUM(D138:D141)</f>
      </c>
      <c r="E142" s="225">
        <f>SUM(E138:E141)</f>
      </c>
      <c r="F142" s="225">
        <f>SUM(F138:F141)</f>
      </c>
      <c r="G142" s="231">
        <f t="shared" si="74"/>
      </c>
      <c r="H142" s="231">
        <f t="shared" si="44"/>
      </c>
      <c r="I142" s="231">
        <f t="shared" si="14"/>
      </c>
      <c r="J142" s="231">
        <f t="shared" si="104"/>
      </c>
      <c r="K142" s="231"/>
    </row>
    <row r="143">
      <c r="A143" s="232" t="s">
        <v>481</v>
      </c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</row>
    <row r="144">
      <c r="A144" s="233" t="s">
        <v>465</v>
      </c>
      <c r="B144" s="233" t="s">
        <v>482</v>
      </c>
      <c r="C144" s="233" t="s">
        <v>483</v>
      </c>
      <c r="D144" s="233" t="s">
        <v>484</v>
      </c>
      <c r="E144" s="233" t="s">
        <v>485</v>
      </c>
      <c r="F144" s="233" t="s">
        <v>486</v>
      </c>
      <c r="G144" s="233" t="s">
        <v>487</v>
      </c>
      <c r="H144" s="234" t="s">
        <v>488</v>
      </c>
      <c r="I144" s="234" t="s">
        <v>489</v>
      </c>
      <c r="J144" s="234" t="s">
        <v>490</v>
      </c>
      <c r="K144" s="234" t="s">
        <v>464</v>
      </c>
    </row>
    <row r="145">
      <c r="A145" s="235">
        <f>SUM(D138:D141)</f>
      </c>
      <c r="B145" s="235">
        <f>SUM(E138:E141)</f>
      </c>
      <c r="C145" s="236">
        <f>B145/((K145*300)+A145)</f>
      </c>
      <c r="D145" s="237">
        <f>A145/J145</f>
      </c>
      <c r="E145" s="236">
        <f>B145/J145</f>
      </c>
      <c r="F145" s="238">
        <f>J145/I145</f>
      </c>
      <c r="G145" s="238">
        <f>H145/J145</f>
      </c>
      <c r="H145" s="239">
        <v>3</v>
      </c>
      <c r="I145" s="239">
        <v>37</v>
      </c>
      <c r="J145" s="239">
        <f>F142</f>
      </c>
      <c r="K145" s="240">
        <f>C142</f>
      </c>
    </row>
    <row r="146">
      <c r="A146" s="224" t="s">
        <v>514</v>
      </c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</row>
    <row r="147">
      <c r="A147" s="225" t="s">
        <v>462</v>
      </c>
      <c r="B147" s="225" t="s">
        <v>463</v>
      </c>
      <c r="C147" s="225" t="s">
        <v>464</v>
      </c>
      <c r="D147" s="225" t="s">
        <v>465</v>
      </c>
      <c r="E147" s="226" t="s">
        <v>466</v>
      </c>
      <c r="F147" s="225" t="s">
        <v>467</v>
      </c>
      <c r="G147" s="225" t="s">
        <v>468</v>
      </c>
      <c r="H147" s="225" t="s">
        <v>469</v>
      </c>
      <c r="I147" s="225" t="s">
        <v>470</v>
      </c>
      <c r="J147" s="225" t="s">
        <v>471</v>
      </c>
      <c r="K147" s="225"/>
    </row>
    <row r="148">
      <c r="A148" s="229" t="s">
        <v>478</v>
      </c>
      <c r="B148" s="228" t="s">
        <v>473</v>
      </c>
      <c r="C148" s="227">
        <v>4</v>
      </c>
      <c r="D148" s="229">
        <v>4937.58</v>
      </c>
      <c r="E148" s="229">
        <v>14605.2</v>
      </c>
      <c r="F148" s="229">
        <v>5</v>
      </c>
      <c r="G148" s="230">
        <f t="shared" ref="G148:G152" si="75">E148/F148</f>
      </c>
      <c r="H148" s="230">
        <f t="shared" ref="H148:H152" si="45">D148/F148</f>
      </c>
      <c r="I148" s="230">
        <f t="shared" ref="I148:I152" si="15">E148/D148</f>
      </c>
      <c r="J148" s="230">
        <f t="shared" ref="J148:J152" si="105">D148/C148</f>
      </c>
      <c r="K148" s="230"/>
    </row>
    <row r="149">
      <c r="A149" s="229" t="s">
        <v>472</v>
      </c>
      <c r="B149" s="228" t="s">
        <v>475</v>
      </c>
      <c r="C149" s="229">
        <v>4</v>
      </c>
      <c r="D149" s="229">
        <v>6983.879999999999</v>
      </c>
      <c r="E149" s="229">
        <v>10084.2</v>
      </c>
      <c r="F149" s="229">
        <v>8</v>
      </c>
      <c r="G149" s="230">
        <f t="shared" si="75"/>
      </c>
      <c r="H149" s="230">
        <f t="shared" si="45"/>
      </c>
      <c r="I149" s="230">
        <f t="shared" si="15"/>
      </c>
      <c r="J149" s="230">
        <f t="shared" si="105"/>
      </c>
      <c r="K149" s="230"/>
    </row>
    <row r="150">
      <c r="A150" s="229" t="s">
        <v>474</v>
      </c>
      <c r="B150" s="228" t="s">
        <v>477</v>
      </c>
      <c r="C150" s="229">
        <v>4</v>
      </c>
      <c r="D150" s="229">
        <v>7902.639999999999</v>
      </c>
      <c r="E150" s="229">
        <v>12872.400000000001</v>
      </c>
      <c r="F150" s="229">
        <v>7</v>
      </c>
      <c r="G150" s="230">
        <f t="shared" si="75"/>
      </c>
      <c r="H150" s="230">
        <f t="shared" si="45"/>
      </c>
      <c r="I150" s="230">
        <f t="shared" si="15"/>
      </c>
      <c r="J150" s="230">
        <f t="shared" si="105"/>
      </c>
      <c r="K150" s="230"/>
    </row>
    <row r="151">
      <c r="A151" s="229" t="s">
        <v>476</v>
      </c>
      <c r="B151" s="228" t="s">
        <v>479</v>
      </c>
      <c r="C151" s="229">
        <v>4</v>
      </c>
      <c r="D151" s="229">
        <v>6064.319999999996</v>
      </c>
      <c r="E151" s="229">
        <v>14583.199999999997</v>
      </c>
      <c r="F151" s="229">
        <v>8</v>
      </c>
      <c r="G151" s="230">
        <f t="shared" si="75"/>
      </c>
      <c r="H151" s="230">
        <f t="shared" si="45"/>
      </c>
      <c r="I151" s="230">
        <f t="shared" si="15"/>
      </c>
      <c r="J151" s="230">
        <f t="shared" si="105"/>
      </c>
      <c r="K151" s="230"/>
    </row>
    <row r="152">
      <c r="A152" s="225" t="s">
        <v>480</v>
      </c>
      <c r="B152" s="225"/>
      <c r="C152" s="225">
        <f>SUM(C148:C151)</f>
      </c>
      <c r="D152" s="225">
        <f>SUM(D148:D151)</f>
      </c>
      <c r="E152" s="225">
        <f>SUM(E148:E151)</f>
      </c>
      <c r="F152" s="225">
        <f>SUM(F148:F151)</f>
      </c>
      <c r="G152" s="231">
        <f t="shared" si="75"/>
      </c>
      <c r="H152" s="231">
        <f t="shared" si="45"/>
      </c>
      <c r="I152" s="231">
        <f t="shared" si="15"/>
      </c>
      <c r="J152" s="231">
        <f t="shared" si="105"/>
      </c>
      <c r="K152" s="231"/>
    </row>
    <row r="153">
      <c r="A153" s="232" t="s">
        <v>481</v>
      </c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</row>
    <row r="154">
      <c r="A154" s="233" t="s">
        <v>465</v>
      </c>
      <c r="B154" s="233" t="s">
        <v>482</v>
      </c>
      <c r="C154" s="233" t="s">
        <v>483</v>
      </c>
      <c r="D154" s="233" t="s">
        <v>484</v>
      </c>
      <c r="E154" s="233" t="s">
        <v>485</v>
      </c>
      <c r="F154" s="233" t="s">
        <v>486</v>
      </c>
      <c r="G154" s="233" t="s">
        <v>487</v>
      </c>
      <c r="H154" s="234" t="s">
        <v>488</v>
      </c>
      <c r="I154" s="234" t="s">
        <v>489</v>
      </c>
      <c r="J154" s="234" t="s">
        <v>490</v>
      </c>
      <c r="K154" s="234" t="s">
        <v>464</v>
      </c>
    </row>
    <row r="155">
      <c r="A155" s="235">
        <f>SUM(D148:D151)</f>
      </c>
      <c r="B155" s="235">
        <f>SUM(E148:E151)</f>
      </c>
      <c r="C155" s="236">
        <f>B155/((K155*300)+A155)</f>
      </c>
      <c r="D155" s="237">
        <f>A155/J155</f>
      </c>
      <c r="E155" s="236">
        <f>B155/J155</f>
      </c>
      <c r="F155" s="238">
        <f>J155/I155</f>
      </c>
      <c r="G155" s="238">
        <f>H155/J155</f>
      </c>
      <c r="H155" s="239">
        <v>2</v>
      </c>
      <c r="I155" s="239">
        <v>36</v>
      </c>
      <c r="J155" s="239">
        <f>F152</f>
      </c>
      <c r="K155" s="240">
        <f>C152</f>
      </c>
    </row>
    <row r="156">
      <c r="A156" s="224" t="s">
        <v>515</v>
      </c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</row>
    <row r="157">
      <c r="A157" s="225" t="s">
        <v>462</v>
      </c>
      <c r="B157" s="225" t="s">
        <v>463</v>
      </c>
      <c r="C157" s="225" t="s">
        <v>464</v>
      </c>
      <c r="D157" s="225" t="s">
        <v>465</v>
      </c>
      <c r="E157" s="226" t="s">
        <v>466</v>
      </c>
      <c r="F157" s="225" t="s">
        <v>467</v>
      </c>
      <c r="G157" s="225" t="s">
        <v>468</v>
      </c>
      <c r="H157" s="225" t="s">
        <v>469</v>
      </c>
      <c r="I157" s="225" t="s">
        <v>470</v>
      </c>
      <c r="J157" s="225" t="s">
        <v>471</v>
      </c>
      <c r="K157" s="225"/>
    </row>
    <row r="158">
      <c r="A158" s="229" t="s">
        <v>474</v>
      </c>
      <c r="B158" s="228" t="s">
        <v>473</v>
      </c>
      <c r="C158" s="227">
        <v>4</v>
      </c>
      <c r="D158" s="229">
        <v>5502.98</v>
      </c>
      <c r="E158" s="229">
        <v>2056.8</v>
      </c>
      <c r="F158" s="229">
        <v>2</v>
      </c>
      <c r="G158" s="230">
        <f t="shared" ref="G158:G162" si="76">E158/F158</f>
      </c>
      <c r="H158" s="230">
        <f t="shared" ref="H158:H162" si="46">D158/F158</f>
      </c>
      <c r="I158" s="230">
        <f t="shared" ref="I158:I162" si="16">E158/D158</f>
      </c>
      <c r="J158" s="230">
        <f t="shared" ref="J158:J162" si="106">D158/C158</f>
      </c>
      <c r="K158" s="230"/>
    </row>
    <row r="159">
      <c r="A159" s="229" t="s">
        <v>478</v>
      </c>
      <c r="B159" s="228" t="s">
        <v>475</v>
      </c>
      <c r="C159" s="229">
        <v>4</v>
      </c>
      <c r="D159" s="229">
        <v>7526.350000000002</v>
      </c>
      <c r="E159" s="229">
        <v>11300.400000000001</v>
      </c>
      <c r="F159" s="229">
        <v>6</v>
      </c>
      <c r="G159" s="230">
        <f t="shared" si="76"/>
      </c>
      <c r="H159" s="230">
        <f t="shared" si="46"/>
      </c>
      <c r="I159" s="230">
        <f t="shared" si="16"/>
      </c>
      <c r="J159" s="230">
        <f t="shared" si="106"/>
      </c>
      <c r="K159" s="230"/>
    </row>
    <row r="160">
      <c r="A160" s="229" t="s">
        <v>472</v>
      </c>
      <c r="B160" s="228" t="s">
        <v>477</v>
      </c>
      <c r="C160" s="229">
        <v>4</v>
      </c>
      <c r="D160" s="229">
        <v>8521.449999999997</v>
      </c>
      <c r="E160" s="229">
        <v>14269.2</v>
      </c>
      <c r="F160" s="229">
        <v>8</v>
      </c>
      <c r="G160" s="230">
        <f t="shared" si="76"/>
      </c>
      <c r="H160" s="230">
        <f t="shared" si="46"/>
      </c>
      <c r="I160" s="230">
        <f t="shared" si="16"/>
      </c>
      <c r="J160" s="230">
        <f t="shared" si="106"/>
      </c>
      <c r="K160" s="230"/>
    </row>
    <row r="161">
      <c r="A161" s="229" t="s">
        <v>476</v>
      </c>
      <c r="B161" s="228" t="s">
        <v>479</v>
      </c>
      <c r="C161" s="229">
        <v>4</v>
      </c>
      <c r="D161" s="229">
        <v>7151.080000000002</v>
      </c>
      <c r="E161" s="229">
        <v>23917.999999999993</v>
      </c>
      <c r="F161" s="229">
        <v>11</v>
      </c>
      <c r="G161" s="230">
        <f t="shared" si="76"/>
      </c>
      <c r="H161" s="230">
        <f t="shared" si="46"/>
      </c>
      <c r="I161" s="230">
        <f t="shared" si="16"/>
      </c>
      <c r="J161" s="230">
        <f t="shared" si="106"/>
      </c>
      <c r="K161" s="230"/>
    </row>
    <row r="162">
      <c r="A162" s="225" t="s">
        <v>480</v>
      </c>
      <c r="B162" s="225"/>
      <c r="C162" s="225">
        <f>SUM(C158:C161)</f>
      </c>
      <c r="D162" s="225">
        <f>SUM(D158:D161)</f>
      </c>
      <c r="E162" s="225">
        <f>SUM(E158:E161)</f>
      </c>
      <c r="F162" s="225">
        <f>SUM(F158:F161)</f>
      </c>
      <c r="G162" s="231">
        <f t="shared" si="76"/>
      </c>
      <c r="H162" s="231">
        <f t="shared" si="46"/>
      </c>
      <c r="I162" s="231">
        <f t="shared" si="16"/>
      </c>
      <c r="J162" s="231">
        <f t="shared" si="106"/>
      </c>
      <c r="K162" s="231"/>
    </row>
    <row r="163">
      <c r="A163" s="232" t="s">
        <v>481</v>
      </c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</row>
    <row r="164">
      <c r="A164" s="233" t="s">
        <v>465</v>
      </c>
      <c r="B164" s="233" t="s">
        <v>482</v>
      </c>
      <c r="C164" s="233" t="s">
        <v>483</v>
      </c>
      <c r="D164" s="233" t="s">
        <v>484</v>
      </c>
      <c r="E164" s="233" t="s">
        <v>485</v>
      </c>
      <c r="F164" s="233" t="s">
        <v>486</v>
      </c>
      <c r="G164" s="233" t="s">
        <v>487</v>
      </c>
      <c r="H164" s="234" t="s">
        <v>488</v>
      </c>
      <c r="I164" s="234" t="s">
        <v>489</v>
      </c>
      <c r="J164" s="234" t="s">
        <v>490</v>
      </c>
      <c r="K164" s="234" t="s">
        <v>464</v>
      </c>
    </row>
    <row r="165">
      <c r="A165" s="235">
        <f>SUM(D158:D161)</f>
      </c>
      <c r="B165" s="235">
        <f>SUM(E158:E161)</f>
      </c>
      <c r="C165" s="236">
        <f>B165/((K165*300)+A165)</f>
      </c>
      <c r="D165" s="237">
        <f>A165/J165</f>
      </c>
      <c r="E165" s="236">
        <f>B165/J165</f>
      </c>
      <c r="F165" s="238">
        <f>J165/I165</f>
      </c>
      <c r="G165" s="238">
        <f>H165/J165</f>
      </c>
      <c r="H165" s="239">
        <v>6</v>
      </c>
      <c r="I165" s="239">
        <v>46</v>
      </c>
      <c r="J165" s="239">
        <v>27</v>
      </c>
      <c r="K165" s="240">
        <f>C162</f>
      </c>
    </row>
    <row r="166">
      <c r="A166" s="224" t="s">
        <v>516</v>
      </c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</row>
    <row r="167">
      <c r="A167" s="225" t="s">
        <v>462</v>
      </c>
      <c r="B167" s="225" t="s">
        <v>463</v>
      </c>
      <c r="C167" s="225" t="s">
        <v>464</v>
      </c>
      <c r="D167" s="225" t="s">
        <v>465</v>
      </c>
      <c r="E167" s="226" t="s">
        <v>466</v>
      </c>
      <c r="F167" s="225" t="s">
        <v>467</v>
      </c>
      <c r="G167" s="225" t="s">
        <v>468</v>
      </c>
      <c r="H167" s="225" t="s">
        <v>469</v>
      </c>
      <c r="I167" s="225" t="s">
        <v>470</v>
      </c>
      <c r="J167" s="225" t="s">
        <v>471</v>
      </c>
      <c r="K167" s="225"/>
    </row>
    <row r="168">
      <c r="A168" s="229" t="s">
        <v>472</v>
      </c>
      <c r="B168" s="228" t="s">
        <v>473</v>
      </c>
      <c r="C168" s="227">
        <v>4</v>
      </c>
      <c r="D168" s="229">
        <v>8772.18</v>
      </c>
      <c r="E168" s="229">
        <v>18178.4</v>
      </c>
      <c r="F168" s="229">
        <v>11</v>
      </c>
      <c r="G168" s="230">
        <f t="shared" ref="G168:G172" si="77">E168/F168</f>
      </c>
      <c r="H168" s="230">
        <f t="shared" ref="H168:H172" si="47">D168/F168</f>
      </c>
      <c r="I168" s="230">
        <f t="shared" ref="I168:I172" si="17">E168/D168</f>
      </c>
      <c r="J168" s="230">
        <f t="shared" ref="J168:J172" si="107">D168/C168</f>
      </c>
      <c r="K168" s="230"/>
    </row>
    <row r="169">
      <c r="A169" s="229" t="s">
        <v>478</v>
      </c>
      <c r="B169" s="228" t="s">
        <v>475</v>
      </c>
      <c r="C169" s="229">
        <v>4</v>
      </c>
      <c r="D169" s="229">
        <v>5870.48</v>
      </c>
      <c r="E169" s="229">
        <v>4537.5999999999985</v>
      </c>
      <c r="F169" s="229">
        <v>3</v>
      </c>
      <c r="G169" s="230">
        <f t="shared" si="77"/>
      </c>
      <c r="H169" s="230">
        <f t="shared" si="47"/>
      </c>
      <c r="I169" s="230">
        <f t="shared" si="17"/>
      </c>
      <c r="J169" s="230">
        <f t="shared" si="107"/>
      </c>
      <c r="K169" s="230"/>
    </row>
    <row r="170">
      <c r="A170" s="229" t="s">
        <v>474</v>
      </c>
      <c r="B170" s="228" t="s">
        <v>477</v>
      </c>
      <c r="C170" s="229">
        <v>4</v>
      </c>
      <c r="D170" s="229">
        <v>4519.299999999999</v>
      </c>
      <c r="E170" s="229">
        <v>9165.199999999997</v>
      </c>
      <c r="F170" s="229">
        <v>8</v>
      </c>
      <c r="G170" s="230">
        <f t="shared" si="77"/>
      </c>
      <c r="H170" s="230">
        <f t="shared" si="47"/>
      </c>
      <c r="I170" s="230">
        <f t="shared" si="17"/>
      </c>
      <c r="J170" s="230">
        <f t="shared" si="107"/>
      </c>
      <c r="K170" s="230"/>
    </row>
    <row r="171">
      <c r="A171" s="229" t="s">
        <v>476</v>
      </c>
      <c r="B171" s="228" t="s">
        <v>479</v>
      </c>
      <c r="C171" s="229">
        <v>4</v>
      </c>
      <c r="D171" s="229">
        <v>6518.309999999998</v>
      </c>
      <c r="E171" s="229">
        <v>23453.40000000001</v>
      </c>
      <c r="F171" s="229">
        <v>13</v>
      </c>
      <c r="G171" s="230">
        <f t="shared" si="77"/>
      </c>
      <c r="H171" s="230">
        <f t="shared" si="47"/>
      </c>
      <c r="I171" s="230">
        <f t="shared" si="17"/>
      </c>
      <c r="J171" s="230">
        <f t="shared" si="107"/>
      </c>
      <c r="K171" s="230"/>
    </row>
    <row r="172">
      <c r="A172" s="225" t="s">
        <v>480</v>
      </c>
      <c r="B172" s="225"/>
      <c r="C172" s="225">
        <f>SUM(C168:C171)</f>
      </c>
      <c r="D172" s="225">
        <f>SUM(D168:D171)</f>
      </c>
      <c r="E172" s="225">
        <f>SUM(E168:E171)</f>
      </c>
      <c r="F172" s="225">
        <f>SUM(F168:F171)</f>
      </c>
      <c r="G172" s="231">
        <f t="shared" si="77"/>
      </c>
      <c r="H172" s="231">
        <f t="shared" si="47"/>
      </c>
      <c r="I172" s="231">
        <f t="shared" si="17"/>
      </c>
      <c r="J172" s="231">
        <f t="shared" si="107"/>
      </c>
      <c r="K172" s="231"/>
    </row>
    <row r="173">
      <c r="A173" s="232" t="s">
        <v>481</v>
      </c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</row>
    <row r="174">
      <c r="A174" s="233" t="s">
        <v>465</v>
      </c>
      <c r="B174" s="233" t="s">
        <v>482</v>
      </c>
      <c r="C174" s="233" t="s">
        <v>483</v>
      </c>
      <c r="D174" s="233" t="s">
        <v>484</v>
      </c>
      <c r="E174" s="233" t="s">
        <v>485</v>
      </c>
      <c r="F174" s="233" t="s">
        <v>486</v>
      </c>
      <c r="G174" s="233" t="s">
        <v>487</v>
      </c>
      <c r="H174" s="234" t="s">
        <v>488</v>
      </c>
      <c r="I174" s="234" t="s">
        <v>489</v>
      </c>
      <c r="J174" s="234" t="s">
        <v>490</v>
      </c>
      <c r="K174" s="234" t="s">
        <v>464</v>
      </c>
    </row>
    <row r="175">
      <c r="A175" s="235">
        <f>SUM(D168:D171)</f>
      </c>
      <c r="B175" s="235">
        <f>SUM(E168:E171)</f>
      </c>
      <c r="C175" s="236">
        <f>B175/((K175*300)+A175)</f>
      </c>
      <c r="D175" s="237">
        <f>A175/J175</f>
      </c>
      <c r="E175" s="236">
        <f>B175/J175</f>
      </c>
      <c r="F175" s="238">
        <f>J175/I175</f>
      </c>
      <c r="G175" s="238">
        <f>H175/J175</f>
      </c>
      <c r="H175" s="239">
        <v>5</v>
      </c>
      <c r="I175" s="239">
        <v>54</v>
      </c>
      <c r="J175" s="239">
        <v>35</v>
      </c>
      <c r="K175" s="240">
        <f>C172</f>
      </c>
    </row>
    <row r="176">
      <c r="A176" s="224" t="s">
        <v>517</v>
      </c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</row>
    <row r="177">
      <c r="A177" s="225" t="s">
        <v>462</v>
      </c>
      <c r="B177" s="225" t="s">
        <v>463</v>
      </c>
      <c r="C177" s="225" t="s">
        <v>464</v>
      </c>
      <c r="D177" s="225" t="s">
        <v>465</v>
      </c>
      <c r="E177" s="226" t="s">
        <v>466</v>
      </c>
      <c r="F177" s="225" t="s">
        <v>467</v>
      </c>
      <c r="G177" s="225" t="s">
        <v>468</v>
      </c>
      <c r="H177" s="225" t="s">
        <v>469</v>
      </c>
      <c r="I177" s="225" t="s">
        <v>470</v>
      </c>
      <c r="J177" s="225" t="s">
        <v>471</v>
      </c>
      <c r="K177" s="225"/>
    </row>
    <row r="178">
      <c r="A178" s="229" t="s">
        <v>478</v>
      </c>
      <c r="B178" s="228" t="s">
        <v>473</v>
      </c>
      <c r="C178" s="227">
        <v>4</v>
      </c>
      <c r="D178" s="229">
        <v>5820.62</v>
      </c>
      <c r="E178" s="229">
        <v>879.6</v>
      </c>
      <c r="F178" s="229">
        <v>1</v>
      </c>
      <c r="G178" s="230">
        <f t="shared" ref="G178:G182" si="78">E178/F178</f>
      </c>
      <c r="H178" s="230">
        <f t="shared" ref="H178:H182" si="48">D178/F178</f>
      </c>
      <c r="I178" s="230">
        <f t="shared" ref="I178:I182" si="18">E178/D178</f>
      </c>
      <c r="J178" s="230">
        <f t="shared" ref="J178:J182" si="108">D178/C178</f>
      </c>
      <c r="K178" s="230"/>
    </row>
    <row r="179">
      <c r="A179" s="229" t="s">
        <v>472</v>
      </c>
      <c r="B179" s="228" t="s">
        <v>475</v>
      </c>
      <c r="C179" s="229">
        <v>4</v>
      </c>
      <c r="D179" s="229">
        <v>4485.92</v>
      </c>
      <c r="E179" s="229">
        <v>4770</v>
      </c>
      <c r="F179" s="229">
        <v>2</v>
      </c>
      <c r="G179" s="230">
        <f t="shared" si="78"/>
      </c>
      <c r="H179" s="230">
        <f t="shared" si="48"/>
      </c>
      <c r="I179" s="230">
        <f t="shared" si="18"/>
      </c>
      <c r="J179" s="230">
        <f t="shared" si="108"/>
      </c>
      <c r="K179" s="230"/>
    </row>
    <row r="180">
      <c r="A180" s="229" t="s">
        <v>476</v>
      </c>
      <c r="B180" s="228" t="s">
        <v>477</v>
      </c>
      <c r="C180" s="229">
        <v>4</v>
      </c>
      <c r="D180" s="229">
        <v>4365.1799999999985</v>
      </c>
      <c r="E180" s="229">
        <v>0</v>
      </c>
      <c r="F180" s="229">
        <v>0</v>
      </c>
      <c r="G180" s="230">
        <f t="shared" si="78"/>
      </c>
      <c r="H180" s="230">
        <f t="shared" si="48"/>
      </c>
      <c r="I180" s="230">
        <f t="shared" si="18"/>
      </c>
      <c r="J180" s="230">
        <f t="shared" si="108"/>
      </c>
      <c r="K180" s="230"/>
    </row>
    <row r="181">
      <c r="A181" s="229" t="s">
        <v>474</v>
      </c>
      <c r="B181" s="228" t="s">
        <v>479</v>
      </c>
      <c r="C181" s="229">
        <v>4</v>
      </c>
      <c r="D181" s="229">
        <v>6400.699999999999</v>
      </c>
      <c r="E181" s="229">
        <v>10963.199999999999</v>
      </c>
      <c r="F181" s="229">
        <v>8</v>
      </c>
      <c r="G181" s="230">
        <f t="shared" si="78"/>
      </c>
      <c r="H181" s="230">
        <f t="shared" si="48"/>
      </c>
      <c r="I181" s="230">
        <f t="shared" si="18"/>
      </c>
      <c r="J181" s="230">
        <f t="shared" si="108"/>
      </c>
      <c r="K181" s="230"/>
    </row>
    <row r="182">
      <c r="A182" s="225" t="s">
        <v>480</v>
      </c>
      <c r="B182" s="225"/>
      <c r="C182" s="225">
        <f>SUM(C178:C181)</f>
      </c>
      <c r="D182" s="225">
        <f>SUM(D178:D181)</f>
      </c>
      <c r="E182" s="225">
        <f>SUM(E178:E181)</f>
      </c>
      <c r="F182" s="225">
        <f>SUM(F178:F181)</f>
      </c>
      <c r="G182" s="231">
        <f t="shared" si="78"/>
      </c>
      <c r="H182" s="231">
        <f t="shared" si="48"/>
      </c>
      <c r="I182" s="231">
        <f t="shared" si="18"/>
      </c>
      <c r="J182" s="231">
        <f t="shared" si="108"/>
      </c>
      <c r="K182" s="231"/>
    </row>
    <row r="183">
      <c r="A183" s="232" t="s">
        <v>481</v>
      </c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</row>
    <row r="184">
      <c r="A184" s="233" t="s">
        <v>465</v>
      </c>
      <c r="B184" s="233" t="s">
        <v>482</v>
      </c>
      <c r="C184" s="233" t="s">
        <v>483</v>
      </c>
      <c r="D184" s="233" t="s">
        <v>484</v>
      </c>
      <c r="E184" s="233" t="s">
        <v>485</v>
      </c>
      <c r="F184" s="233" t="s">
        <v>486</v>
      </c>
      <c r="G184" s="233" t="s">
        <v>487</v>
      </c>
      <c r="H184" s="234" t="s">
        <v>488</v>
      </c>
      <c r="I184" s="234" t="s">
        <v>489</v>
      </c>
      <c r="J184" s="234" t="s">
        <v>490</v>
      </c>
      <c r="K184" s="234" t="s">
        <v>464</v>
      </c>
    </row>
    <row r="185">
      <c r="A185" s="235">
        <f>SUM(D178:D181)</f>
      </c>
      <c r="B185" s="235">
        <f>SUM(E178:E181)</f>
      </c>
      <c r="C185" s="236">
        <f>B185/((K185*300)+A185)</f>
      </c>
      <c r="D185" s="237">
        <f>A185/J185</f>
      </c>
      <c r="E185" s="236">
        <f>B185/J185</f>
      </c>
      <c r="F185" s="238">
        <f>J185/I185</f>
      </c>
      <c r="G185" s="238">
        <f>H185/J185</f>
      </c>
      <c r="H185" s="239">
        <v>0</v>
      </c>
      <c r="I185" s="239">
        <v>26</v>
      </c>
      <c r="J185" s="239">
        <f>F182</f>
      </c>
      <c r="K185" s="240">
        <f>C182</f>
      </c>
    </row>
    <row r="186">
      <c r="A186" s="224" t="s">
        <v>518</v>
      </c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</row>
    <row r="187">
      <c r="A187" s="225" t="s">
        <v>462</v>
      </c>
      <c r="B187" s="225" t="s">
        <v>463</v>
      </c>
      <c r="C187" s="225" t="s">
        <v>464</v>
      </c>
      <c r="D187" s="225" t="s">
        <v>465</v>
      </c>
      <c r="E187" s="226" t="s">
        <v>466</v>
      </c>
      <c r="F187" s="225" t="s">
        <v>467</v>
      </c>
      <c r="G187" s="225" t="s">
        <v>468</v>
      </c>
      <c r="H187" s="225" t="s">
        <v>469</v>
      </c>
      <c r="I187" s="225" t="s">
        <v>470</v>
      </c>
      <c r="J187" s="225" t="s">
        <v>471</v>
      </c>
      <c r="K187" s="225"/>
    </row>
    <row r="188">
      <c r="A188" s="229" t="s">
        <v>476</v>
      </c>
      <c r="B188" s="228" t="s">
        <v>473</v>
      </c>
      <c r="C188" s="227">
        <v>4</v>
      </c>
      <c r="D188" s="229">
        <v>7057.22</v>
      </c>
      <c r="E188" s="229">
        <v>5422.8</v>
      </c>
      <c r="F188" s="229">
        <v>3</v>
      </c>
      <c r="G188" s="230">
        <f t="shared" ref="G188:G192" si="79">E188/F188</f>
      </c>
      <c r="H188" s="230">
        <f t="shared" ref="H188:H192" si="49">D188/F188</f>
      </c>
      <c r="I188" s="230">
        <f t="shared" ref="I188:I192" si="19">E188/D188</f>
      </c>
      <c r="J188" s="230">
        <f t="shared" ref="J188:J192" si="109">D188/C188</f>
      </c>
      <c r="K188" s="230"/>
    </row>
    <row r="189">
      <c r="A189" s="229" t="s">
        <v>472</v>
      </c>
      <c r="B189" s="228" t="s">
        <v>475</v>
      </c>
      <c r="C189" s="229">
        <v>4</v>
      </c>
      <c r="D189" s="229">
        <v>6020.289999999999</v>
      </c>
      <c r="E189" s="229">
        <v>8968.399999999998</v>
      </c>
      <c r="F189" s="229">
        <v>5</v>
      </c>
      <c r="G189" s="230">
        <f t="shared" si="79"/>
      </c>
      <c r="H189" s="230">
        <f t="shared" si="49"/>
      </c>
      <c r="I189" s="230">
        <f t="shared" si="19"/>
      </c>
      <c r="J189" s="230">
        <f t="shared" si="109"/>
      </c>
      <c r="K189" s="230"/>
    </row>
    <row r="190">
      <c r="A190" s="229" t="s">
        <v>478</v>
      </c>
      <c r="B190" s="228" t="s">
        <v>477</v>
      </c>
      <c r="C190" s="229">
        <v>4</v>
      </c>
      <c r="D190" s="229">
        <v>5392.540000000001</v>
      </c>
      <c r="E190" s="229">
        <v>25526.399999999994</v>
      </c>
      <c r="F190" s="229">
        <v>7</v>
      </c>
      <c r="G190" s="230">
        <f t="shared" si="79"/>
      </c>
      <c r="H190" s="230">
        <f t="shared" si="49"/>
      </c>
      <c r="I190" s="230">
        <f t="shared" si="19"/>
      </c>
      <c r="J190" s="230">
        <f t="shared" si="109"/>
      </c>
      <c r="K190" s="230"/>
    </row>
    <row r="191">
      <c r="A191" s="229" t="s">
        <v>474</v>
      </c>
      <c r="B191" s="228" t="s">
        <v>479</v>
      </c>
      <c r="C191" s="229">
        <v>4</v>
      </c>
      <c r="D191" s="229">
        <v>10775.060000000001</v>
      </c>
      <c r="E191" s="229">
        <v>19180.800000000003</v>
      </c>
      <c r="F191" s="229">
        <v>8</v>
      </c>
      <c r="G191" s="230">
        <f t="shared" si="79"/>
      </c>
      <c r="H191" s="230">
        <f t="shared" si="49"/>
      </c>
      <c r="I191" s="230">
        <f t="shared" si="19"/>
      </c>
      <c r="J191" s="230">
        <f t="shared" si="109"/>
      </c>
      <c r="K191" s="230"/>
    </row>
    <row r="192">
      <c r="A192" s="225" t="s">
        <v>480</v>
      </c>
      <c r="B192" s="225"/>
      <c r="C192" s="225">
        <f>SUM(C188:C191)</f>
      </c>
      <c r="D192" s="225">
        <f>SUM(D188:D191)</f>
      </c>
      <c r="E192" s="225">
        <f>SUM(E188:E191)</f>
      </c>
      <c r="F192" s="225">
        <f>SUM(F188:F191)</f>
      </c>
      <c r="G192" s="231">
        <f t="shared" si="79"/>
      </c>
      <c r="H192" s="231">
        <f t="shared" si="49"/>
      </c>
      <c r="I192" s="231">
        <f t="shared" si="19"/>
      </c>
      <c r="J192" s="231">
        <f t="shared" si="109"/>
      </c>
      <c r="K192" s="231"/>
    </row>
    <row r="193">
      <c r="A193" s="232" t="s">
        <v>481</v>
      </c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</row>
    <row r="194">
      <c r="A194" s="233" t="s">
        <v>465</v>
      </c>
      <c r="B194" s="233" t="s">
        <v>482</v>
      </c>
      <c r="C194" s="233" t="s">
        <v>483</v>
      </c>
      <c r="D194" s="233" t="s">
        <v>484</v>
      </c>
      <c r="E194" s="233" t="s">
        <v>485</v>
      </c>
      <c r="F194" s="233" t="s">
        <v>486</v>
      </c>
      <c r="G194" s="233" t="s">
        <v>487</v>
      </c>
      <c r="H194" s="234" t="s">
        <v>488</v>
      </c>
      <c r="I194" s="234" t="s">
        <v>489</v>
      </c>
      <c r="J194" s="234" t="s">
        <v>490</v>
      </c>
      <c r="K194" s="234" t="s">
        <v>464</v>
      </c>
    </row>
    <row r="195">
      <c r="A195" s="235">
        <f>SUM(D188:D191)</f>
      </c>
      <c r="B195" s="235">
        <f>SUM(E188:E191)</f>
      </c>
      <c r="C195" s="236">
        <f>B195/((K195*300)+A195)</f>
      </c>
      <c r="D195" s="237">
        <f>A195/J195</f>
      </c>
      <c r="E195" s="236">
        <f>B195/J195</f>
      </c>
      <c r="F195" s="238">
        <f>J195/I195</f>
      </c>
      <c r="G195" s="238">
        <f>H195/J195</f>
      </c>
      <c r="H195" s="239">
        <v>0</v>
      </c>
      <c r="I195" s="239">
        <v>41</v>
      </c>
      <c r="J195" s="239">
        <f>F192</f>
      </c>
      <c r="K195" s="240">
        <f>C192</f>
      </c>
    </row>
    <row r="196">
      <c r="A196" s="224" t="s">
        <v>519</v>
      </c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</row>
    <row r="197">
      <c r="A197" s="225" t="s">
        <v>462</v>
      </c>
      <c r="B197" s="225" t="s">
        <v>463</v>
      </c>
      <c r="C197" s="225" t="s">
        <v>464</v>
      </c>
      <c r="D197" s="225" t="s">
        <v>465</v>
      </c>
      <c r="E197" s="226" t="s">
        <v>466</v>
      </c>
      <c r="F197" s="225" t="s">
        <v>467</v>
      </c>
      <c r="G197" s="225" t="s">
        <v>468</v>
      </c>
      <c r="H197" s="225" t="s">
        <v>469</v>
      </c>
      <c r="I197" s="225" t="s">
        <v>470</v>
      </c>
      <c r="J197" s="225" t="s">
        <v>471</v>
      </c>
      <c r="K197" s="225"/>
    </row>
    <row r="198">
      <c r="A198" s="229" t="s">
        <v>472</v>
      </c>
      <c r="B198" s="228" t="s">
        <v>473</v>
      </c>
      <c r="C198" s="227">
        <v>4</v>
      </c>
      <c r="D198" s="229">
        <v>10242.96</v>
      </c>
      <c r="E198" s="229">
        <v>16715.2</v>
      </c>
      <c r="F198" s="229">
        <v>10</v>
      </c>
      <c r="G198" s="230">
        <f t="shared" ref="G198:G202" si="80">E198/F198</f>
      </c>
      <c r="H198" s="230">
        <f t="shared" ref="H198:H202" si="50">D198/F198</f>
      </c>
      <c r="I198" s="230">
        <f t="shared" ref="I198:I202" si="20">E198/D198</f>
      </c>
      <c r="J198" s="230">
        <f t="shared" ref="J198:J202" si="110">D198/C198</f>
      </c>
      <c r="K198" s="230"/>
    </row>
    <row r="199">
      <c r="A199" s="229" t="s">
        <v>478</v>
      </c>
      <c r="B199" s="228" t="s">
        <v>475</v>
      </c>
      <c r="C199" s="229">
        <v>4</v>
      </c>
      <c r="D199" s="229">
        <v>11357.2</v>
      </c>
      <c r="E199" s="229">
        <v>8675.999999999996</v>
      </c>
      <c r="F199" s="229">
        <v>7</v>
      </c>
      <c r="G199" s="230">
        <f t="shared" si="80"/>
      </c>
      <c r="H199" s="230">
        <f t="shared" si="50"/>
      </c>
      <c r="I199" s="230">
        <f t="shared" si="20"/>
      </c>
      <c r="J199" s="230">
        <f t="shared" si="110"/>
      </c>
      <c r="K199" s="230"/>
    </row>
    <row r="200">
      <c r="A200" s="229" t="s">
        <v>476</v>
      </c>
      <c r="B200" s="228" t="s">
        <v>477</v>
      </c>
      <c r="C200" s="229">
        <v>4</v>
      </c>
      <c r="D200" s="229">
        <v>7363.0300000000025</v>
      </c>
      <c r="E200" s="229">
        <v>5784</v>
      </c>
      <c r="F200" s="229">
        <v>3</v>
      </c>
      <c r="G200" s="230">
        <f t="shared" si="80"/>
      </c>
      <c r="H200" s="230">
        <f t="shared" si="50"/>
      </c>
      <c r="I200" s="230">
        <f t="shared" si="20"/>
      </c>
      <c r="J200" s="230">
        <f t="shared" si="110"/>
      </c>
      <c r="K200" s="230"/>
    </row>
    <row r="201">
      <c r="A201" s="229" t="s">
        <v>474</v>
      </c>
      <c r="B201" s="228" t="s">
        <v>479</v>
      </c>
      <c r="C201" s="229">
        <v>4</v>
      </c>
      <c r="D201" s="229">
        <v>9957.669999999998</v>
      </c>
      <c r="E201" s="229">
        <v>23782.399999999994</v>
      </c>
      <c r="F201" s="229">
        <v>14</v>
      </c>
      <c r="G201" s="230">
        <f t="shared" si="80"/>
      </c>
      <c r="H201" s="230">
        <f t="shared" si="50"/>
      </c>
      <c r="I201" s="230">
        <f t="shared" si="20"/>
      </c>
      <c r="J201" s="230">
        <f t="shared" si="110"/>
      </c>
      <c r="K201" s="230"/>
    </row>
    <row r="202">
      <c r="A202" s="225" t="s">
        <v>480</v>
      </c>
      <c r="B202" s="225"/>
      <c r="C202" s="225">
        <f>SUM(C198:C201)</f>
      </c>
      <c r="D202" s="225">
        <f>SUM(D198:D201)</f>
      </c>
      <c r="E202" s="225">
        <f>SUM(E198:E201)</f>
      </c>
      <c r="F202" s="225">
        <f>SUM(F198:F201)</f>
      </c>
      <c r="G202" s="231">
        <f t="shared" si="80"/>
      </c>
      <c r="H202" s="231">
        <f t="shared" si="50"/>
      </c>
      <c r="I202" s="231">
        <f t="shared" si="20"/>
      </c>
      <c r="J202" s="231">
        <f t="shared" si="110"/>
      </c>
      <c r="K202" s="231"/>
    </row>
    <row r="203">
      <c r="A203" s="232" t="s">
        <v>481</v>
      </c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</row>
    <row r="204">
      <c r="A204" s="233" t="s">
        <v>465</v>
      </c>
      <c r="B204" s="233" t="s">
        <v>482</v>
      </c>
      <c r="C204" s="233" t="s">
        <v>483</v>
      </c>
      <c r="D204" s="233" t="s">
        <v>484</v>
      </c>
      <c r="E204" s="233" t="s">
        <v>485</v>
      </c>
      <c r="F204" s="233" t="s">
        <v>486</v>
      </c>
      <c r="G204" s="233" t="s">
        <v>487</v>
      </c>
      <c r="H204" s="234" t="s">
        <v>488</v>
      </c>
      <c r="I204" s="234" t="s">
        <v>489</v>
      </c>
      <c r="J204" s="234" t="s">
        <v>490</v>
      </c>
      <c r="K204" s="234" t="s">
        <v>464</v>
      </c>
    </row>
    <row r="205">
      <c r="A205" s="235">
        <f>SUM(D198:D201)</f>
      </c>
      <c r="B205" s="235">
        <f>SUM(E198:E201)</f>
      </c>
      <c r="C205" s="236">
        <f>B205/((K205*300)+A205)</f>
      </c>
      <c r="D205" s="237">
        <f>A205/J205</f>
      </c>
      <c r="E205" s="236">
        <f>B205/J205</f>
      </c>
      <c r="F205" s="238">
        <f>J205/I205</f>
      </c>
      <c r="G205" s="238">
        <f>H205/J205</f>
      </c>
      <c r="H205" s="239">
        <v>0</v>
      </c>
      <c r="I205" s="239">
        <v>56</v>
      </c>
      <c r="J205" s="239">
        <f>F202</f>
      </c>
      <c r="K205" s="240">
        <f>C202</f>
      </c>
    </row>
    <row r="206">
      <c r="A206" s="224" t="s">
        <v>520</v>
      </c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</row>
    <row r="207">
      <c r="A207" s="225" t="s">
        <v>462</v>
      </c>
      <c r="B207" s="225" t="s">
        <v>463</v>
      </c>
      <c r="C207" s="225" t="s">
        <v>464</v>
      </c>
      <c r="D207" s="225" t="s">
        <v>465</v>
      </c>
      <c r="E207" s="226" t="s">
        <v>466</v>
      </c>
      <c r="F207" s="225" t="s">
        <v>467</v>
      </c>
      <c r="G207" s="225" t="s">
        <v>468</v>
      </c>
      <c r="H207" s="225" t="s">
        <v>469</v>
      </c>
      <c r="I207" s="225" t="s">
        <v>470</v>
      </c>
      <c r="J207" s="225" t="s">
        <v>471</v>
      </c>
      <c r="K207" s="225"/>
    </row>
    <row r="208">
      <c r="A208" s="229" t="s">
        <v>472</v>
      </c>
      <c r="B208" s="228" t="s">
        <v>473</v>
      </c>
      <c r="C208" s="227">
        <v>4</v>
      </c>
      <c r="D208" s="229">
        <v>7523.14</v>
      </c>
      <c r="E208" s="229">
        <v>11453.4</v>
      </c>
      <c r="F208" s="229">
        <v>8</v>
      </c>
      <c r="G208" s="230">
        <f t="shared" ref="G208:G212" si="81">E208/F208</f>
      </c>
      <c r="H208" s="230">
        <f t="shared" ref="H208:H212" si="51">D208/F208</f>
      </c>
      <c r="I208" s="230">
        <f t="shared" ref="I208:I212" si="21">E208/D208</f>
      </c>
      <c r="J208" s="230">
        <f t="shared" ref="J208:J212" si="111">D208/C208</f>
      </c>
      <c r="K208" s="230"/>
    </row>
    <row r="209">
      <c r="A209" s="229" t="s">
        <v>474</v>
      </c>
      <c r="B209" s="228" t="s">
        <v>475</v>
      </c>
      <c r="C209" s="229">
        <v>4</v>
      </c>
      <c r="D209" s="229">
        <v>10842.129999999997</v>
      </c>
      <c r="E209" s="229">
        <v>7813.000000000002</v>
      </c>
      <c r="F209" s="229">
        <v>7</v>
      </c>
      <c r="G209" s="230">
        <f t="shared" si="81"/>
      </c>
      <c r="H209" s="230">
        <f t="shared" si="51"/>
      </c>
      <c r="I209" s="230">
        <f t="shared" si="21"/>
      </c>
      <c r="J209" s="230">
        <f t="shared" si="111"/>
      </c>
      <c r="K209" s="230"/>
    </row>
    <row r="210">
      <c r="A210" s="229" t="s">
        <v>476</v>
      </c>
      <c r="B210" s="228" t="s">
        <v>477</v>
      </c>
      <c r="C210" s="229">
        <v>4</v>
      </c>
      <c r="D210" s="229">
        <v>9772.54</v>
      </c>
      <c r="E210" s="229">
        <v>18339.6</v>
      </c>
      <c r="F210" s="229">
        <v>9</v>
      </c>
      <c r="G210" s="230">
        <f t="shared" si="81"/>
      </c>
      <c r="H210" s="230">
        <f t="shared" si="51"/>
      </c>
      <c r="I210" s="230">
        <f t="shared" si="21"/>
      </c>
      <c r="J210" s="230">
        <f t="shared" si="111"/>
      </c>
      <c r="K210" s="230"/>
    </row>
    <row r="211">
      <c r="A211" s="229" t="s">
        <v>478</v>
      </c>
      <c r="B211" s="228" t="s">
        <v>479</v>
      </c>
      <c r="C211" s="229">
        <v>4</v>
      </c>
      <c r="D211" s="229">
        <v>10747.649999999994</v>
      </c>
      <c r="E211" s="229">
        <v>27942.79999999999</v>
      </c>
      <c r="F211" s="229">
        <v>16</v>
      </c>
      <c r="G211" s="230">
        <f t="shared" si="81"/>
      </c>
      <c r="H211" s="230">
        <f t="shared" si="51"/>
      </c>
      <c r="I211" s="230">
        <f t="shared" si="21"/>
      </c>
      <c r="J211" s="230">
        <f t="shared" si="111"/>
      </c>
      <c r="K211" s="230"/>
    </row>
    <row r="212">
      <c r="A212" s="225" t="s">
        <v>480</v>
      </c>
      <c r="B212" s="225"/>
      <c r="C212" s="225">
        <f>SUM(C208:C211)</f>
      </c>
      <c r="D212" s="225">
        <f>SUM(D208:D211)</f>
      </c>
      <c r="E212" s="225">
        <f>SUM(E208:E211)</f>
      </c>
      <c r="F212" s="225">
        <f>SUM(F208:F211)</f>
      </c>
      <c r="G212" s="231">
        <f t="shared" si="81"/>
      </c>
      <c r="H212" s="231">
        <f t="shared" si="51"/>
      </c>
      <c r="I212" s="231">
        <f t="shared" si="21"/>
      </c>
      <c r="J212" s="231">
        <f t="shared" si="111"/>
      </c>
      <c r="K212" s="231"/>
    </row>
    <row r="213">
      <c r="A213" s="232" t="s">
        <v>481</v>
      </c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</row>
    <row r="214">
      <c r="A214" s="233" t="s">
        <v>465</v>
      </c>
      <c r="B214" s="233" t="s">
        <v>482</v>
      </c>
      <c r="C214" s="233" t="s">
        <v>483</v>
      </c>
      <c r="D214" s="233" t="s">
        <v>484</v>
      </c>
      <c r="E214" s="233" t="s">
        <v>485</v>
      </c>
      <c r="F214" s="233" t="s">
        <v>486</v>
      </c>
      <c r="G214" s="233" t="s">
        <v>487</v>
      </c>
      <c r="H214" s="234" t="s">
        <v>488</v>
      </c>
      <c r="I214" s="234" t="s">
        <v>489</v>
      </c>
      <c r="J214" s="234" t="s">
        <v>490</v>
      </c>
      <c r="K214" s="234" t="s">
        <v>464</v>
      </c>
    </row>
    <row r="215">
      <c r="A215" s="235">
        <f>SUM(D208:D211)</f>
      </c>
      <c r="B215" s="235">
        <f>SUM(E208:E211)</f>
      </c>
      <c r="C215" s="236">
        <f>B215/((K215*300)+A215)</f>
      </c>
      <c r="D215" s="237">
        <f>A215/J215</f>
      </c>
      <c r="E215" s="236">
        <f>B215/J215</f>
      </c>
      <c r="F215" s="238">
        <f>J215/I215</f>
      </c>
      <c r="G215" s="238">
        <f>H215/J215</f>
      </c>
      <c r="H215" s="239">
        <v>6</v>
      </c>
      <c r="I215" s="239">
        <v>59</v>
      </c>
      <c r="J215" s="239">
        <f>F212</f>
      </c>
      <c r="K215" s="240">
        <f>C212</f>
      </c>
    </row>
    <row r="216">
      <c r="A216" s="224" t="s">
        <v>521</v>
      </c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</row>
    <row r="217">
      <c r="A217" s="225" t="s">
        <v>462</v>
      </c>
      <c r="B217" s="225" t="s">
        <v>463</v>
      </c>
      <c r="C217" s="225" t="s">
        <v>464</v>
      </c>
      <c r="D217" s="225" t="s">
        <v>465</v>
      </c>
      <c r="E217" s="226" t="s">
        <v>466</v>
      </c>
      <c r="F217" s="225" t="s">
        <v>467</v>
      </c>
      <c r="G217" s="225" t="s">
        <v>468</v>
      </c>
      <c r="H217" s="225" t="s">
        <v>469</v>
      </c>
      <c r="I217" s="225" t="s">
        <v>470</v>
      </c>
      <c r="J217" s="225" t="s">
        <v>471</v>
      </c>
      <c r="K217" s="225"/>
    </row>
    <row r="218">
      <c r="A218" s="229" t="s">
        <v>472</v>
      </c>
      <c r="B218" s="228" t="s">
        <v>473</v>
      </c>
      <c r="C218" s="227">
        <v>4</v>
      </c>
      <c r="D218" s="229">
        <v>5640.66</v>
      </c>
      <c r="E218" s="229">
        <v>9298.8</v>
      </c>
      <c r="F218" s="229">
        <v>5</v>
      </c>
      <c r="G218" s="230">
        <f t="shared" ref="G218:G222" si="82">E218/F218</f>
      </c>
      <c r="H218" s="230">
        <f t="shared" ref="H218:H222" si="52">D218/F218</f>
      </c>
      <c r="I218" s="230">
        <f t="shared" ref="I218:I222" si="22">E218/D218</f>
      </c>
      <c r="J218" s="230">
        <f t="shared" ref="J218:J222" si="112">D218/C218</f>
      </c>
      <c r="K218" s="230"/>
    </row>
    <row r="219">
      <c r="A219" s="229" t="s">
        <v>478</v>
      </c>
      <c r="B219" s="228" t="s">
        <v>475</v>
      </c>
      <c r="C219" s="229">
        <v>4</v>
      </c>
      <c r="D219" s="229">
        <v>10259.140000000001</v>
      </c>
      <c r="E219" s="229">
        <v>15721.599999999999</v>
      </c>
      <c r="F219" s="229">
        <v>9</v>
      </c>
      <c r="G219" s="230">
        <f t="shared" si="82"/>
      </c>
      <c r="H219" s="230">
        <f t="shared" si="52"/>
      </c>
      <c r="I219" s="230">
        <f t="shared" si="22"/>
      </c>
      <c r="J219" s="230">
        <f t="shared" si="112"/>
      </c>
      <c r="K219" s="230"/>
    </row>
    <row r="220">
      <c r="A220" s="229" t="s">
        <v>474</v>
      </c>
      <c r="B220" s="228" t="s">
        <v>477</v>
      </c>
      <c r="C220" s="229">
        <v>4</v>
      </c>
      <c r="D220" s="229">
        <v>9717.140000000001</v>
      </c>
      <c r="E220" s="229">
        <v>9809.999999999996</v>
      </c>
      <c r="F220" s="229">
        <v>8</v>
      </c>
      <c r="G220" s="230">
        <f t="shared" si="82"/>
      </c>
      <c r="H220" s="230">
        <f t="shared" si="52"/>
      </c>
      <c r="I220" s="230">
        <f t="shared" si="22"/>
      </c>
      <c r="J220" s="230">
        <f t="shared" si="112"/>
      </c>
      <c r="K220" s="230"/>
    </row>
    <row r="221">
      <c r="A221" s="229" t="s">
        <v>476</v>
      </c>
      <c r="B221" s="228" t="s">
        <v>479</v>
      </c>
      <c r="C221" s="229">
        <v>4</v>
      </c>
      <c r="D221" s="229">
        <v>12187.869999999995</v>
      </c>
      <c r="E221" s="229">
        <v>18358.80000000001</v>
      </c>
      <c r="F221" s="229">
        <v>14</v>
      </c>
      <c r="G221" s="230">
        <f t="shared" si="82"/>
      </c>
      <c r="H221" s="230">
        <f t="shared" si="52"/>
      </c>
      <c r="I221" s="230">
        <f t="shared" si="22"/>
      </c>
      <c r="J221" s="230">
        <f t="shared" si="112"/>
      </c>
      <c r="K221" s="230"/>
    </row>
    <row r="222">
      <c r="A222" s="225" t="s">
        <v>480</v>
      </c>
      <c r="B222" s="225"/>
      <c r="C222" s="225">
        <f>SUM(C218:C221)</f>
      </c>
      <c r="D222" s="225">
        <f>SUM(D218:D221)</f>
      </c>
      <c r="E222" s="225">
        <f>SUM(E218:E221)</f>
      </c>
      <c r="F222" s="225">
        <f>SUM(F218:F221)</f>
      </c>
      <c r="G222" s="231">
        <f t="shared" si="82"/>
      </c>
      <c r="H222" s="231">
        <f t="shared" si="52"/>
      </c>
      <c r="I222" s="231">
        <f t="shared" si="22"/>
      </c>
      <c r="J222" s="231">
        <f t="shared" si="112"/>
      </c>
      <c r="K222" s="231"/>
    </row>
    <row r="223">
      <c r="A223" s="232" t="s">
        <v>481</v>
      </c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</row>
    <row r="224">
      <c r="A224" s="233" t="s">
        <v>465</v>
      </c>
      <c r="B224" s="233" t="s">
        <v>482</v>
      </c>
      <c r="C224" s="233" t="s">
        <v>483</v>
      </c>
      <c r="D224" s="233" t="s">
        <v>484</v>
      </c>
      <c r="E224" s="233" t="s">
        <v>485</v>
      </c>
      <c r="F224" s="233" t="s">
        <v>486</v>
      </c>
      <c r="G224" s="233" t="s">
        <v>487</v>
      </c>
      <c r="H224" s="234" t="s">
        <v>488</v>
      </c>
      <c r="I224" s="234" t="s">
        <v>489</v>
      </c>
      <c r="J224" s="234" t="s">
        <v>490</v>
      </c>
      <c r="K224" s="234" t="s">
        <v>464</v>
      </c>
    </row>
    <row r="225">
      <c r="A225" s="235">
        <f>SUM(D218:D221)</f>
      </c>
      <c r="B225" s="235">
        <f>SUM(E218:E221)</f>
      </c>
      <c r="C225" s="236">
        <f>B225/((K225*300)+A225)</f>
      </c>
      <c r="D225" s="237">
        <f>A225/J225</f>
      </c>
      <c r="E225" s="236">
        <f>B225/J225</f>
      </c>
      <c r="F225" s="238">
        <f>J225/I225</f>
      </c>
      <c r="G225" s="238">
        <f>H225/J225</f>
      </c>
      <c r="H225" s="239">
        <v>2</v>
      </c>
      <c r="I225" s="239">
        <v>51</v>
      </c>
      <c r="J225" s="239">
        <f>F222</f>
      </c>
      <c r="K225" s="240">
        <f>C222</f>
      </c>
    </row>
    <row r="226">
      <c r="A226" s="224" t="s">
        <v>522</v>
      </c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</row>
    <row r="227">
      <c r="A227" s="225" t="s">
        <v>462</v>
      </c>
      <c r="B227" s="225" t="s">
        <v>463</v>
      </c>
      <c r="C227" s="225" t="s">
        <v>464</v>
      </c>
      <c r="D227" s="225" t="s">
        <v>465</v>
      </c>
      <c r="E227" s="226" t="s">
        <v>466</v>
      </c>
      <c r="F227" s="225" t="s">
        <v>467</v>
      </c>
      <c r="G227" s="225" t="s">
        <v>468</v>
      </c>
      <c r="H227" s="225" t="s">
        <v>469</v>
      </c>
      <c r="I227" s="225" t="s">
        <v>470</v>
      </c>
      <c r="J227" s="225" t="s">
        <v>471</v>
      </c>
      <c r="K227" s="225"/>
    </row>
    <row r="228">
      <c r="A228" s="229" t="s">
        <v>478</v>
      </c>
      <c r="B228" s="228" t="s">
        <v>473</v>
      </c>
      <c r="C228" s="227">
        <v>4</v>
      </c>
      <c r="D228" s="229">
        <v>11846.900000000001</v>
      </c>
      <c r="E228" s="229">
        <v>17239.6</v>
      </c>
      <c r="F228" s="229">
        <v>12</v>
      </c>
      <c r="G228" s="230">
        <f t="shared" ref="G228:G232" si="83">E228/F228</f>
      </c>
      <c r="H228" s="230">
        <f t="shared" ref="H228:H232" si="53">D228/F228</f>
      </c>
      <c r="I228" s="230">
        <f t="shared" ref="I228:I232" si="23">E228/D228</f>
      </c>
      <c r="J228" s="230">
        <f t="shared" ref="J228:J232" si="113">D228/C228</f>
      </c>
      <c r="K228" s="230"/>
    </row>
    <row r="229">
      <c r="A229" s="229" t="s">
        <v>472</v>
      </c>
      <c r="B229" s="228" t="s">
        <v>475</v>
      </c>
      <c r="C229" s="229">
        <v>4</v>
      </c>
      <c r="D229" s="229">
        <v>11891.029999999999</v>
      </c>
      <c r="E229" s="229">
        <v>6500.400000000005</v>
      </c>
      <c r="F229" s="229">
        <v>4</v>
      </c>
      <c r="G229" s="230">
        <f t="shared" si="83"/>
      </c>
      <c r="H229" s="230">
        <f t="shared" si="53"/>
      </c>
      <c r="I229" s="230">
        <f t="shared" si="23"/>
      </c>
      <c r="J229" s="230">
        <f t="shared" si="113"/>
      </c>
      <c r="K229" s="230"/>
    </row>
    <row r="230">
      <c r="A230" s="229" t="s">
        <v>476</v>
      </c>
      <c r="B230" s="228" t="s">
        <v>477</v>
      </c>
      <c r="C230" s="229">
        <v>4</v>
      </c>
      <c r="D230" s="229">
        <v>7556.530000000006</v>
      </c>
      <c r="E230" s="229">
        <v>8238.599999999999</v>
      </c>
      <c r="F230" s="229">
        <v>3</v>
      </c>
      <c r="G230" s="230">
        <f t="shared" si="83"/>
      </c>
      <c r="H230" s="230">
        <f t="shared" si="53"/>
      </c>
      <c r="I230" s="230">
        <f t="shared" si="23"/>
      </c>
      <c r="J230" s="230">
        <f t="shared" si="113"/>
      </c>
      <c r="K230" s="230"/>
    </row>
    <row r="231">
      <c r="A231" s="229" t="s">
        <v>474</v>
      </c>
      <c r="B231" s="228" t="s">
        <v>479</v>
      </c>
      <c r="C231" s="229">
        <v>4</v>
      </c>
      <c r="D231" s="229">
        <v>10410.160000000003</v>
      </c>
      <c r="E231" s="229">
        <v>26239.000000000004</v>
      </c>
      <c r="F231" s="229">
        <v>13</v>
      </c>
      <c r="G231" s="230">
        <f t="shared" si="83"/>
      </c>
      <c r="H231" s="230">
        <f t="shared" si="53"/>
      </c>
      <c r="I231" s="230">
        <f t="shared" si="23"/>
      </c>
      <c r="J231" s="230">
        <f t="shared" si="113"/>
      </c>
      <c r="K231" s="230"/>
    </row>
    <row r="232">
      <c r="A232" s="225" t="s">
        <v>480</v>
      </c>
      <c r="B232" s="225"/>
      <c r="C232" s="225">
        <f>SUM(C228:C231)</f>
      </c>
      <c r="D232" s="225">
        <f>SUM(D228:D231)</f>
      </c>
      <c r="E232" s="225">
        <f>SUM(E228:E231)</f>
      </c>
      <c r="F232" s="225">
        <f>SUM(F228:F231)</f>
      </c>
      <c r="G232" s="231">
        <f t="shared" si="83"/>
      </c>
      <c r="H232" s="231">
        <f t="shared" si="53"/>
      </c>
      <c r="I232" s="231">
        <f t="shared" si="23"/>
      </c>
      <c r="J232" s="231">
        <f t="shared" si="113"/>
      </c>
      <c r="K232" s="231"/>
    </row>
    <row r="233">
      <c r="A233" s="232" t="s">
        <v>481</v>
      </c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</row>
    <row r="234">
      <c r="A234" s="233" t="s">
        <v>465</v>
      </c>
      <c r="B234" s="233" t="s">
        <v>482</v>
      </c>
      <c r="C234" s="233" t="s">
        <v>483</v>
      </c>
      <c r="D234" s="233" t="s">
        <v>484</v>
      </c>
      <c r="E234" s="233" t="s">
        <v>485</v>
      </c>
      <c r="F234" s="233" t="s">
        <v>486</v>
      </c>
      <c r="G234" s="233" t="s">
        <v>487</v>
      </c>
      <c r="H234" s="234" t="s">
        <v>488</v>
      </c>
      <c r="I234" s="234" t="s">
        <v>489</v>
      </c>
      <c r="J234" s="234" t="s">
        <v>490</v>
      </c>
      <c r="K234" s="234" t="s">
        <v>464</v>
      </c>
    </row>
    <row r="235">
      <c r="A235" s="235">
        <f>SUM(D228:D231)</f>
      </c>
      <c r="B235" s="235">
        <f>SUM(E228:E231)</f>
      </c>
      <c r="C235" s="236">
        <f>B235/((K235*300)+A235)</f>
      </c>
      <c r="D235" s="237">
        <f>A235/J235</f>
      </c>
      <c r="E235" s="236">
        <f>B235/J235</f>
      </c>
      <c r="F235" s="238">
        <f>J235/I235</f>
      </c>
      <c r="G235" s="238">
        <f>H235/J235</f>
      </c>
      <c r="H235" s="239">
        <v>2</v>
      </c>
      <c r="I235" s="239">
        <v>47</v>
      </c>
      <c r="J235" s="239">
        <f>F232</f>
      </c>
      <c r="K235" s="240">
        <f>C232</f>
      </c>
    </row>
    <row r="236">
      <c r="A236" s="224" t="s">
        <v>523</v>
      </c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</row>
    <row r="237">
      <c r="A237" s="225" t="s">
        <v>462</v>
      </c>
      <c r="B237" s="225" t="s">
        <v>463</v>
      </c>
      <c r="C237" s="225" t="s">
        <v>464</v>
      </c>
      <c r="D237" s="225" t="s">
        <v>465</v>
      </c>
      <c r="E237" s="226" t="s">
        <v>466</v>
      </c>
      <c r="F237" s="225" t="s">
        <v>467</v>
      </c>
      <c r="G237" s="225" t="s">
        <v>468</v>
      </c>
      <c r="H237" s="225" t="s">
        <v>469</v>
      </c>
      <c r="I237" s="225" t="s">
        <v>470</v>
      </c>
      <c r="J237" s="225" t="s">
        <v>471</v>
      </c>
      <c r="K237" s="225"/>
    </row>
    <row r="238">
      <c r="A238" s="229" t="s">
        <v>478</v>
      </c>
      <c r="B238" s="228" t="s">
        <v>473</v>
      </c>
      <c r="C238" s="227">
        <v>4</v>
      </c>
      <c r="D238" s="229">
        <v>11203.050000000001</v>
      </c>
      <c r="E238" s="229">
        <v>28585</v>
      </c>
      <c r="F238" s="229">
        <v>14</v>
      </c>
      <c r="G238" s="230">
        <f t="shared" ref="G238:G242" si="84">E238/F238</f>
      </c>
      <c r="H238" s="230">
        <f t="shared" ref="H238:H242" si="54">D238/F238</f>
      </c>
      <c r="I238" s="230">
        <f t="shared" ref="I238:I242" si="24">E238/D238</f>
      </c>
      <c r="J238" s="230">
        <f t="shared" ref="J238:J242" si="114">D238/C238</f>
      </c>
      <c r="K238" s="230"/>
    </row>
    <row r="239">
      <c r="A239" s="229" t="s">
        <v>472</v>
      </c>
      <c r="B239" s="228" t="s">
        <v>475</v>
      </c>
      <c r="C239" s="227">
        <v>4</v>
      </c>
      <c r="D239" s="229">
        <v>15176.570000000002</v>
      </c>
      <c r="E239" s="229">
        <v>35838.799999999996</v>
      </c>
      <c r="F239" s="229">
        <v>14</v>
      </c>
      <c r="G239" s="230">
        <f t="shared" si="84"/>
      </c>
      <c r="H239" s="230">
        <f t="shared" si="54"/>
      </c>
      <c r="I239" s="230">
        <f t="shared" si="24"/>
      </c>
      <c r="J239" s="230">
        <f t="shared" si="114"/>
      </c>
      <c r="K239" s="230"/>
    </row>
    <row r="240">
      <c r="A240" s="229" t="s">
        <v>474</v>
      </c>
      <c r="B240" s="228" t="s">
        <v>477</v>
      </c>
      <c r="C240" s="227">
        <v>4</v>
      </c>
      <c r="D240" s="229">
        <v>16547.389999999992</v>
      </c>
      <c r="E240" s="229">
        <v>31155.4</v>
      </c>
      <c r="F240" s="229">
        <v>19</v>
      </c>
      <c r="G240" s="230">
        <f t="shared" si="84"/>
      </c>
      <c r="H240" s="230">
        <f t="shared" si="54"/>
      </c>
      <c r="I240" s="230">
        <f t="shared" si="24"/>
      </c>
      <c r="J240" s="230">
        <f t="shared" si="114"/>
      </c>
      <c r="K240" s="230"/>
    </row>
    <row r="241">
      <c r="A241" s="229" t="s">
        <v>476</v>
      </c>
      <c r="B241" s="228" t="s">
        <v>479</v>
      </c>
      <c r="C241" s="227">
        <v>4</v>
      </c>
      <c r="D241" s="229">
        <v>19874.050000000003</v>
      </c>
      <c r="E241" s="229">
        <v>57215.60000000002</v>
      </c>
      <c r="F241" s="229">
        <v>28</v>
      </c>
      <c r="G241" s="230">
        <f t="shared" si="84"/>
      </c>
      <c r="H241" s="230">
        <f t="shared" si="54"/>
      </c>
      <c r="I241" s="230">
        <f t="shared" si="24"/>
      </c>
      <c r="J241" s="230">
        <f t="shared" si="114"/>
      </c>
      <c r="K241" s="230"/>
    </row>
    <row r="242">
      <c r="A242" s="225" t="s">
        <v>480</v>
      </c>
      <c r="B242" s="225"/>
      <c r="C242" s="225">
        <f>SUM(C238:C241)</f>
      </c>
      <c r="D242" s="225">
        <f>SUM(D238:D241)</f>
      </c>
      <c r="E242" s="225">
        <f>SUM(E238:E241)</f>
      </c>
      <c r="F242" s="225">
        <f>SUM(F238:F241)</f>
      </c>
      <c r="G242" s="231">
        <f t="shared" si="84"/>
      </c>
      <c r="H242" s="231">
        <f t="shared" si="54"/>
      </c>
      <c r="I242" s="231">
        <f t="shared" si="24"/>
      </c>
      <c r="J242" s="231">
        <f t="shared" si="114"/>
      </c>
      <c r="K242" s="231"/>
    </row>
    <row r="243">
      <c r="A243" s="232" t="s">
        <v>481</v>
      </c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</row>
    <row r="244">
      <c r="A244" s="233" t="s">
        <v>465</v>
      </c>
      <c r="B244" s="233" t="s">
        <v>482</v>
      </c>
      <c r="C244" s="233" t="s">
        <v>483</v>
      </c>
      <c r="D244" s="233" t="s">
        <v>484</v>
      </c>
      <c r="E244" s="233" t="s">
        <v>485</v>
      </c>
      <c r="F244" s="233" t="s">
        <v>486</v>
      </c>
      <c r="G244" s="233" t="s">
        <v>487</v>
      </c>
      <c r="H244" s="234" t="s">
        <v>488</v>
      </c>
      <c r="I244" s="234" t="s">
        <v>489</v>
      </c>
      <c r="J244" s="234" t="s">
        <v>490</v>
      </c>
      <c r="K244" s="234" t="s">
        <v>464</v>
      </c>
    </row>
    <row r="245">
      <c r="A245" s="235">
        <f>SUM(D238:D241)</f>
      </c>
      <c r="B245" s="235">
        <f>SUM(E238:E241)</f>
      </c>
      <c r="C245" s="236">
        <f>B245/((K245*300)+A245)</f>
      </c>
      <c r="D245" s="237">
        <f>A245/J245</f>
      </c>
      <c r="E245" s="236">
        <f>B245/J245</f>
      </c>
      <c r="F245" s="238">
        <f>J245/I245</f>
      </c>
      <c r="G245" s="238">
        <f>H245/J245</f>
      </c>
      <c r="H245" s="239">
        <v>15</v>
      </c>
      <c r="I245" s="239">
        <v>110</v>
      </c>
      <c r="J245" s="239">
        <v>77</v>
      </c>
      <c r="K245" s="240">
        <f>C242</f>
      </c>
    </row>
    <row r="246">
      <c r="A246" s="224" t="s">
        <v>524</v>
      </c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</row>
    <row r="247">
      <c r="A247" s="225" t="s">
        <v>462</v>
      </c>
      <c r="B247" s="225" t="s">
        <v>463</v>
      </c>
      <c r="C247" s="225" t="s">
        <v>464</v>
      </c>
      <c r="D247" s="225" t="s">
        <v>465</v>
      </c>
      <c r="E247" s="226" t="s">
        <v>466</v>
      </c>
      <c r="F247" s="225" t="s">
        <v>467</v>
      </c>
      <c r="G247" s="225" t="s">
        <v>468</v>
      </c>
      <c r="H247" s="225" t="s">
        <v>469</v>
      </c>
      <c r="I247" s="225" t="s">
        <v>470</v>
      </c>
      <c r="J247" s="225" t="s">
        <v>471</v>
      </c>
      <c r="K247" s="225"/>
    </row>
    <row r="248">
      <c r="A248" s="229" t="s">
        <v>472</v>
      </c>
      <c r="B248" s="241" t="s">
        <v>511</v>
      </c>
      <c r="C248" s="229">
        <v>5</v>
      </c>
      <c r="D248" s="229">
        <v>18502.940000000002</v>
      </c>
      <c r="E248" s="229">
        <v>25203</v>
      </c>
      <c r="F248" s="229">
        <v>13</v>
      </c>
      <c r="G248" s="230">
        <f t="shared" ref="G248:G252" si="85">E248/F248</f>
      </c>
      <c r="H248" s="230">
        <f t="shared" ref="H248:H252" si="55">D248/F248</f>
      </c>
      <c r="I248" s="230">
        <f t="shared" ref="I248:I252" si="25">E248/D248</f>
      </c>
      <c r="J248" s="230">
        <f t="shared" ref="J248:J252" si="115">D248/C248</f>
      </c>
      <c r="K248" s="230"/>
    </row>
    <row r="249">
      <c r="A249" s="229" t="s">
        <v>474</v>
      </c>
      <c r="B249" s="241" t="s">
        <v>525</v>
      </c>
      <c r="C249" s="229">
        <v>3</v>
      </c>
      <c r="D249" s="229">
        <v>10651.709999999995</v>
      </c>
      <c r="E249" s="229">
        <v>8304</v>
      </c>
      <c r="F249" s="229">
        <v>4</v>
      </c>
      <c r="G249" s="230">
        <f t="shared" si="85"/>
      </c>
      <c r="H249" s="230">
        <f t="shared" si="55"/>
      </c>
      <c r="I249" s="230">
        <f t="shared" si="25"/>
      </c>
      <c r="J249" s="230">
        <f t="shared" si="115"/>
      </c>
      <c r="K249" s="230"/>
    </row>
    <row r="250">
      <c r="A250" s="229" t="s">
        <v>476</v>
      </c>
      <c r="B250" s="228" t="s">
        <v>477</v>
      </c>
      <c r="C250" s="229">
        <v>4</v>
      </c>
      <c r="D250" s="229">
        <v>8948.100000000002</v>
      </c>
      <c r="E250" s="229">
        <v>18561</v>
      </c>
      <c r="F250" s="229">
        <v>14</v>
      </c>
      <c r="G250" s="230">
        <f t="shared" si="85"/>
      </c>
      <c r="H250" s="230">
        <f t="shared" si="55"/>
      </c>
      <c r="I250" s="230">
        <f t="shared" si="25"/>
      </c>
      <c r="J250" s="230">
        <f t="shared" si="115"/>
      </c>
      <c r="K250" s="230"/>
    </row>
    <row r="251">
      <c r="A251" s="229" t="s">
        <v>478</v>
      </c>
      <c r="B251" s="228" t="s">
        <v>479</v>
      </c>
      <c r="C251" s="229">
        <v>4</v>
      </c>
      <c r="D251" s="229">
        <v>11743.980000000003</v>
      </c>
      <c r="E251" s="229">
        <v>30412.399999999994</v>
      </c>
      <c r="F251" s="229">
        <v>17</v>
      </c>
      <c r="G251" s="230">
        <f t="shared" si="85"/>
      </c>
      <c r="H251" s="230">
        <f t="shared" si="55"/>
      </c>
      <c r="I251" s="230">
        <f t="shared" si="25"/>
      </c>
      <c r="J251" s="230">
        <f t="shared" si="115"/>
      </c>
      <c r="K251" s="230"/>
    </row>
    <row r="252">
      <c r="A252" s="225" t="s">
        <v>480</v>
      </c>
      <c r="B252" s="225"/>
      <c r="C252" s="225">
        <f>SUM(C248:C251)</f>
      </c>
      <c r="D252" s="225">
        <f>SUM(D248:D251)</f>
      </c>
      <c r="E252" s="225">
        <f>SUM(E248:E251)</f>
      </c>
      <c r="F252" s="225">
        <f>SUM(F248:F251)</f>
      </c>
      <c r="G252" s="231">
        <f t="shared" si="85"/>
      </c>
      <c r="H252" s="231">
        <f t="shared" si="55"/>
      </c>
      <c r="I252" s="231">
        <f t="shared" si="25"/>
      </c>
      <c r="J252" s="231">
        <f t="shared" si="115"/>
      </c>
      <c r="K252" s="231"/>
    </row>
    <row r="253">
      <c r="A253" s="232" t="s">
        <v>481</v>
      </c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</row>
    <row r="254">
      <c r="A254" s="233" t="s">
        <v>465</v>
      </c>
      <c r="B254" s="233" t="s">
        <v>482</v>
      </c>
      <c r="C254" s="233" t="s">
        <v>483</v>
      </c>
      <c r="D254" s="233" t="s">
        <v>484</v>
      </c>
      <c r="E254" s="233" t="s">
        <v>485</v>
      </c>
      <c r="F254" s="233" t="s">
        <v>486</v>
      </c>
      <c r="G254" s="233" t="s">
        <v>487</v>
      </c>
      <c r="H254" s="234" t="s">
        <v>488</v>
      </c>
      <c r="I254" s="234" t="s">
        <v>489</v>
      </c>
      <c r="J254" s="234" t="s">
        <v>490</v>
      </c>
      <c r="K254" s="234" t="s">
        <v>464</v>
      </c>
    </row>
    <row r="255">
      <c r="A255" s="235">
        <f>SUM(D248:D251)</f>
      </c>
      <c r="B255" s="235">
        <f>SUM(E248:E251)</f>
      </c>
      <c r="C255" s="236">
        <f>B255/((K255*300)+A255)</f>
      </c>
      <c r="D255" s="237">
        <f>A255/J255</f>
      </c>
      <c r="E255" s="236">
        <f>B255/J255</f>
      </c>
      <c r="F255" s="238">
        <f>J255/I255</f>
      </c>
      <c r="G255" s="238">
        <f>H255/J255</f>
      </c>
      <c r="H255" s="239">
        <v>8</v>
      </c>
      <c r="I255" s="239">
        <v>68</v>
      </c>
      <c r="J255" s="239">
        <f>F252</f>
      </c>
      <c r="K255" s="240">
        <f>C252</f>
      </c>
    </row>
    <row r="256">
      <c r="A256" s="224" t="s">
        <v>526</v>
      </c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</row>
    <row r="257">
      <c r="A257" s="225" t="s">
        <v>462</v>
      </c>
      <c r="B257" s="225" t="s">
        <v>463</v>
      </c>
      <c r="C257" s="225" t="s">
        <v>464</v>
      </c>
      <c r="D257" s="225" t="s">
        <v>465</v>
      </c>
      <c r="E257" s="226" t="s">
        <v>466</v>
      </c>
      <c r="F257" s="225" t="s">
        <v>467</v>
      </c>
      <c r="G257" s="225" t="s">
        <v>468</v>
      </c>
      <c r="H257" s="225" t="s">
        <v>469</v>
      </c>
      <c r="I257" s="225" t="s">
        <v>470</v>
      </c>
      <c r="J257" s="225" t="s">
        <v>471</v>
      </c>
      <c r="K257" s="225"/>
    </row>
    <row r="258">
      <c r="A258" s="229" t="s">
        <v>472</v>
      </c>
      <c r="B258" s="241" t="s">
        <v>473</v>
      </c>
      <c r="C258" s="229">
        <v>4</v>
      </c>
      <c r="D258" s="229">
        <v>11074.76</v>
      </c>
      <c r="E258" s="229">
        <v>8392.8</v>
      </c>
      <c r="F258" s="229">
        <v>5</v>
      </c>
      <c r="G258" s="230">
        <f t="shared" ref="G258:G262" si="86">E258/F258</f>
      </c>
      <c r="H258" s="230">
        <f t="shared" ref="H258:H262" si="56">D258/F258</f>
      </c>
      <c r="I258" s="230">
        <f t="shared" ref="I258:I262" si="26">E258/D258</f>
      </c>
      <c r="J258" s="230">
        <f t="shared" ref="J258:J262" si="116">D258/C258</f>
      </c>
      <c r="K258" s="230"/>
    </row>
    <row r="259">
      <c r="A259" s="229" t="s">
        <v>474</v>
      </c>
      <c r="B259" s="241" t="s">
        <v>475</v>
      </c>
      <c r="C259" s="229">
        <v>4</v>
      </c>
      <c r="D259" s="229">
        <v>8764.699999999999</v>
      </c>
      <c r="E259" s="229">
        <v>12392.400000000001</v>
      </c>
      <c r="F259" s="229">
        <v>7</v>
      </c>
      <c r="G259" s="230">
        <f t="shared" si="86"/>
      </c>
      <c r="H259" s="230">
        <f t="shared" si="56"/>
      </c>
      <c r="I259" s="230">
        <f t="shared" si="26"/>
      </c>
      <c r="J259" s="230">
        <f t="shared" si="116"/>
      </c>
      <c r="K259" s="230"/>
    </row>
    <row r="260">
      <c r="A260" s="229" t="s">
        <v>476</v>
      </c>
      <c r="B260" s="228" t="s">
        <v>497</v>
      </c>
      <c r="C260" s="229">
        <v>3</v>
      </c>
      <c r="D260" s="229">
        <v>7757.040000000001</v>
      </c>
      <c r="E260" s="229">
        <v>4922.4000000000015</v>
      </c>
      <c r="F260" s="229">
        <v>4</v>
      </c>
      <c r="G260" s="230">
        <f t="shared" si="86"/>
      </c>
      <c r="H260" s="230">
        <f t="shared" si="56"/>
      </c>
      <c r="I260" s="230">
        <f t="shared" si="26"/>
      </c>
      <c r="J260" s="230">
        <f t="shared" si="116"/>
      </c>
      <c r="K260" s="230"/>
    </row>
    <row r="261">
      <c r="A261" s="229" t="s">
        <v>478</v>
      </c>
      <c r="B261" s="228" t="s">
        <v>495</v>
      </c>
      <c r="C261" s="229">
        <v>5</v>
      </c>
      <c r="D261" s="229">
        <v>14238.130000000005</v>
      </c>
      <c r="E261" s="229">
        <v>31289.8</v>
      </c>
      <c r="F261" s="229">
        <v>19</v>
      </c>
      <c r="G261" s="230">
        <f t="shared" si="86"/>
      </c>
      <c r="H261" s="230">
        <f t="shared" si="56"/>
      </c>
      <c r="I261" s="230">
        <f t="shared" si="26"/>
      </c>
      <c r="J261" s="230">
        <f t="shared" si="116"/>
      </c>
      <c r="K261" s="230"/>
    </row>
    <row r="262">
      <c r="A262" s="225" t="s">
        <v>480</v>
      </c>
      <c r="B262" s="225"/>
      <c r="C262" s="225">
        <f>SUM(C258:C261)</f>
      </c>
      <c r="D262" s="225">
        <f>SUM(D258:D261)</f>
      </c>
      <c r="E262" s="225">
        <f>SUM(E258:E261)</f>
      </c>
      <c r="F262" s="225">
        <f>SUM(F258:F261)</f>
      </c>
      <c r="G262" s="231">
        <f t="shared" si="86"/>
      </c>
      <c r="H262" s="231">
        <f t="shared" si="56"/>
      </c>
      <c r="I262" s="231">
        <f t="shared" si="26"/>
      </c>
      <c r="J262" s="231">
        <f t="shared" si="116"/>
      </c>
      <c r="K262" s="231"/>
    </row>
    <row r="263">
      <c r="A263" s="232" t="s">
        <v>481</v>
      </c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</row>
    <row r="264">
      <c r="A264" s="233" t="s">
        <v>465</v>
      </c>
      <c r="B264" s="233" t="s">
        <v>482</v>
      </c>
      <c r="C264" s="233" t="s">
        <v>483</v>
      </c>
      <c r="D264" s="233" t="s">
        <v>484</v>
      </c>
      <c r="E264" s="233" t="s">
        <v>485</v>
      </c>
      <c r="F264" s="233" t="s">
        <v>486</v>
      </c>
      <c r="G264" s="233" t="s">
        <v>487</v>
      </c>
      <c r="H264" s="234" t="s">
        <v>488</v>
      </c>
      <c r="I264" s="234" t="s">
        <v>489</v>
      </c>
      <c r="J264" s="234" t="s">
        <v>490</v>
      </c>
      <c r="K264" s="234" t="s">
        <v>464</v>
      </c>
    </row>
    <row r="265">
      <c r="A265" s="235">
        <f>SUM(D258:D261)</f>
      </c>
      <c r="B265" s="235">
        <f>SUM(E258:E261)</f>
      </c>
      <c r="C265" s="236">
        <f>B265/((K265*300)+A265)</f>
      </c>
      <c r="D265" s="237">
        <f>A265/J265</f>
      </c>
      <c r="E265" s="236">
        <f>B265/J265</f>
      </c>
      <c r="F265" s="238">
        <f>J265/I265</f>
      </c>
      <c r="G265" s="238">
        <f>H265/J265</f>
      </c>
      <c r="H265" s="239">
        <v>3</v>
      </c>
      <c r="I265" s="239">
        <v>52</v>
      </c>
      <c r="J265" s="239">
        <f>F262</f>
      </c>
      <c r="K265" s="240">
        <f>C262</f>
      </c>
    </row>
    <row r="266">
      <c r="A266" s="224" t="s">
        <v>527</v>
      </c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</row>
    <row r="267">
      <c r="A267" s="225" t="s">
        <v>462</v>
      </c>
      <c r="B267" s="225" t="s">
        <v>463</v>
      </c>
      <c r="C267" s="225" t="s">
        <v>464</v>
      </c>
      <c r="D267" s="225" t="s">
        <v>465</v>
      </c>
      <c r="E267" s="226" t="s">
        <v>466</v>
      </c>
      <c r="F267" s="225" t="s">
        <v>467</v>
      </c>
      <c r="G267" s="225" t="s">
        <v>468</v>
      </c>
      <c r="H267" s="225" t="s">
        <v>469</v>
      </c>
      <c r="I267" s="225" t="s">
        <v>470</v>
      </c>
      <c r="J267" s="225" t="s">
        <v>471</v>
      </c>
      <c r="K267" s="225"/>
    </row>
    <row r="268">
      <c r="A268" s="229" t="s">
        <v>472</v>
      </c>
      <c r="B268" s="241" t="s">
        <v>473</v>
      </c>
      <c r="C268" s="229">
        <v>4</v>
      </c>
      <c r="D268" s="229">
        <v>13778.66</v>
      </c>
      <c r="E268" s="229">
        <v>23535.2</v>
      </c>
      <c r="F268" s="229">
        <v>13</v>
      </c>
      <c r="G268" s="230">
        <f t="shared" ref="G268:G272" si="87">E268/F268</f>
      </c>
      <c r="H268" s="230">
        <f t="shared" ref="H268:H272" si="57">D268/F268</f>
      </c>
      <c r="I268" s="230">
        <f t="shared" ref="I268:I272" si="27">E268/D268</f>
      </c>
      <c r="J268" s="230">
        <f t="shared" ref="J268:J272" si="117">D268/C268</f>
      </c>
      <c r="K268" s="230"/>
    </row>
    <row r="269">
      <c r="A269" s="229" t="s">
        <v>476</v>
      </c>
      <c r="B269" s="241" t="s">
        <v>475</v>
      </c>
      <c r="C269" s="229">
        <v>4</v>
      </c>
      <c r="D269" s="229">
        <v>11958.820000000003</v>
      </c>
      <c r="E269" s="229">
        <v>6601.600000000002</v>
      </c>
      <c r="F269" s="229">
        <v>5</v>
      </c>
      <c r="G269" s="230">
        <f t="shared" si="87"/>
      </c>
      <c r="H269" s="230">
        <f t="shared" si="57"/>
      </c>
      <c r="I269" s="230">
        <f t="shared" si="27"/>
      </c>
      <c r="J269" s="230">
        <f t="shared" si="117"/>
      </c>
      <c r="K269" s="230"/>
    </row>
    <row r="270">
      <c r="A270" s="229" t="s">
        <v>478</v>
      </c>
      <c r="B270" s="228" t="s">
        <v>477</v>
      </c>
      <c r="C270" s="229">
        <v>4</v>
      </c>
      <c r="D270" s="229">
        <v>11602.829999999994</v>
      </c>
      <c r="E270" s="229">
        <v>35473.20000000001</v>
      </c>
      <c r="F270" s="229">
        <v>19</v>
      </c>
      <c r="G270" s="230">
        <f t="shared" si="87"/>
      </c>
      <c r="H270" s="230">
        <f t="shared" si="57"/>
      </c>
      <c r="I270" s="230">
        <f t="shared" si="27"/>
      </c>
      <c r="J270" s="230">
        <f t="shared" si="117"/>
      </c>
      <c r="K270" s="230"/>
    </row>
    <row r="271">
      <c r="A271" s="229" t="s">
        <v>474</v>
      </c>
      <c r="B271" s="228" t="s">
        <v>479</v>
      </c>
      <c r="C271" s="229">
        <v>4</v>
      </c>
      <c r="D271" s="229">
        <v>14047.710000000006</v>
      </c>
      <c r="E271" s="229">
        <v>21871.999999999985</v>
      </c>
      <c r="F271" s="229">
        <v>12</v>
      </c>
      <c r="G271" s="230">
        <f t="shared" si="87"/>
      </c>
      <c r="H271" s="230">
        <f t="shared" si="57"/>
      </c>
      <c r="I271" s="230">
        <f t="shared" si="27"/>
      </c>
      <c r="J271" s="230">
        <f t="shared" si="117"/>
      </c>
      <c r="K271" s="230"/>
    </row>
    <row r="272">
      <c r="A272" s="225" t="s">
        <v>480</v>
      </c>
      <c r="B272" s="225"/>
      <c r="C272" s="225">
        <f>SUM(C268:C271)</f>
      </c>
      <c r="D272" s="225">
        <f>SUM(D268:D271)</f>
      </c>
      <c r="E272" s="225">
        <f>SUM(E268:E271)</f>
      </c>
      <c r="F272" s="225">
        <f>SUM(F268:F271)</f>
      </c>
      <c r="G272" s="231">
        <f t="shared" si="87"/>
      </c>
      <c r="H272" s="231">
        <f t="shared" si="57"/>
      </c>
      <c r="I272" s="231">
        <f t="shared" si="27"/>
      </c>
      <c r="J272" s="231">
        <f t="shared" si="117"/>
      </c>
      <c r="K272" s="231"/>
    </row>
    <row r="273">
      <c r="A273" s="232" t="s">
        <v>481</v>
      </c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</row>
    <row r="274">
      <c r="A274" s="233" t="s">
        <v>465</v>
      </c>
      <c r="B274" s="233" t="s">
        <v>482</v>
      </c>
      <c r="C274" s="233" t="s">
        <v>483</v>
      </c>
      <c r="D274" s="233" t="s">
        <v>484</v>
      </c>
      <c r="E274" s="233" t="s">
        <v>485</v>
      </c>
      <c r="F274" s="233" t="s">
        <v>486</v>
      </c>
      <c r="G274" s="233" t="s">
        <v>487</v>
      </c>
      <c r="H274" s="234" t="s">
        <v>488</v>
      </c>
      <c r="I274" s="234" t="s">
        <v>489</v>
      </c>
      <c r="J274" s="234" t="s">
        <v>490</v>
      </c>
      <c r="K274" s="234" t="s">
        <v>464</v>
      </c>
    </row>
    <row r="275">
      <c r="A275" s="235">
        <f>SUM(D268:D271)</f>
      </c>
      <c r="B275" s="235">
        <f>SUM(E268:E271)</f>
      </c>
      <c r="C275" s="236">
        <f>B275/((K275*300)+A275)</f>
      </c>
      <c r="D275" s="237">
        <f>A275/J275</f>
      </c>
      <c r="E275" s="236">
        <f>B275/J275</f>
      </c>
      <c r="F275" s="238">
        <f>J275/I275</f>
      </c>
      <c r="G275" s="238">
        <f>H275/J275</f>
      </c>
      <c r="H275" s="239">
        <v>8</v>
      </c>
      <c r="I275" s="239">
        <v>78</v>
      </c>
      <c r="J275" s="239">
        <f>F272</f>
      </c>
      <c r="K275" s="240">
        <f>C272</f>
      </c>
    </row>
    <row r="276">
      <c r="A276" s="224" t="s">
        <v>528</v>
      </c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</row>
    <row r="277">
      <c r="A277" s="225" t="s">
        <v>462</v>
      </c>
      <c r="B277" s="225" t="s">
        <v>463</v>
      </c>
      <c r="C277" s="225" t="s">
        <v>464</v>
      </c>
      <c r="D277" s="225" t="s">
        <v>465</v>
      </c>
      <c r="E277" s="226" t="s">
        <v>466</v>
      </c>
      <c r="F277" s="225" t="s">
        <v>467</v>
      </c>
      <c r="G277" s="225" t="s">
        <v>468</v>
      </c>
      <c r="H277" s="225" t="s">
        <v>469</v>
      </c>
      <c r="I277" s="225" t="s">
        <v>470</v>
      </c>
      <c r="J277" s="225" t="s">
        <v>471</v>
      </c>
      <c r="K277" s="225"/>
    </row>
    <row r="278">
      <c r="A278" s="229" t="s">
        <v>472</v>
      </c>
      <c r="B278" s="241" t="s">
        <v>473</v>
      </c>
      <c r="C278" s="229">
        <v>4</v>
      </c>
      <c r="D278" s="229">
        <v>11835.73</v>
      </c>
      <c r="E278" s="229">
        <v>13010</v>
      </c>
      <c r="F278" s="229">
        <v>7</v>
      </c>
      <c r="G278" s="230">
        <f t="shared" ref="G278:G282" si="88">E278/F278</f>
      </c>
      <c r="H278" s="230">
        <f t="shared" ref="H278:H282" si="58">D278/F278</f>
      </c>
      <c r="I278" s="230">
        <f t="shared" ref="I278:I282" si="28">E278/D278</f>
      </c>
      <c r="J278" s="230">
        <f t="shared" ref="J278:J282" si="118">D278/C278</f>
      </c>
      <c r="K278" s="230"/>
    </row>
    <row r="279">
      <c r="A279" s="229" t="s">
        <v>476</v>
      </c>
      <c r="B279" s="241" t="s">
        <v>475</v>
      </c>
      <c r="C279" s="229">
        <v>4</v>
      </c>
      <c r="D279" s="229">
        <v>17061.01</v>
      </c>
      <c r="E279" s="229">
        <v>42023.200000000004</v>
      </c>
      <c r="F279" s="229">
        <v>18</v>
      </c>
      <c r="G279" s="230">
        <f t="shared" si="88"/>
      </c>
      <c r="H279" s="230">
        <f t="shared" si="58"/>
      </c>
      <c r="I279" s="230">
        <f t="shared" si="28"/>
      </c>
      <c r="J279" s="230">
        <f t="shared" si="118"/>
      </c>
      <c r="K279" s="230"/>
    </row>
    <row r="280">
      <c r="A280" s="229" t="s">
        <v>478</v>
      </c>
      <c r="B280" s="228" t="s">
        <v>477</v>
      </c>
      <c r="C280" s="229">
        <v>4</v>
      </c>
      <c r="D280" s="229">
        <v>15203.43</v>
      </c>
      <c r="E280" s="229">
        <v>48358.19999999999</v>
      </c>
      <c r="F280" s="229">
        <v>25</v>
      </c>
      <c r="G280" s="230">
        <f t="shared" si="88"/>
      </c>
      <c r="H280" s="230">
        <f t="shared" si="58"/>
      </c>
      <c r="I280" s="230">
        <f t="shared" si="28"/>
      </c>
      <c r="J280" s="230">
        <f t="shared" si="118"/>
      </c>
      <c r="K280" s="230"/>
    </row>
    <row r="281">
      <c r="A281" s="229" t="s">
        <v>474</v>
      </c>
      <c r="B281" s="228" t="s">
        <v>479</v>
      </c>
      <c r="C281" s="229">
        <v>4</v>
      </c>
      <c r="D281" s="229">
        <v>18855.72</v>
      </c>
      <c r="E281" s="229">
        <v>41996.00000000001</v>
      </c>
      <c r="F281" s="229">
        <v>21</v>
      </c>
      <c r="G281" s="230">
        <f t="shared" si="88"/>
      </c>
      <c r="H281" s="230">
        <f t="shared" si="58"/>
      </c>
      <c r="I281" s="230">
        <f t="shared" si="28"/>
      </c>
      <c r="J281" s="230">
        <f t="shared" si="118"/>
      </c>
      <c r="K281" s="230"/>
    </row>
    <row r="282">
      <c r="A282" s="225" t="s">
        <v>480</v>
      </c>
      <c r="B282" s="225"/>
      <c r="C282" s="225">
        <f>SUM(C278:C281)</f>
      </c>
      <c r="D282" s="225">
        <f>SUM(D278:D281)</f>
      </c>
      <c r="E282" s="225">
        <f>SUM(E278:E281)</f>
      </c>
      <c r="F282" s="225">
        <f>SUM(F278:F281)</f>
      </c>
      <c r="G282" s="231">
        <f t="shared" si="88"/>
      </c>
      <c r="H282" s="231">
        <f t="shared" si="58"/>
      </c>
      <c r="I282" s="231">
        <f t="shared" si="28"/>
      </c>
      <c r="J282" s="231">
        <f t="shared" si="118"/>
      </c>
      <c r="K282" s="231"/>
    </row>
    <row r="283">
      <c r="A283" s="232" t="s">
        <v>481</v>
      </c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</row>
    <row r="284">
      <c r="A284" s="233" t="s">
        <v>465</v>
      </c>
      <c r="B284" s="233" t="s">
        <v>482</v>
      </c>
      <c r="C284" s="233" t="s">
        <v>483</v>
      </c>
      <c r="D284" s="233" t="s">
        <v>484</v>
      </c>
      <c r="E284" s="233" t="s">
        <v>485</v>
      </c>
      <c r="F284" s="233" t="s">
        <v>486</v>
      </c>
      <c r="G284" s="233" t="s">
        <v>487</v>
      </c>
      <c r="H284" s="234" t="s">
        <v>488</v>
      </c>
      <c r="I284" s="234" t="s">
        <v>489</v>
      </c>
      <c r="J284" s="234" t="s">
        <v>490</v>
      </c>
      <c r="K284" s="234" t="s">
        <v>464</v>
      </c>
    </row>
    <row r="285">
      <c r="A285" s="235">
        <f>SUM(D278:D281)</f>
      </c>
      <c r="B285" s="235">
        <f>SUM(E278:E281)</f>
      </c>
      <c r="C285" s="236">
        <f>B285/((K285*300)+A285)</f>
      </c>
      <c r="D285" s="237">
        <f>A285/J285</f>
      </c>
      <c r="E285" s="236">
        <f>B285/J285</f>
      </c>
      <c r="F285" s="238">
        <f>J285/I285</f>
      </c>
      <c r="G285" s="238">
        <f>H285/J285</f>
      </c>
      <c r="H285" s="239">
        <v>10</v>
      </c>
      <c r="I285" s="239">
        <v>108</v>
      </c>
      <c r="J285" s="239">
        <v>71</v>
      </c>
      <c r="K285" s="240">
        <f>C282</f>
      </c>
    </row>
    <row r="286">
      <c r="A286" s="224" t="s">
        <v>529</v>
      </c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</row>
    <row r="287">
      <c r="A287" s="225" t="s">
        <v>462</v>
      </c>
      <c r="B287" s="225" t="s">
        <v>463</v>
      </c>
      <c r="C287" s="225" t="s">
        <v>464</v>
      </c>
      <c r="D287" s="225" t="s">
        <v>465</v>
      </c>
      <c r="E287" s="226" t="s">
        <v>466</v>
      </c>
      <c r="F287" s="225" t="s">
        <v>467</v>
      </c>
      <c r="G287" s="225" t="s">
        <v>468</v>
      </c>
      <c r="H287" s="225" t="s">
        <v>469</v>
      </c>
      <c r="I287" s="225" t="s">
        <v>470</v>
      </c>
      <c r="J287" s="225" t="s">
        <v>471</v>
      </c>
      <c r="K287" s="225"/>
    </row>
    <row r="288">
      <c r="A288" s="229" t="s">
        <v>472</v>
      </c>
      <c r="B288" s="241" t="s">
        <v>473</v>
      </c>
      <c r="C288" s="229">
        <v>4</v>
      </c>
      <c r="D288" s="229">
        <v>17932.21</v>
      </c>
      <c r="E288" s="229">
        <v>31426.199999999997</v>
      </c>
      <c r="F288" s="229">
        <v>15</v>
      </c>
      <c r="G288" s="230">
        <f t="shared" ref="G288:G292" si="89">E288/F288</f>
      </c>
      <c r="H288" s="230">
        <f t="shared" ref="H288:H292" si="59">D288/F288</f>
      </c>
      <c r="I288" s="230">
        <f t="shared" ref="I288:I292" si="29">E288/D288</f>
      </c>
      <c r="J288" s="230">
        <f t="shared" ref="J288:J292" si="119">D288/C288</f>
      </c>
      <c r="K288" s="230"/>
    </row>
    <row r="289">
      <c r="A289" s="229" t="s">
        <v>478</v>
      </c>
      <c r="B289" s="241" t="s">
        <v>475</v>
      </c>
      <c r="C289" s="229">
        <v>4</v>
      </c>
      <c r="D289" s="229">
        <v>16984.04</v>
      </c>
      <c r="E289" s="229">
        <v>36520.2</v>
      </c>
      <c r="F289" s="229">
        <v>17</v>
      </c>
      <c r="G289" s="230">
        <f t="shared" si="89"/>
      </c>
      <c r="H289" s="230">
        <f t="shared" si="59"/>
      </c>
      <c r="I289" s="230">
        <f t="shared" si="29"/>
      </c>
      <c r="J289" s="230">
        <f t="shared" si="119"/>
      </c>
      <c r="K289" s="230"/>
    </row>
    <row r="290">
      <c r="A290" s="229" t="s">
        <v>476</v>
      </c>
      <c r="B290" s="228" t="s">
        <v>477</v>
      </c>
      <c r="C290" s="229">
        <v>4</v>
      </c>
      <c r="D290" s="229">
        <v>14135.600000000006</v>
      </c>
      <c r="E290" s="229">
        <v>24866.800000000003</v>
      </c>
      <c r="F290" s="229">
        <v>15</v>
      </c>
      <c r="G290" s="230">
        <f t="shared" si="89"/>
      </c>
      <c r="H290" s="230">
        <f t="shared" si="59"/>
      </c>
      <c r="I290" s="230">
        <f t="shared" si="29"/>
      </c>
      <c r="J290" s="230">
        <f t="shared" si="119"/>
      </c>
      <c r="K290" s="230"/>
    </row>
    <row r="291">
      <c r="A291" s="229" t="s">
        <v>474</v>
      </c>
      <c r="B291" s="228" t="s">
        <v>479</v>
      </c>
      <c r="C291" s="229">
        <v>4</v>
      </c>
      <c r="D291" s="229">
        <v>24960.009999999995</v>
      </c>
      <c r="E291" s="229">
        <v>101761.39999999998</v>
      </c>
      <c r="F291" s="229">
        <v>49</v>
      </c>
      <c r="G291" s="230">
        <f t="shared" si="89"/>
      </c>
      <c r="H291" s="230">
        <f t="shared" si="59"/>
      </c>
      <c r="I291" s="230">
        <f t="shared" si="29"/>
      </c>
      <c r="J291" s="230">
        <f t="shared" si="119"/>
      </c>
      <c r="K291" s="230"/>
    </row>
    <row r="292">
      <c r="A292" s="225" t="s">
        <v>480</v>
      </c>
      <c r="B292" s="225"/>
      <c r="C292" s="225">
        <f>SUM(C288:C291)</f>
      </c>
      <c r="D292" s="225">
        <f>SUM(D288:D291)</f>
      </c>
      <c r="E292" s="225">
        <f>SUM(E288:E291)</f>
      </c>
      <c r="F292" s="225">
        <f>SUM(F288:F291)</f>
      </c>
      <c r="G292" s="231">
        <f t="shared" si="89"/>
      </c>
      <c r="H292" s="231">
        <f t="shared" si="59"/>
      </c>
      <c r="I292" s="231">
        <f t="shared" si="29"/>
      </c>
      <c r="J292" s="231">
        <f t="shared" si="119"/>
      </c>
      <c r="K292" s="231"/>
    </row>
    <row r="293">
      <c r="A293" s="232" t="s">
        <v>481</v>
      </c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</row>
    <row r="294">
      <c r="A294" s="233" t="s">
        <v>465</v>
      </c>
      <c r="B294" s="233" t="s">
        <v>482</v>
      </c>
      <c r="C294" s="233" t="s">
        <v>483</v>
      </c>
      <c r="D294" s="233" t="s">
        <v>484</v>
      </c>
      <c r="E294" s="233" t="s">
        <v>485</v>
      </c>
      <c r="F294" s="233" t="s">
        <v>486</v>
      </c>
      <c r="G294" s="233" t="s">
        <v>487</v>
      </c>
      <c r="H294" s="234" t="s">
        <v>488</v>
      </c>
      <c r="I294" s="234" t="s">
        <v>489</v>
      </c>
      <c r="J294" s="234" t="s">
        <v>490</v>
      </c>
      <c r="K294" s="234" t="s">
        <v>464</v>
      </c>
    </row>
    <row r="295">
      <c r="A295" s="235">
        <f>SUM(D288:D291)</f>
      </c>
      <c r="B295" s="235">
        <f>SUM(E288:E291)</f>
      </c>
      <c r="C295" s="236">
        <f>B295/((K295*300)+A295)</f>
      </c>
      <c r="D295" s="237">
        <f>A295/J295</f>
      </c>
      <c r="E295" s="236">
        <f>B295/J295</f>
      </c>
      <c r="F295" s="238">
        <f>J295/I295</f>
      </c>
      <c r="G295" s="238">
        <f>H295/J295</f>
      </c>
      <c r="H295" s="242">
        <v>15</v>
      </c>
      <c r="I295" s="242">
        <v>123</v>
      </c>
      <c r="J295" s="239">
        <f>F292</f>
      </c>
      <c r="K295" s="240">
        <f>C292</f>
      </c>
    </row>
    <row r="296">
      <c r="D296">
        <f>D297-D292</f>
      </c>
      <c r="E296">
        <f>E297-E292</f>
      </c>
    </row>
    <row r="297">
      <c r="D297">
        <v>74011.86</v>
      </c>
      <c r="E297">
        <v>194574.59999999998</v>
      </c>
    </row>
  </sheetData>
  <mergeCells>
    <mergeCell ref="A133:K133"/>
    <mergeCell ref="J132:K132"/>
    <mergeCell ref="J131:K131"/>
    <mergeCell ref="J130:K130"/>
    <mergeCell ref="J129:K129"/>
    <mergeCell ref="J128:K128"/>
    <mergeCell ref="A127:K127"/>
    <mergeCell ref="A124:K124"/>
    <mergeCell ref="J123:K123"/>
    <mergeCell ref="J122:K122"/>
    <mergeCell ref="J121:K121"/>
    <mergeCell ref="J120:K120"/>
    <mergeCell ref="J119:K119"/>
    <mergeCell ref="J118:K118"/>
    <mergeCell ref="A117:K117"/>
    <mergeCell ref="A114:K114"/>
    <mergeCell ref="J113:K113"/>
    <mergeCell ref="J112:K112"/>
    <mergeCell ref="J111:K111"/>
    <mergeCell ref="J110:K110"/>
    <mergeCell ref="J109:K109"/>
    <mergeCell ref="J108:K108"/>
    <mergeCell ref="A107:K107"/>
    <mergeCell ref="A104:K104"/>
    <mergeCell ref="J103:K103"/>
    <mergeCell ref="J102:K102"/>
    <mergeCell ref="J101:K101"/>
    <mergeCell ref="J100:K100"/>
    <mergeCell ref="J99:K99"/>
    <mergeCell ref="J98:K98"/>
    <mergeCell ref="A97:K97"/>
    <mergeCell ref="A94:K94"/>
    <mergeCell ref="J93:K93"/>
    <mergeCell ref="J92:K92"/>
    <mergeCell ref="J91:K91"/>
    <mergeCell ref="J90:K90"/>
    <mergeCell ref="J89:K89"/>
    <mergeCell ref="A88:K88"/>
    <mergeCell ref="A85:K85"/>
    <mergeCell ref="J84:K84"/>
    <mergeCell ref="J83:K83"/>
    <mergeCell ref="J82:K82"/>
    <mergeCell ref="J81:K81"/>
    <mergeCell ref="A80:K80"/>
    <mergeCell ref="A68:K68"/>
    <mergeCell ref="J67:K67"/>
    <mergeCell ref="J66:K66"/>
    <mergeCell ref="J65:K65"/>
    <mergeCell ref="J64:K64"/>
    <mergeCell ref="J63:K63"/>
    <mergeCell ref="J62:K62"/>
    <mergeCell ref="A61:K61"/>
    <mergeCell ref="A58:K58"/>
    <mergeCell ref="J57:K57"/>
    <mergeCell ref="J56:K56"/>
    <mergeCell ref="J55:K55"/>
    <mergeCell ref="J54:K54"/>
    <mergeCell ref="J53:K53"/>
    <mergeCell ref="J52:K52"/>
    <mergeCell ref="A51:K51"/>
    <mergeCell ref="A48:K48"/>
    <mergeCell ref="J47:K47"/>
    <mergeCell ref="J46:K46"/>
    <mergeCell ref="J45:K45"/>
    <mergeCell ref="J44:K44"/>
    <mergeCell ref="J43:K43"/>
    <mergeCell ref="J42:K42"/>
    <mergeCell ref="A41:K41"/>
    <mergeCell ref="A38:K38"/>
    <mergeCell ref="J37:K37"/>
    <mergeCell ref="J36:K36"/>
    <mergeCell ref="J35:K35"/>
    <mergeCell ref="J34:K34"/>
    <mergeCell ref="J33:K33"/>
    <mergeCell ref="J32:K32"/>
    <mergeCell ref="A31:K31"/>
    <mergeCell ref="A28:K28"/>
    <mergeCell ref="J27:K27"/>
    <mergeCell ref="J26:K26"/>
    <mergeCell ref="J25:K25"/>
    <mergeCell ref="J24:K24"/>
    <mergeCell ref="J23:K23"/>
    <mergeCell ref="J22:K22"/>
    <mergeCell ref="A21:K21"/>
    <mergeCell ref="A18:K18"/>
    <mergeCell ref="J17:K17"/>
    <mergeCell ref="J16:K16"/>
    <mergeCell ref="J15:K15"/>
    <mergeCell ref="J14:K14"/>
    <mergeCell ref="J13:K13"/>
    <mergeCell ref="J12:K12"/>
    <mergeCell ref="A11:K11"/>
    <mergeCell ref="A8:K8"/>
    <mergeCell ref="J7:K7"/>
    <mergeCell ref="J6:K6"/>
    <mergeCell ref="J5:K5"/>
    <mergeCell ref="J4:K4"/>
    <mergeCell ref="J3:K3"/>
    <mergeCell ref="J2:K2"/>
    <mergeCell ref="A1:K1"/>
    <mergeCell ref="A71:K71"/>
    <mergeCell ref="J72:K72"/>
    <mergeCell ref="J73:K73"/>
    <mergeCell ref="J74:K74"/>
    <mergeCell ref="J75:K75"/>
    <mergeCell ref="J76:K76"/>
    <mergeCell ref="A77:K77"/>
    <mergeCell ref="A136:K136"/>
    <mergeCell ref="J137:K137"/>
    <mergeCell ref="J138:K138"/>
    <mergeCell ref="J139:K139"/>
    <mergeCell ref="J140:K140"/>
    <mergeCell ref="J141:K141"/>
    <mergeCell ref="J142:K142"/>
    <mergeCell ref="A143:K143"/>
    <mergeCell ref="A146:K146"/>
    <mergeCell ref="J147:K147"/>
    <mergeCell ref="J148:K148"/>
    <mergeCell ref="J149:K149"/>
    <mergeCell ref="J150:K150"/>
    <mergeCell ref="J151:K151"/>
    <mergeCell ref="J152:K152"/>
    <mergeCell ref="A153:K153"/>
    <mergeCell ref="A156:K156"/>
    <mergeCell ref="J157:K157"/>
    <mergeCell ref="J158:K158"/>
    <mergeCell ref="J159:K159"/>
    <mergeCell ref="J160:K160"/>
    <mergeCell ref="J161:K161"/>
    <mergeCell ref="J162:K162"/>
    <mergeCell ref="A163:K163"/>
    <mergeCell ref="A166:K166"/>
    <mergeCell ref="J167:K167"/>
    <mergeCell ref="J168:K168"/>
    <mergeCell ref="J169:K169"/>
    <mergeCell ref="J170:K170"/>
    <mergeCell ref="J171:K171"/>
    <mergeCell ref="J172:K172"/>
    <mergeCell ref="A173:K173"/>
    <mergeCell ref="A176:K176"/>
    <mergeCell ref="J177:K177"/>
    <mergeCell ref="J178:K178"/>
    <mergeCell ref="J179:K179"/>
    <mergeCell ref="J180:K180"/>
    <mergeCell ref="J181:K181"/>
    <mergeCell ref="J182:K182"/>
    <mergeCell ref="A183:K183"/>
    <mergeCell ref="A186:K186"/>
    <mergeCell ref="J187:K187"/>
    <mergeCell ref="J188:K188"/>
    <mergeCell ref="J189:K189"/>
    <mergeCell ref="J190:K190"/>
    <mergeCell ref="J191:K191"/>
    <mergeCell ref="J192:K192"/>
    <mergeCell ref="A193:K193"/>
    <mergeCell ref="A196:K196"/>
    <mergeCell ref="J197:K197"/>
    <mergeCell ref="J198:K198"/>
    <mergeCell ref="J199:K199"/>
    <mergeCell ref="J200:K200"/>
    <mergeCell ref="J201:K201"/>
    <mergeCell ref="J202:K202"/>
    <mergeCell ref="A203:K203"/>
    <mergeCell ref="A206:K206"/>
    <mergeCell ref="J207:K207"/>
    <mergeCell ref="J208:K208"/>
    <mergeCell ref="J209:K209"/>
    <mergeCell ref="J210:K210"/>
    <mergeCell ref="J211:K211"/>
    <mergeCell ref="J212:K212"/>
    <mergeCell ref="A213:K213"/>
    <mergeCell ref="A216:K216"/>
    <mergeCell ref="J217:K217"/>
    <mergeCell ref="J218:K218"/>
    <mergeCell ref="J219:K219"/>
    <mergeCell ref="J220:K220"/>
    <mergeCell ref="J221:K221"/>
    <mergeCell ref="J222:K222"/>
    <mergeCell ref="A223:K223"/>
    <mergeCell ref="A226:K226"/>
    <mergeCell ref="J227:K227"/>
    <mergeCell ref="J228:K228"/>
    <mergeCell ref="J229:K229"/>
    <mergeCell ref="J230:K230"/>
    <mergeCell ref="J231:K231"/>
    <mergeCell ref="J232:K232"/>
    <mergeCell ref="A233:K233"/>
    <mergeCell ref="A236:K236"/>
    <mergeCell ref="J237:K237"/>
    <mergeCell ref="J238:K238"/>
    <mergeCell ref="J239:K239"/>
    <mergeCell ref="J240:K240"/>
    <mergeCell ref="J241:K241"/>
    <mergeCell ref="J242:K242"/>
    <mergeCell ref="A243:K243"/>
    <mergeCell ref="A246:K246"/>
    <mergeCell ref="J247:K247"/>
    <mergeCell ref="J248:K248"/>
    <mergeCell ref="J249:K249"/>
    <mergeCell ref="J250:K250"/>
    <mergeCell ref="J251:K251"/>
    <mergeCell ref="J252:K252"/>
    <mergeCell ref="A253:K253"/>
    <mergeCell ref="A256:K256"/>
    <mergeCell ref="J257:K257"/>
    <mergeCell ref="J258:K258"/>
    <mergeCell ref="J259:K259"/>
    <mergeCell ref="J260:K260"/>
    <mergeCell ref="J261:K261"/>
    <mergeCell ref="J262:K262"/>
    <mergeCell ref="A263:K263"/>
    <mergeCell ref="A266:K266"/>
    <mergeCell ref="J267:K267"/>
    <mergeCell ref="J268:K268"/>
    <mergeCell ref="J269:K269"/>
    <mergeCell ref="J270:K270"/>
    <mergeCell ref="J271:K271"/>
    <mergeCell ref="J272:K272"/>
    <mergeCell ref="A273:K273"/>
    <mergeCell ref="A276:K276"/>
    <mergeCell ref="J277:K277"/>
    <mergeCell ref="J278:K278"/>
    <mergeCell ref="J279:K279"/>
    <mergeCell ref="J280:K280"/>
    <mergeCell ref="J281:K281"/>
    <mergeCell ref="J282:K282"/>
    <mergeCell ref="A283:K283"/>
    <mergeCell ref="A286:K286"/>
    <mergeCell ref="J287:K287"/>
    <mergeCell ref="J288:K288"/>
    <mergeCell ref="J289:K289"/>
    <mergeCell ref="J290:K290"/>
    <mergeCell ref="J291:K291"/>
    <mergeCell ref="J292:K292"/>
    <mergeCell ref="A293:K293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11" min="11" style="0" width="7.3963782696177285"/>
  </cols>
  <sheetData>
    <row r="1">
      <c r="A1" s="243" t="s">
        <v>530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</row>
    <row r="2">
      <c r="A2" s="244" t="s">
        <v>531</v>
      </c>
      <c r="B2" s="244" t="s">
        <v>532</v>
      </c>
      <c r="C2" s="244" t="s">
        <v>533</v>
      </c>
      <c r="D2" s="244" t="s">
        <v>534</v>
      </c>
      <c r="E2" s="244" t="s">
        <v>535</v>
      </c>
      <c r="F2" s="244" t="s">
        <v>536</v>
      </c>
      <c r="G2" s="244" t="s">
        <v>537</v>
      </c>
      <c r="H2" s="245">
        <v>8</v>
      </c>
      <c r="I2" s="244" t="s">
        <v>538</v>
      </c>
      <c r="J2" s="244" t="s">
        <v>539</v>
      </c>
      <c r="K2" s="244"/>
    </row>
    <row r="3">
      <c r="A3" s="246" t="s">
        <v>540</v>
      </c>
      <c r="B3" s="247" t="s">
        <v>541</v>
      </c>
      <c r="C3" s="246">
        <v>4</v>
      </c>
      <c r="D3" s="246">
        <v>5724.52</v>
      </c>
      <c r="E3" s="246">
        <v>14654.4</v>
      </c>
      <c r="F3" s="246">
        <v>7</v>
      </c>
      <c r="G3" s="248">
        <f t="shared" ref="G3:G7" si="81">E3/F3</f>
      </c>
      <c r="H3" s="248">
        <f t="shared" ref="H3:H7" si="54">D3/F3</f>
      </c>
      <c r="I3" s="248">
        <f t="shared" ref="I3:I7" si="27">E3/D3</f>
      </c>
      <c r="J3" s="248">
        <f t="shared" ref="J3:J7" si="0">D3/C3</f>
      </c>
      <c r="K3" s="248"/>
    </row>
    <row r="4">
      <c r="A4" s="246" t="s">
        <v>542</v>
      </c>
      <c r="B4" s="247" t="s">
        <v>543</v>
      </c>
      <c r="C4" s="246">
        <v>4</v>
      </c>
      <c r="D4" s="246">
        <v>8925.68</v>
      </c>
      <c r="E4" s="246">
        <v>10060.699999999999</v>
      </c>
      <c r="F4" s="246">
        <v>10</v>
      </c>
      <c r="G4" s="248">
        <f t="shared" si="81"/>
      </c>
      <c r="H4" s="248">
        <f t="shared" si="54"/>
      </c>
      <c r="I4" s="248">
        <f t="shared" si="27"/>
      </c>
      <c r="J4" s="248">
        <f t="shared" si="0"/>
      </c>
      <c r="K4" s="248"/>
    </row>
    <row r="5">
      <c r="A5" s="246" t="s">
        <v>544</v>
      </c>
      <c r="B5" s="247" t="s">
        <v>545</v>
      </c>
      <c r="C5" s="246">
        <v>3</v>
      </c>
      <c r="D5" s="249">
        <v>5432.7199999999975</v>
      </c>
      <c r="E5" s="249">
        <v>3771.600000000002</v>
      </c>
      <c r="F5" s="246">
        <v>3</v>
      </c>
      <c r="G5" s="248">
        <f t="shared" si="81"/>
      </c>
      <c r="H5" s="248">
        <f t="shared" si="54"/>
      </c>
      <c r="I5" s="248">
        <f t="shared" si="27"/>
      </c>
      <c r="J5" s="248">
        <f t="shared" si="0"/>
      </c>
      <c r="K5" s="248"/>
    </row>
    <row r="6">
      <c r="A6" s="246" t="s">
        <v>546</v>
      </c>
      <c r="B6" s="247" t="s">
        <v>547</v>
      </c>
      <c r="C6" s="246">
        <v>5</v>
      </c>
      <c r="D6" s="246">
        <v>11919.009999999998</v>
      </c>
      <c r="E6" s="246">
        <v>14938.999999999996</v>
      </c>
      <c r="F6" s="246">
        <v>13</v>
      </c>
      <c r="G6" s="248">
        <f t="shared" si="81"/>
      </c>
      <c r="H6" s="248">
        <f t="shared" si="54"/>
      </c>
      <c r="I6" s="248">
        <f t="shared" si="27"/>
      </c>
      <c r="J6" s="248">
        <f t="shared" si="0"/>
      </c>
      <c r="K6" s="248"/>
    </row>
    <row r="7">
      <c r="A7" s="244" t="s">
        <v>548</v>
      </c>
      <c r="B7" s="244"/>
      <c r="C7" s="244">
        <f>SUM(C3:C6)</f>
      </c>
      <c r="D7" s="244">
        <f>SUM(D3:D6)</f>
      </c>
      <c r="E7" s="244">
        <f>SUM(E3:E6)</f>
      </c>
      <c r="F7" s="244">
        <f>SUM(F3:F6)</f>
      </c>
      <c r="G7" s="250">
        <f t="shared" si="81"/>
      </c>
      <c r="H7" s="250">
        <f t="shared" si="54"/>
      </c>
      <c r="I7" s="250">
        <f t="shared" si="27"/>
      </c>
      <c r="J7" s="250">
        <f t="shared" si="0"/>
      </c>
      <c r="K7" s="250"/>
    </row>
    <row r="8">
      <c r="A8" s="251" t="s">
        <v>549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</row>
    <row r="9">
      <c r="A9" s="252" t="s">
        <v>534</v>
      </c>
      <c r="B9" s="252" t="s">
        <v>550</v>
      </c>
      <c r="C9" s="252" t="s">
        <v>551</v>
      </c>
      <c r="D9" s="252" t="s">
        <v>552</v>
      </c>
      <c r="E9" s="252" t="s">
        <v>553</v>
      </c>
      <c r="F9" s="252" t="s">
        <v>554</v>
      </c>
      <c r="G9" s="252" t="s">
        <v>555</v>
      </c>
      <c r="H9" s="253" t="s">
        <v>556</v>
      </c>
      <c r="I9" s="253" t="s">
        <v>557</v>
      </c>
      <c r="J9" s="253" t="s">
        <v>558</v>
      </c>
      <c r="K9" s="253" t="s">
        <v>533</v>
      </c>
    </row>
    <row r="10">
      <c r="A10" s="254">
        <f>SUM(D3:D6)</f>
      </c>
      <c r="B10" s="254">
        <f>SUM(E3:E6)</f>
      </c>
      <c r="C10" s="255">
        <f>B10/((K10*300)+A10)</f>
      </c>
      <c r="D10" s="256">
        <f>A10/J10</f>
      </c>
      <c r="E10" s="255">
        <f>B10/J10</f>
      </c>
      <c r="F10" s="257">
        <f>J10/I10</f>
      </c>
      <c r="G10" s="257">
        <f>H10/J10</f>
      </c>
      <c r="H10" s="258">
        <v>3</v>
      </c>
      <c r="I10" s="258">
        <v>67</v>
      </c>
      <c r="J10" s="258">
        <f>F3+F4+F5+F6</f>
      </c>
      <c r="K10" s="258">
        <f>C7</f>
      </c>
    </row>
    <row r="11">
      <c r="A11" s="243" t="s">
        <v>559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</row>
    <row r="12">
      <c r="A12" s="244" t="s">
        <v>531</v>
      </c>
      <c r="B12" s="244" t="s">
        <v>532</v>
      </c>
      <c r="C12" s="244" t="s">
        <v>533</v>
      </c>
      <c r="D12" s="244" t="s">
        <v>534</v>
      </c>
      <c r="E12" s="244" t="s">
        <v>535</v>
      </c>
      <c r="F12" s="244" t="s">
        <v>536</v>
      </c>
      <c r="G12" s="244" t="s">
        <v>537</v>
      </c>
      <c r="H12" s="245">
        <v>8</v>
      </c>
      <c r="I12" s="244" t="s">
        <v>538</v>
      </c>
      <c r="J12" s="244" t="s">
        <v>539</v>
      </c>
      <c r="K12" s="244"/>
    </row>
    <row r="13">
      <c r="A13" s="246" t="s">
        <v>540</v>
      </c>
      <c r="B13" s="247" t="s">
        <v>541</v>
      </c>
      <c r="C13" s="246">
        <v>4</v>
      </c>
      <c r="D13" s="246">
        <v>3669.12</v>
      </c>
      <c r="E13" s="246">
        <v>7238.4</v>
      </c>
      <c r="F13" s="246">
        <v>5</v>
      </c>
      <c r="G13" s="248">
        <f t="shared" ref="G13:G17" si="82">E13/F13</f>
      </c>
      <c r="H13" s="248">
        <f t="shared" ref="H13:H17" si="55">D13/F13</f>
      </c>
      <c r="I13" s="248">
        <f t="shared" ref="I13:I17" si="28">E13/D13</f>
      </c>
      <c r="J13" s="248">
        <f t="shared" ref="J13:J17" si="1">D13/C13</f>
      </c>
      <c r="K13" s="248"/>
    </row>
    <row r="14">
      <c r="A14" s="246" t="s">
        <v>560</v>
      </c>
      <c r="B14" s="247" t="s">
        <v>543</v>
      </c>
      <c r="C14" s="246">
        <v>4</v>
      </c>
      <c r="D14" s="246">
        <v>5040.409999999999</v>
      </c>
      <c r="E14" s="246">
        <v>3062.3999999999996</v>
      </c>
      <c r="F14" s="246">
        <v>1</v>
      </c>
      <c r="G14" s="248">
        <f t="shared" si="82"/>
      </c>
      <c r="H14" s="248">
        <f t="shared" si="55"/>
      </c>
      <c r="I14" s="248">
        <f t="shared" si="28"/>
      </c>
      <c r="J14" s="248">
        <f t="shared" si="1"/>
      </c>
      <c r="K14" s="248"/>
    </row>
    <row r="15">
      <c r="A15" s="246" t="s">
        <v>544</v>
      </c>
      <c r="B15" s="247" t="s">
        <v>545</v>
      </c>
      <c r="C15" s="246">
        <v>3</v>
      </c>
      <c r="D15" s="249">
        <v>3623.9100000000017</v>
      </c>
      <c r="E15" s="249">
        <v>4656</v>
      </c>
      <c r="F15" s="246">
        <v>5</v>
      </c>
      <c r="G15" s="248">
        <f t="shared" si="82"/>
      </c>
      <c r="H15" s="248">
        <f t="shared" si="55"/>
      </c>
      <c r="I15" s="248">
        <f t="shared" si="28"/>
      </c>
      <c r="J15" s="248">
        <f t="shared" si="1"/>
      </c>
      <c r="K15" s="248"/>
    </row>
    <row r="16">
      <c r="A16" s="246" t="s">
        <v>546</v>
      </c>
      <c r="B16" s="247" t="s">
        <v>547</v>
      </c>
      <c r="C16" s="246">
        <v>5</v>
      </c>
      <c r="D16" s="246">
        <v>10201.13</v>
      </c>
      <c r="E16" s="246">
        <v>35323.100000000006</v>
      </c>
      <c r="F16" s="246">
        <v>22</v>
      </c>
      <c r="G16" s="248">
        <f t="shared" si="82"/>
      </c>
      <c r="H16" s="248">
        <f t="shared" si="55"/>
      </c>
      <c r="I16" s="248">
        <f t="shared" si="28"/>
      </c>
      <c r="J16" s="248">
        <f t="shared" si="1"/>
      </c>
      <c r="K16" s="248"/>
    </row>
    <row r="17">
      <c r="A17" s="244" t="s">
        <v>548</v>
      </c>
      <c r="B17" s="244"/>
      <c r="C17" s="244">
        <f>SUM(C13:C16)</f>
      </c>
      <c r="D17" s="244">
        <f>SUM(D13:D16)</f>
      </c>
      <c r="E17" s="244">
        <f>SUM(E13:E16)</f>
      </c>
      <c r="F17" s="244">
        <f>SUM(F13:F16)</f>
      </c>
      <c r="G17" s="250">
        <f t="shared" si="82"/>
      </c>
      <c r="H17" s="250">
        <f t="shared" si="55"/>
      </c>
      <c r="I17" s="250">
        <f t="shared" si="28"/>
      </c>
      <c r="J17" s="250">
        <f t="shared" si="1"/>
      </c>
      <c r="K17" s="250"/>
    </row>
    <row r="18">
      <c r="A18" s="251" t="s">
        <v>549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</row>
    <row r="19">
      <c r="A19" s="252" t="s">
        <v>534</v>
      </c>
      <c r="B19" s="252" t="s">
        <v>550</v>
      </c>
      <c r="C19" s="252" t="s">
        <v>551</v>
      </c>
      <c r="D19" s="252" t="s">
        <v>552</v>
      </c>
      <c r="E19" s="252" t="s">
        <v>553</v>
      </c>
      <c r="F19" s="252" t="s">
        <v>554</v>
      </c>
      <c r="G19" s="252" t="s">
        <v>555</v>
      </c>
      <c r="H19" s="253" t="s">
        <v>556</v>
      </c>
      <c r="I19" s="253" t="s">
        <v>557</v>
      </c>
      <c r="J19" s="253" t="s">
        <v>558</v>
      </c>
      <c r="K19" s="253" t="s">
        <v>533</v>
      </c>
    </row>
    <row r="20">
      <c r="A20" s="254">
        <f>SUM(D13:D16)</f>
      </c>
      <c r="B20" s="254">
        <f>SUM(E13:E16)</f>
      </c>
      <c r="C20" s="255">
        <f>B20/((K20*300)+A20)</f>
      </c>
      <c r="D20" s="256">
        <f>A20/J20</f>
      </c>
      <c r="E20" s="255">
        <f>B20/J20</f>
      </c>
      <c r="F20" s="257">
        <f>J20/I20</f>
      </c>
      <c r="G20" s="257">
        <f>H20/J20</f>
      </c>
      <c r="H20" s="258">
        <v>5</v>
      </c>
      <c r="I20" s="258">
        <v>55</v>
      </c>
      <c r="J20" s="258">
        <f>F13+F14+F15+F16</f>
      </c>
      <c r="K20" s="258">
        <f>C17</f>
      </c>
    </row>
    <row r="21">
      <c r="A21" s="243" t="s">
        <v>561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</row>
    <row r="22">
      <c r="A22" s="244" t="s">
        <v>531</v>
      </c>
      <c r="B22" s="244" t="s">
        <v>532</v>
      </c>
      <c r="C22" s="244" t="s">
        <v>533</v>
      </c>
      <c r="D22" s="244" t="s">
        <v>534</v>
      </c>
      <c r="E22" s="244" t="s">
        <v>535</v>
      </c>
      <c r="F22" s="244" t="s">
        <v>536</v>
      </c>
      <c r="G22" s="244" t="s">
        <v>537</v>
      </c>
      <c r="H22" s="245">
        <v>8</v>
      </c>
      <c r="I22" s="244" t="s">
        <v>538</v>
      </c>
      <c r="J22" s="244" t="s">
        <v>539</v>
      </c>
      <c r="K22" s="244"/>
    </row>
    <row r="23">
      <c r="A23" s="246" t="s">
        <v>540</v>
      </c>
      <c r="B23" s="247" t="s">
        <v>562</v>
      </c>
      <c r="C23" s="246">
        <v>2</v>
      </c>
      <c r="D23" s="246">
        <v>2783.31</v>
      </c>
      <c r="E23" s="246">
        <v>1292.4</v>
      </c>
      <c r="F23" s="246">
        <v>2</v>
      </c>
      <c r="G23" s="248">
        <f t="shared" ref="G23:G27" si="83">E23/F23</f>
      </c>
      <c r="H23" s="248">
        <f t="shared" ref="H23:H27" si="56">D23/F23</f>
      </c>
      <c r="I23" s="248">
        <f t="shared" ref="I23:I27" si="29">E23/D23</f>
      </c>
      <c r="J23" s="248">
        <f t="shared" ref="J23:J27" si="2">D23/C23</f>
      </c>
      <c r="K23" s="248"/>
    </row>
    <row r="24">
      <c r="A24" s="246" t="s">
        <v>544</v>
      </c>
      <c r="B24" s="247" t="s">
        <v>543</v>
      </c>
      <c r="C24" s="246">
        <v>4</v>
      </c>
      <c r="D24" s="246">
        <v>3771.86</v>
      </c>
      <c r="E24" s="246">
        <v>5295</v>
      </c>
      <c r="F24" s="246">
        <v>3</v>
      </c>
      <c r="G24" s="248">
        <f t="shared" si="83"/>
      </c>
      <c r="H24" s="248">
        <f t="shared" si="56"/>
      </c>
      <c r="I24" s="248">
        <f t="shared" si="29"/>
      </c>
      <c r="J24" s="248">
        <f t="shared" si="2"/>
      </c>
      <c r="K24" s="248"/>
    </row>
    <row r="25">
      <c r="A25" s="246" t="s">
        <v>560</v>
      </c>
      <c r="B25" s="247" t="s">
        <v>563</v>
      </c>
      <c r="C25" s="246">
        <v>5</v>
      </c>
      <c r="D25" s="249">
        <v>7183.64</v>
      </c>
      <c r="E25" s="249">
        <v>5960.4</v>
      </c>
      <c r="F25" s="246">
        <v>6</v>
      </c>
      <c r="G25" s="248">
        <f t="shared" si="83"/>
      </c>
      <c r="H25" s="248">
        <f t="shared" si="56"/>
      </c>
      <c r="I25" s="248">
        <f t="shared" si="29"/>
      </c>
      <c r="J25" s="248">
        <f t="shared" si="2"/>
      </c>
      <c r="K25" s="248"/>
    </row>
    <row r="26">
      <c r="A26" s="246" t="s">
        <v>546</v>
      </c>
      <c r="B26" s="247" t="s">
        <v>564</v>
      </c>
      <c r="C26" s="246">
        <v>5</v>
      </c>
      <c r="D26" s="246">
        <v>4809.82</v>
      </c>
      <c r="E26" s="246">
        <v>6885.8</v>
      </c>
      <c r="F26" s="246">
        <v>7</v>
      </c>
      <c r="G26" s="248">
        <f t="shared" si="83"/>
      </c>
      <c r="H26" s="248">
        <f t="shared" si="56"/>
      </c>
      <c r="I26" s="248">
        <f t="shared" si="29"/>
      </c>
      <c r="J26" s="248">
        <f t="shared" si="2"/>
      </c>
      <c r="K26" s="248"/>
    </row>
    <row r="27">
      <c r="A27" s="244" t="s">
        <v>548</v>
      </c>
      <c r="B27" s="244"/>
      <c r="C27" s="244">
        <f>SUM(C23:C26)</f>
      </c>
      <c r="D27" s="244">
        <f>SUM(D23:D26)</f>
      </c>
      <c r="E27" s="244">
        <f>SUM(E23:E26)</f>
      </c>
      <c r="F27" s="244">
        <f>SUM(F23:F26)</f>
      </c>
      <c r="G27" s="250">
        <f t="shared" si="83"/>
      </c>
      <c r="H27" s="250">
        <f t="shared" si="56"/>
      </c>
      <c r="I27" s="250">
        <f t="shared" si="29"/>
      </c>
      <c r="J27" s="250">
        <f t="shared" si="2"/>
      </c>
      <c r="K27" s="250"/>
    </row>
    <row r="28">
      <c r="A28" s="251" t="s">
        <v>549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</row>
    <row r="29">
      <c r="A29" s="252" t="s">
        <v>534</v>
      </c>
      <c r="B29" s="252" t="s">
        <v>550</v>
      </c>
      <c r="C29" s="252" t="s">
        <v>551</v>
      </c>
      <c r="D29" s="252" t="s">
        <v>552</v>
      </c>
      <c r="E29" s="252" t="s">
        <v>553</v>
      </c>
      <c r="F29" s="252" t="s">
        <v>554</v>
      </c>
      <c r="G29" s="252" t="s">
        <v>555</v>
      </c>
      <c r="H29" s="253" t="s">
        <v>556</v>
      </c>
      <c r="I29" s="253" t="s">
        <v>557</v>
      </c>
      <c r="J29" s="253" t="s">
        <v>558</v>
      </c>
      <c r="K29" s="253" t="s">
        <v>533</v>
      </c>
    </row>
    <row r="30">
      <c r="A30" s="254">
        <f>SUM(D23:D26)</f>
      </c>
      <c r="B30" s="254">
        <f>SUM(E23:E26)</f>
      </c>
      <c r="C30" s="255">
        <f>B30/((K30*300)+A30)</f>
      </c>
      <c r="D30" s="256">
        <f>A30/J30</f>
      </c>
      <c r="E30" s="255">
        <f>B30/J30</f>
      </c>
      <c r="F30" s="257">
        <f>J30/I30</f>
      </c>
      <c r="G30" s="257">
        <f>H30/J30</f>
      </c>
      <c r="H30" s="258">
        <v>2</v>
      </c>
      <c r="I30" s="258">
        <v>32</v>
      </c>
      <c r="J30" s="258">
        <f>F23+F24+F25+F26</f>
      </c>
      <c r="K30" s="258">
        <f>C27</f>
      </c>
    </row>
    <row r="31">
      <c r="A31" s="243" t="s">
        <v>565</v>
      </c>
      <c r="B31" s="243"/>
      <c r="C31" s="243"/>
      <c r="D31" s="243"/>
      <c r="E31" s="243"/>
      <c r="F31" s="243"/>
      <c r="G31" s="243"/>
      <c r="H31" s="243"/>
      <c r="I31" s="243"/>
      <c r="J31" s="243"/>
      <c r="K31" s="243"/>
    </row>
    <row r="32">
      <c r="A32" s="244" t="s">
        <v>531</v>
      </c>
      <c r="B32" s="244" t="s">
        <v>532</v>
      </c>
      <c r="C32" s="244" t="s">
        <v>533</v>
      </c>
      <c r="D32" s="244" t="s">
        <v>534</v>
      </c>
      <c r="E32" s="244" t="s">
        <v>535</v>
      </c>
      <c r="F32" s="244" t="s">
        <v>536</v>
      </c>
      <c r="G32" s="244" t="s">
        <v>537</v>
      </c>
      <c r="H32" s="245">
        <v>8</v>
      </c>
      <c r="I32" s="244" t="s">
        <v>538</v>
      </c>
      <c r="J32" s="244" t="s">
        <v>539</v>
      </c>
      <c r="K32" s="244"/>
    </row>
    <row r="33">
      <c r="A33" s="246" t="s">
        <v>542</v>
      </c>
      <c r="B33" s="247" t="s">
        <v>541</v>
      </c>
      <c r="C33" s="246">
        <v>4</v>
      </c>
      <c r="D33" s="246">
        <v>3342.4</v>
      </c>
      <c r="E33" s="246">
        <v>1896</v>
      </c>
      <c r="F33" s="246">
        <v>2</v>
      </c>
      <c r="G33" s="248">
        <f t="shared" ref="G33:G37" si="84">E33/F33</f>
      </c>
      <c r="H33" s="248">
        <f t="shared" ref="H33:H37" si="57">D33/F33</f>
      </c>
      <c r="I33" s="248">
        <f t="shared" ref="I33:I37" si="30">E33/D33</f>
      </c>
      <c r="J33" s="248">
        <f t="shared" ref="J33:J37" si="3">D33/C33</f>
      </c>
      <c r="K33" s="248"/>
    </row>
    <row r="34">
      <c r="A34" s="246" t="s">
        <v>560</v>
      </c>
      <c r="B34" s="247" t="s">
        <v>543</v>
      </c>
      <c r="C34" s="246">
        <v>4</v>
      </c>
      <c r="D34" s="246">
        <v>4715.27</v>
      </c>
      <c r="E34" s="246">
        <v>2088</v>
      </c>
      <c r="F34" s="246">
        <v>2</v>
      </c>
      <c r="G34" s="248">
        <f t="shared" si="84"/>
      </c>
      <c r="H34" s="248">
        <f t="shared" si="57"/>
      </c>
      <c r="I34" s="248">
        <f t="shared" si="30"/>
      </c>
      <c r="J34" s="248">
        <f t="shared" si="3"/>
      </c>
      <c r="K34" s="248"/>
    </row>
    <row r="35">
      <c r="A35" s="246" t="s">
        <v>546</v>
      </c>
      <c r="B35" s="247" t="s">
        <v>566</v>
      </c>
      <c r="C35" s="246">
        <v>1</v>
      </c>
      <c r="D35" s="249">
        <v>680.68</v>
      </c>
      <c r="E35" s="249">
        <v>771.6000000000004</v>
      </c>
      <c r="F35" s="246">
        <v>1</v>
      </c>
      <c r="G35" s="248">
        <f t="shared" si="84"/>
      </c>
      <c r="H35" s="248">
        <f t="shared" si="57"/>
      </c>
      <c r="I35" s="248">
        <f t="shared" si="30"/>
      </c>
      <c r="J35" s="248">
        <f t="shared" si="3"/>
      </c>
      <c r="K35" s="248"/>
    </row>
    <row r="36">
      <c r="A36" s="246" t="s">
        <v>540</v>
      </c>
      <c r="B36" s="247" t="s">
        <v>567</v>
      </c>
      <c r="C36" s="246">
        <v>6</v>
      </c>
      <c r="D36" s="246">
        <v>4795.710000000001</v>
      </c>
      <c r="E36" s="246">
        <v>6211.5</v>
      </c>
      <c r="F36" s="246">
        <v>6</v>
      </c>
      <c r="G36" s="248">
        <f t="shared" si="84"/>
      </c>
      <c r="H36" s="248">
        <f t="shared" si="57"/>
      </c>
      <c r="I36" s="248">
        <f t="shared" si="30"/>
      </c>
      <c r="J36" s="248">
        <f t="shared" si="3"/>
      </c>
      <c r="K36" s="248"/>
    </row>
    <row r="37">
      <c r="A37" s="244" t="s">
        <v>548</v>
      </c>
      <c r="B37" s="244"/>
      <c r="C37" s="244">
        <f>SUM(C33:C36)</f>
      </c>
      <c r="D37" s="244">
        <f>SUM(D33:D36)</f>
      </c>
      <c r="E37" s="244">
        <f>SUM(E33:E36)</f>
      </c>
      <c r="F37" s="244">
        <f>SUM(F33:F36)</f>
      </c>
      <c r="G37" s="250">
        <f t="shared" si="84"/>
      </c>
      <c r="H37" s="250">
        <f t="shared" si="57"/>
      </c>
      <c r="I37" s="250">
        <f t="shared" si="30"/>
      </c>
      <c r="J37" s="250">
        <f t="shared" si="3"/>
      </c>
      <c r="K37" s="250"/>
    </row>
    <row r="38">
      <c r="A38" s="251" t="s">
        <v>549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</row>
    <row r="39">
      <c r="A39" s="252" t="s">
        <v>534</v>
      </c>
      <c r="B39" s="252" t="s">
        <v>550</v>
      </c>
      <c r="C39" s="252" t="s">
        <v>551</v>
      </c>
      <c r="D39" s="252" t="s">
        <v>552</v>
      </c>
      <c r="E39" s="252" t="s">
        <v>553</v>
      </c>
      <c r="F39" s="252" t="s">
        <v>554</v>
      </c>
      <c r="G39" s="252" t="s">
        <v>555</v>
      </c>
      <c r="H39" s="253" t="s">
        <v>556</v>
      </c>
      <c r="I39" s="253" t="s">
        <v>557</v>
      </c>
      <c r="J39" s="253" t="s">
        <v>558</v>
      </c>
      <c r="K39" s="253" t="s">
        <v>533</v>
      </c>
    </row>
    <row r="40">
      <c r="A40" s="254">
        <f>SUM(D33:D36)</f>
      </c>
      <c r="B40" s="254">
        <f>SUM(E33:E36)</f>
      </c>
      <c r="C40" s="255">
        <f>B40/((K40*300)+A40)</f>
      </c>
      <c r="D40" s="256">
        <f>A40/J40</f>
      </c>
      <c r="E40" s="255">
        <f>B40/J40</f>
      </c>
      <c r="F40" s="257">
        <f>J40/I40</f>
      </c>
      <c r="G40" s="257">
        <f>H40/J40</f>
      </c>
      <c r="H40" s="258">
        <v>1</v>
      </c>
      <c r="I40" s="258">
        <v>20</v>
      </c>
      <c r="J40" s="258">
        <f>F33+F34+F35+F36</f>
      </c>
      <c r="K40" s="258">
        <f>C37</f>
      </c>
    </row>
    <row r="41">
      <c r="A41" s="243" t="s">
        <v>568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</row>
    <row r="42">
      <c r="A42" s="244" t="s">
        <v>531</v>
      </c>
      <c r="B42" s="244" t="s">
        <v>532</v>
      </c>
      <c r="C42" s="244" t="s">
        <v>533</v>
      </c>
      <c r="D42" s="244" t="s">
        <v>534</v>
      </c>
      <c r="E42" s="244" t="s">
        <v>535</v>
      </c>
      <c r="F42" s="244" t="s">
        <v>536</v>
      </c>
      <c r="G42" s="244" t="s">
        <v>537</v>
      </c>
      <c r="H42" s="245">
        <v>8</v>
      </c>
      <c r="I42" s="244" t="s">
        <v>538</v>
      </c>
      <c r="J42" s="244" t="s">
        <v>539</v>
      </c>
      <c r="K42" s="244"/>
    </row>
    <row r="43">
      <c r="A43" s="246" t="s">
        <v>546</v>
      </c>
      <c r="B43" s="247" t="s">
        <v>541</v>
      </c>
      <c r="C43" s="246">
        <v>4</v>
      </c>
      <c r="D43" s="246">
        <v>4963.99</v>
      </c>
      <c r="E43" s="246">
        <v>4135.2</v>
      </c>
      <c r="F43" s="246">
        <v>5</v>
      </c>
      <c r="G43" s="248">
        <f t="shared" ref="G43:G47" si="85">E43/F43</f>
      </c>
      <c r="H43" s="248">
        <f t="shared" ref="H43:H47" si="58">D43/F43</f>
      </c>
      <c r="I43" s="248">
        <f t="shared" ref="I43:I47" si="31">E43/D43</f>
      </c>
      <c r="J43" s="248">
        <f t="shared" ref="J43:J47" si="4">D43/C43</f>
      </c>
      <c r="K43" s="248"/>
    </row>
    <row r="44">
      <c r="A44" s="246" t="s">
        <v>542</v>
      </c>
      <c r="B44" s="247" t="s">
        <v>543</v>
      </c>
      <c r="C44" s="246">
        <v>4</v>
      </c>
      <c r="D44" s="246">
        <v>1398.69</v>
      </c>
      <c r="E44" s="246">
        <v>7522.8</v>
      </c>
      <c r="F44" s="246">
        <v>4</v>
      </c>
      <c r="G44" s="248">
        <f t="shared" si="85"/>
      </c>
      <c r="H44" s="248">
        <f t="shared" si="58"/>
      </c>
      <c r="I44" s="248">
        <f t="shared" si="31"/>
      </c>
      <c r="J44" s="248">
        <f t="shared" si="4"/>
      </c>
      <c r="K44" s="248"/>
    </row>
    <row r="45">
      <c r="A45" s="246" t="s">
        <v>544</v>
      </c>
      <c r="B45" s="247" t="s">
        <v>545</v>
      </c>
      <c r="C45" s="246">
        <v>3</v>
      </c>
      <c r="D45" s="249">
        <v>1848.4199999999983</v>
      </c>
      <c r="E45" s="249">
        <v>1606.5999999999985</v>
      </c>
      <c r="F45" s="246">
        <v>3</v>
      </c>
      <c r="G45" s="248">
        <f t="shared" si="85"/>
      </c>
      <c r="H45" s="248">
        <f t="shared" si="58"/>
      </c>
      <c r="I45" s="248">
        <f t="shared" si="31"/>
      </c>
      <c r="J45" s="248">
        <f t="shared" si="4"/>
      </c>
      <c r="K45" s="248"/>
    </row>
    <row r="46">
      <c r="A46" s="246" t="s">
        <v>540</v>
      </c>
      <c r="B46" s="247" t="s">
        <v>547</v>
      </c>
      <c r="C46" s="246">
        <v>5</v>
      </c>
      <c r="D46" s="246">
        <v>6789.230000000001</v>
      </c>
      <c r="E46" s="246">
        <v>16189.199999999997</v>
      </c>
      <c r="F46" s="246">
        <v>11</v>
      </c>
      <c r="G46" s="248">
        <f t="shared" si="85"/>
      </c>
      <c r="H46" s="248">
        <f t="shared" si="58"/>
      </c>
      <c r="I46" s="248">
        <f t="shared" si="31"/>
      </c>
      <c r="J46" s="248">
        <f t="shared" si="4"/>
      </c>
      <c r="K46" s="248"/>
    </row>
    <row r="47">
      <c r="A47" s="244" t="s">
        <v>548</v>
      </c>
      <c r="B47" s="244"/>
      <c r="C47" s="244">
        <f>SUM(C43:C46)</f>
      </c>
      <c r="D47" s="244">
        <f>SUM(D43:D46)</f>
      </c>
      <c r="E47" s="244">
        <f>SUM(E43:E46)</f>
      </c>
      <c r="F47" s="244">
        <f>SUM(F43:F46)</f>
      </c>
      <c r="G47" s="250">
        <f t="shared" si="85"/>
      </c>
      <c r="H47" s="250">
        <f t="shared" si="58"/>
      </c>
      <c r="I47" s="250">
        <f t="shared" si="31"/>
      </c>
      <c r="J47" s="250">
        <f t="shared" si="4"/>
      </c>
      <c r="K47" s="250"/>
    </row>
    <row r="48">
      <c r="A48" s="251" t="s">
        <v>549</v>
      </c>
      <c r="B48" s="251"/>
      <c r="C48" s="251"/>
      <c r="D48" s="251"/>
      <c r="E48" s="251"/>
      <c r="F48" s="251"/>
      <c r="G48" s="251"/>
      <c r="H48" s="251"/>
      <c r="I48" s="251"/>
      <c r="J48" s="251"/>
      <c r="K48" s="251"/>
    </row>
    <row r="49">
      <c r="A49" s="252" t="s">
        <v>534</v>
      </c>
      <c r="B49" s="252" t="s">
        <v>550</v>
      </c>
      <c r="C49" s="252" t="s">
        <v>551</v>
      </c>
      <c r="D49" s="252" t="s">
        <v>552</v>
      </c>
      <c r="E49" s="252" t="s">
        <v>553</v>
      </c>
      <c r="F49" s="252" t="s">
        <v>554</v>
      </c>
      <c r="G49" s="252" t="s">
        <v>555</v>
      </c>
      <c r="H49" s="253" t="s">
        <v>556</v>
      </c>
      <c r="I49" s="253" t="s">
        <v>557</v>
      </c>
      <c r="J49" s="253" t="s">
        <v>558</v>
      </c>
      <c r="K49" s="253" t="s">
        <v>533</v>
      </c>
    </row>
    <row r="50">
      <c r="A50" s="254">
        <f>SUM(D43:D46)</f>
      </c>
      <c r="B50" s="254">
        <f>SUM(E43:E46)</f>
      </c>
      <c r="C50" s="255">
        <f>B50/((K50*300)+A50)</f>
      </c>
      <c r="D50" s="256">
        <f>A50/J50</f>
      </c>
      <c r="E50" s="255">
        <f>B50/J50</f>
      </c>
      <c r="F50" s="257">
        <f>J50/I50</f>
      </c>
      <c r="G50" s="257">
        <f>H50/J50</f>
      </c>
      <c r="H50" s="258">
        <v>4</v>
      </c>
      <c r="I50" s="258">
        <v>33</v>
      </c>
      <c r="J50" s="258">
        <f>F43+F44+F45+F46</f>
      </c>
      <c r="K50" s="258">
        <f>C47</f>
      </c>
    </row>
    <row r="51">
      <c r="A51" s="243" t="s">
        <v>569</v>
      </c>
      <c r="B51" s="243"/>
      <c r="C51" s="243"/>
      <c r="D51" s="243"/>
      <c r="E51" s="243"/>
      <c r="F51" s="243"/>
      <c r="G51" s="243"/>
      <c r="H51" s="243"/>
      <c r="I51" s="243"/>
      <c r="J51" s="243"/>
      <c r="K51" s="243"/>
    </row>
    <row r="52">
      <c r="A52" s="244" t="s">
        <v>531</v>
      </c>
      <c r="B52" s="244" t="s">
        <v>532</v>
      </c>
      <c r="C52" s="244" t="s">
        <v>533</v>
      </c>
      <c r="D52" s="244" t="s">
        <v>534</v>
      </c>
      <c r="E52" s="244" t="s">
        <v>535</v>
      </c>
      <c r="F52" s="244" t="s">
        <v>536</v>
      </c>
      <c r="G52" s="244" t="s">
        <v>537</v>
      </c>
      <c r="H52" s="245">
        <v>8</v>
      </c>
      <c r="I52" s="244" t="s">
        <v>538</v>
      </c>
      <c r="J52" s="244" t="s">
        <v>539</v>
      </c>
      <c r="K52" s="244"/>
    </row>
    <row r="53">
      <c r="A53" s="246" t="s">
        <v>546</v>
      </c>
      <c r="B53" s="247" t="s">
        <v>541</v>
      </c>
      <c r="C53" s="246">
        <v>4</v>
      </c>
      <c r="D53" s="246">
        <v>4731.55</v>
      </c>
      <c r="E53" s="246">
        <v>2088</v>
      </c>
      <c r="F53" s="246">
        <v>2</v>
      </c>
      <c r="G53" s="248">
        <f t="shared" ref="G53:G57" si="86">E53/F53</f>
      </c>
      <c r="H53" s="248">
        <f t="shared" ref="H53:H57" si="59">D53/F53</f>
      </c>
      <c r="I53" s="248">
        <f t="shared" ref="I53:I57" si="32">E53/D53</f>
      </c>
      <c r="J53" s="248">
        <f t="shared" ref="J53:J57" si="5">D53/C53</f>
      </c>
      <c r="K53" s="248"/>
    </row>
    <row r="54">
      <c r="A54" s="246" t="s">
        <v>544</v>
      </c>
      <c r="B54" s="247" t="s">
        <v>570</v>
      </c>
      <c r="C54" s="246">
        <v>3</v>
      </c>
      <c r="D54" s="246">
        <v>1290.24</v>
      </c>
      <c r="E54" s="246">
        <v>0</v>
      </c>
      <c r="F54" s="246">
        <v>0</v>
      </c>
      <c r="G54" s="248">
        <f t="shared" si="86"/>
      </c>
      <c r="H54" s="248">
        <f t="shared" si="59"/>
      </c>
      <c r="I54" s="248">
        <f t="shared" si="32"/>
      </c>
      <c r="J54" s="248">
        <f t="shared" si="5"/>
      </c>
      <c r="K54" s="248"/>
    </row>
    <row r="55">
      <c r="A55" s="246" t="s">
        <v>542</v>
      </c>
      <c r="B55" s="247" t="s">
        <v>571</v>
      </c>
      <c r="C55" s="246">
        <v>4</v>
      </c>
      <c r="D55" s="249">
        <v>2601.73</v>
      </c>
      <c r="E55" s="249">
        <v>6332.4</v>
      </c>
      <c r="F55" s="246">
        <v>4</v>
      </c>
      <c r="G55" s="248">
        <f t="shared" si="86"/>
      </c>
      <c r="H55" s="248">
        <f t="shared" si="59"/>
      </c>
      <c r="I55" s="248">
        <f t="shared" si="32"/>
      </c>
      <c r="J55" s="248">
        <f t="shared" si="5"/>
      </c>
      <c r="K55" s="248"/>
    </row>
    <row r="56">
      <c r="A56" s="246" t="s">
        <v>540</v>
      </c>
      <c r="B56" s="247" t="s">
        <v>547</v>
      </c>
      <c r="C56" s="246">
        <v>5</v>
      </c>
      <c r="D56" s="246">
        <v>14618.79</v>
      </c>
      <c r="E56" s="246">
        <v>26663.800000000003</v>
      </c>
      <c r="F56" s="246">
        <v>21</v>
      </c>
      <c r="G56" s="248">
        <f t="shared" si="86"/>
      </c>
      <c r="H56" s="248">
        <f t="shared" si="59"/>
      </c>
      <c r="I56" s="248">
        <f t="shared" si="32"/>
      </c>
      <c r="J56" s="248">
        <f t="shared" si="5"/>
      </c>
      <c r="K56" s="248"/>
    </row>
    <row r="57">
      <c r="A57" s="244" t="s">
        <v>548</v>
      </c>
      <c r="B57" s="244"/>
      <c r="C57" s="244">
        <f>SUM(C53:C56)</f>
      </c>
      <c r="D57" s="244">
        <f>SUM(D53:D56)</f>
      </c>
      <c r="E57" s="244">
        <f>SUM(E53:E56)</f>
      </c>
      <c r="F57" s="244">
        <f>SUM(F53:F56)</f>
      </c>
      <c r="G57" s="250">
        <f t="shared" si="86"/>
      </c>
      <c r="H57" s="250">
        <f t="shared" si="59"/>
      </c>
      <c r="I57" s="250">
        <f t="shared" si="32"/>
      </c>
      <c r="J57" s="250">
        <f t="shared" si="5"/>
      </c>
      <c r="K57" s="250"/>
    </row>
    <row r="58">
      <c r="A58" s="251" t="s">
        <v>549</v>
      </c>
      <c r="B58" s="251"/>
      <c r="C58" s="251"/>
      <c r="D58" s="251"/>
      <c r="E58" s="251"/>
      <c r="F58" s="251"/>
      <c r="G58" s="251"/>
      <c r="H58" s="251"/>
      <c r="I58" s="251"/>
      <c r="J58" s="251"/>
      <c r="K58" s="251"/>
    </row>
    <row r="59">
      <c r="A59" s="252" t="s">
        <v>534</v>
      </c>
      <c r="B59" s="252" t="s">
        <v>550</v>
      </c>
      <c r="C59" s="252" t="s">
        <v>551</v>
      </c>
      <c r="D59" s="252" t="s">
        <v>552</v>
      </c>
      <c r="E59" s="252" t="s">
        <v>553</v>
      </c>
      <c r="F59" s="252" t="s">
        <v>554</v>
      </c>
      <c r="G59" s="252" t="s">
        <v>555</v>
      </c>
      <c r="H59" s="253" t="s">
        <v>556</v>
      </c>
      <c r="I59" s="253" t="s">
        <v>557</v>
      </c>
      <c r="J59" s="253" t="s">
        <v>558</v>
      </c>
      <c r="K59" s="253" t="s">
        <v>533</v>
      </c>
    </row>
    <row r="60">
      <c r="A60" s="254">
        <f>SUM(D53:D56)</f>
      </c>
      <c r="B60" s="254">
        <f>SUM(E53:E56)</f>
      </c>
      <c r="C60" s="255">
        <f>B60/((K60*300)+A60)</f>
      </c>
      <c r="D60" s="256">
        <f>A60/J60</f>
      </c>
      <c r="E60" s="255">
        <f>B60/J60</f>
      </c>
      <c r="F60" s="257">
        <f>J60/I60</f>
      </c>
      <c r="G60" s="257">
        <f>H60/J60</f>
      </c>
      <c r="H60" s="258">
        <v>1</v>
      </c>
      <c r="I60" s="258">
        <v>38</v>
      </c>
      <c r="J60" s="258">
        <f>F53+F54+F55+F56</f>
      </c>
      <c r="K60" s="258">
        <f>C57</f>
      </c>
    </row>
    <row r="61">
      <c r="A61" s="243" t="s">
        <v>572</v>
      </c>
      <c r="B61" s="243"/>
      <c r="C61" s="243"/>
      <c r="D61" s="243"/>
      <c r="E61" s="243"/>
      <c r="F61" s="243"/>
      <c r="G61" s="243"/>
      <c r="H61" s="243"/>
      <c r="I61" s="243"/>
      <c r="J61" s="243"/>
      <c r="K61" s="243"/>
    </row>
    <row r="62">
      <c r="A62" s="244" t="s">
        <v>531</v>
      </c>
      <c r="B62" s="244" t="s">
        <v>532</v>
      </c>
      <c r="C62" s="244" t="s">
        <v>533</v>
      </c>
      <c r="D62" s="244" t="s">
        <v>534</v>
      </c>
      <c r="E62" s="244" t="s">
        <v>535</v>
      </c>
      <c r="F62" s="244" t="s">
        <v>536</v>
      </c>
      <c r="G62" s="244" t="s">
        <v>537</v>
      </c>
      <c r="H62" s="245" t="s">
        <v>573</v>
      </c>
      <c r="I62" s="244" t="s">
        <v>538</v>
      </c>
      <c r="J62" s="244" t="s">
        <v>539</v>
      </c>
      <c r="K62" s="244"/>
    </row>
    <row r="63">
      <c r="A63" s="246" t="s">
        <v>546</v>
      </c>
      <c r="B63" s="247" t="s">
        <v>541</v>
      </c>
      <c r="C63" s="246">
        <v>4</v>
      </c>
      <c r="D63" s="246">
        <v>9000.23</v>
      </c>
      <c r="E63" s="246">
        <v>12517.6</v>
      </c>
      <c r="F63" s="246">
        <v>11</v>
      </c>
      <c r="G63" s="248">
        <f t="shared" ref="G63:G67" si="87">E63/F63</f>
      </c>
      <c r="H63" s="248">
        <f t="shared" ref="H63:H67" si="60">D63/F63</f>
      </c>
      <c r="I63" s="248">
        <f t="shared" ref="I63:I67" si="33">E63/D63</f>
      </c>
      <c r="J63" s="248">
        <f t="shared" ref="J63:J67" si="6">D63/C63</f>
      </c>
      <c r="K63" s="248"/>
    </row>
    <row r="64">
      <c r="A64" s="246" t="s">
        <v>544</v>
      </c>
      <c r="B64" s="247" t="s">
        <v>570</v>
      </c>
      <c r="C64" s="246">
        <v>3</v>
      </c>
      <c r="D64" s="246">
        <v>3264.86</v>
      </c>
      <c r="E64" s="246">
        <v>2088</v>
      </c>
      <c r="F64" s="246">
        <v>2</v>
      </c>
      <c r="G64" s="248">
        <f t="shared" si="87"/>
      </c>
      <c r="H64" s="248">
        <f t="shared" si="60"/>
      </c>
      <c r="I64" s="248">
        <f t="shared" si="33"/>
      </c>
      <c r="J64" s="248">
        <f t="shared" si="6"/>
      </c>
      <c r="K64" s="248"/>
    </row>
    <row r="65">
      <c r="A65" s="246" t="s">
        <v>542</v>
      </c>
      <c r="B65" s="247" t="s">
        <v>571</v>
      </c>
      <c r="C65" s="246">
        <v>4</v>
      </c>
      <c r="D65" s="249">
        <v>4786.56</v>
      </c>
      <c r="E65" s="249">
        <v>4526.8</v>
      </c>
      <c r="F65" s="246">
        <v>4</v>
      </c>
      <c r="G65" s="248">
        <f t="shared" si="87"/>
      </c>
      <c r="H65" s="248">
        <f t="shared" si="60"/>
      </c>
      <c r="I65" s="248">
        <f t="shared" si="33"/>
      </c>
      <c r="J65" s="248">
        <f t="shared" si="6"/>
      </c>
      <c r="K65" s="248"/>
    </row>
    <row r="66">
      <c r="A66" s="246" t="s">
        <v>540</v>
      </c>
      <c r="B66" s="247" t="s">
        <v>547</v>
      </c>
      <c r="C66" s="246">
        <v>5</v>
      </c>
      <c r="D66" s="246">
        <v>7010.13</v>
      </c>
      <c r="E66" s="246">
        <v>10757.1</v>
      </c>
      <c r="F66" s="246">
        <v>9</v>
      </c>
      <c r="G66" s="248">
        <f t="shared" si="87"/>
      </c>
      <c r="H66" s="248">
        <f t="shared" si="60"/>
      </c>
      <c r="I66" s="248">
        <f t="shared" si="33"/>
      </c>
      <c r="J66" s="248">
        <f t="shared" si="6"/>
      </c>
      <c r="K66" s="248"/>
    </row>
    <row r="67">
      <c r="A67" s="244" t="s">
        <v>548</v>
      </c>
      <c r="B67" s="244"/>
      <c r="C67" s="244">
        <f>SUM(C63:C66)</f>
      </c>
      <c r="D67" s="244">
        <f>SUM(D63:D66)</f>
      </c>
      <c r="E67" s="244">
        <f>SUM(E63:E66)</f>
      </c>
      <c r="F67" s="244">
        <f>SUM(F63:F66)</f>
      </c>
      <c r="G67" s="250">
        <f t="shared" si="87"/>
      </c>
      <c r="H67" s="250">
        <f t="shared" si="60"/>
      </c>
      <c r="I67" s="250">
        <f t="shared" si="33"/>
      </c>
      <c r="J67" s="250">
        <f t="shared" si="6"/>
      </c>
      <c r="K67" s="250"/>
    </row>
    <row r="68">
      <c r="A68" s="251" t="s">
        <v>549</v>
      </c>
      <c r="B68" s="251"/>
      <c r="C68" s="251"/>
      <c r="D68" s="251"/>
      <c r="E68" s="251"/>
      <c r="F68" s="251"/>
      <c r="G68" s="251"/>
      <c r="H68" s="251"/>
      <c r="I68" s="251"/>
      <c r="J68" s="251"/>
      <c r="K68" s="251"/>
    </row>
    <row r="69">
      <c r="A69" s="252" t="s">
        <v>534</v>
      </c>
      <c r="B69" s="252" t="s">
        <v>550</v>
      </c>
      <c r="C69" s="252" t="s">
        <v>551</v>
      </c>
      <c r="D69" s="252" t="s">
        <v>552</v>
      </c>
      <c r="E69" s="252" t="s">
        <v>553</v>
      </c>
      <c r="F69" s="252" t="s">
        <v>554</v>
      </c>
      <c r="G69" s="252" t="s">
        <v>555</v>
      </c>
      <c r="H69" s="253" t="s">
        <v>556</v>
      </c>
      <c r="I69" s="253" t="s">
        <v>557</v>
      </c>
      <c r="J69" s="253" t="s">
        <v>558</v>
      </c>
      <c r="K69" s="253" t="s">
        <v>533</v>
      </c>
    </row>
    <row r="70">
      <c r="A70" s="254">
        <f>SUM(D63:D66)</f>
      </c>
      <c r="B70" s="254">
        <f>SUM(E63:E66)</f>
      </c>
      <c r="C70" s="255">
        <f>B70/((K70*300)+A70)</f>
      </c>
      <c r="D70" s="256">
        <f>A70/J70</f>
      </c>
      <c r="E70" s="255">
        <f>B70/J70</f>
      </c>
      <c r="F70" s="257">
        <f>J70/I70</f>
      </c>
      <c r="G70" s="257">
        <f>H70/J70</f>
      </c>
      <c r="H70" s="258">
        <v>5</v>
      </c>
      <c r="I70" s="258">
        <v>47</v>
      </c>
      <c r="J70" s="258">
        <f>F63+F64+F65+F66</f>
      </c>
      <c r="K70" s="258">
        <f>C67</f>
      </c>
    </row>
    <row r="71">
      <c r="A71" s="243" t="s">
        <v>574</v>
      </c>
      <c r="B71" s="243"/>
      <c r="C71" s="243"/>
      <c r="D71" s="243"/>
      <c r="E71" s="243"/>
      <c r="F71" s="243"/>
      <c r="G71" s="243"/>
      <c r="H71" s="243"/>
      <c r="I71" s="243"/>
      <c r="J71" s="243"/>
      <c r="K71" s="243"/>
    </row>
    <row r="72">
      <c r="A72" s="244" t="s">
        <v>531</v>
      </c>
      <c r="B72" s="244" t="s">
        <v>532</v>
      </c>
      <c r="C72" s="244" t="s">
        <v>533</v>
      </c>
      <c r="D72" s="244" t="s">
        <v>534</v>
      </c>
      <c r="E72" s="244" t="s">
        <v>535</v>
      </c>
      <c r="F72" s="244" t="s">
        <v>536</v>
      </c>
      <c r="G72" s="244" t="s">
        <v>537</v>
      </c>
      <c r="H72" s="245" t="s">
        <v>573</v>
      </c>
      <c r="I72" s="244" t="s">
        <v>538</v>
      </c>
      <c r="J72" s="244" t="s">
        <v>539</v>
      </c>
      <c r="K72" s="244"/>
    </row>
    <row r="73">
      <c r="A73" s="246" t="s">
        <v>546</v>
      </c>
      <c r="B73" s="247" t="s">
        <v>541</v>
      </c>
      <c r="C73" s="246">
        <v>4</v>
      </c>
      <c r="D73" s="246">
        <v>3690.25</v>
      </c>
      <c r="E73" s="246">
        <v>4883.4</v>
      </c>
      <c r="F73" s="246">
        <v>5</v>
      </c>
      <c r="G73" s="248">
        <f t="shared" ref="G73:G77" si="88">E73/F73</f>
      </c>
      <c r="H73" s="248">
        <f t="shared" ref="H73:H77" si="61">D73/F73</f>
      </c>
      <c r="I73" s="248">
        <f t="shared" ref="I73:I77" si="34">E73/D73</f>
      </c>
      <c r="J73" s="248">
        <f t="shared" ref="J73:J77" si="7">D73/C73</f>
      </c>
      <c r="K73" s="248"/>
    </row>
    <row r="74">
      <c r="A74" s="246" t="s">
        <v>544</v>
      </c>
      <c r="B74" s="247" t="s">
        <v>570</v>
      </c>
      <c r="C74" s="246">
        <v>3</v>
      </c>
      <c r="D74" s="246">
        <v>2425.25</v>
      </c>
      <c r="E74" s="246">
        <v>8909.800000000001</v>
      </c>
      <c r="F74" s="246">
        <v>5</v>
      </c>
      <c r="G74" s="248">
        <f t="shared" si="88"/>
      </c>
      <c r="H74" s="248">
        <f t="shared" si="61"/>
      </c>
      <c r="I74" s="248">
        <f t="shared" si="34"/>
      </c>
      <c r="J74" s="248">
        <f t="shared" si="7"/>
      </c>
      <c r="K74" s="248"/>
    </row>
    <row r="75">
      <c r="A75" s="246" t="s">
        <v>542</v>
      </c>
      <c r="B75" s="247" t="s">
        <v>571</v>
      </c>
      <c r="C75" s="246">
        <v>4</v>
      </c>
      <c r="D75" s="249">
        <v>5224.2</v>
      </c>
      <c r="E75" s="249">
        <v>13179</v>
      </c>
      <c r="F75" s="246">
        <v>11</v>
      </c>
      <c r="G75" s="248">
        <f t="shared" si="88"/>
      </c>
      <c r="H75" s="248">
        <f t="shared" si="61"/>
      </c>
      <c r="I75" s="248">
        <f t="shared" si="34"/>
      </c>
      <c r="J75" s="248">
        <f t="shared" si="7"/>
      </c>
      <c r="K75" s="248"/>
    </row>
    <row r="76">
      <c r="A76" s="246" t="s">
        <v>540</v>
      </c>
      <c r="B76" s="247" t="s">
        <v>547</v>
      </c>
      <c r="C76" s="246">
        <v>5</v>
      </c>
      <c r="D76" s="246">
        <v>13048.52</v>
      </c>
      <c r="E76" s="246">
        <v>10050.8</v>
      </c>
      <c r="F76" s="246">
        <v>12</v>
      </c>
      <c r="G76" s="248">
        <f t="shared" si="88"/>
      </c>
      <c r="H76" s="248">
        <f t="shared" si="61"/>
      </c>
      <c r="I76" s="248">
        <f t="shared" si="34"/>
      </c>
      <c r="J76" s="248">
        <f t="shared" si="7"/>
      </c>
      <c r="K76" s="248"/>
    </row>
    <row r="77">
      <c r="A77" s="244" t="s">
        <v>548</v>
      </c>
      <c r="B77" s="244"/>
      <c r="C77" s="244">
        <f>SUM(C73:C76)</f>
      </c>
      <c r="D77" s="244">
        <f>SUM(D73:D76)</f>
      </c>
      <c r="E77" s="244">
        <f>SUM(E73:E76)</f>
      </c>
      <c r="F77" s="244">
        <f>SUM(F73:F76)</f>
      </c>
      <c r="G77" s="250">
        <f t="shared" si="88"/>
      </c>
      <c r="H77" s="250">
        <f t="shared" si="61"/>
      </c>
      <c r="I77" s="250">
        <f t="shared" si="34"/>
      </c>
      <c r="J77" s="250">
        <f t="shared" si="7"/>
      </c>
      <c r="K77" s="250"/>
    </row>
    <row r="78">
      <c r="A78" s="251" t="s">
        <v>549</v>
      </c>
      <c r="B78" s="251"/>
      <c r="C78" s="251"/>
      <c r="D78" s="251"/>
      <c r="E78" s="251"/>
      <c r="F78" s="251"/>
      <c r="G78" s="251"/>
      <c r="H78" s="251"/>
      <c r="I78" s="251"/>
      <c r="J78" s="251"/>
      <c r="K78" s="251"/>
    </row>
    <row r="79">
      <c r="A79" s="252" t="s">
        <v>534</v>
      </c>
      <c r="B79" s="252" t="s">
        <v>550</v>
      </c>
      <c r="C79" s="252" t="s">
        <v>551</v>
      </c>
      <c r="D79" s="252" t="s">
        <v>552</v>
      </c>
      <c r="E79" s="252" t="s">
        <v>553</v>
      </c>
      <c r="F79" s="252" t="s">
        <v>554</v>
      </c>
      <c r="G79" s="252" t="s">
        <v>555</v>
      </c>
      <c r="H79" s="253" t="s">
        <v>556</v>
      </c>
      <c r="I79" s="253" t="s">
        <v>557</v>
      </c>
      <c r="J79" s="253" t="s">
        <v>558</v>
      </c>
      <c r="K79" s="253" t="s">
        <v>533</v>
      </c>
    </row>
    <row r="80">
      <c r="A80" s="254">
        <f>SUM(D73:D76)</f>
      </c>
      <c r="B80" s="254">
        <f>SUM(E73:E76)</f>
      </c>
      <c r="C80" s="255">
        <f>B80/((K80*300)+A80)</f>
      </c>
      <c r="D80" s="256">
        <f>A80/J80</f>
      </c>
      <c r="E80" s="255">
        <f>B80/J80</f>
      </c>
      <c r="F80" s="257">
        <f>J80/I80</f>
      </c>
      <c r="G80" s="257">
        <f>H80/J80</f>
      </c>
      <c r="H80" s="258">
        <v>1</v>
      </c>
      <c r="I80" s="258">
        <v>47</v>
      </c>
      <c r="J80" s="258">
        <f>F73+F74+F75+F76</f>
      </c>
      <c r="K80" s="258">
        <f>C77</f>
      </c>
    </row>
    <row r="81">
      <c r="A81" s="243" t="s">
        <v>575</v>
      </c>
      <c r="B81" s="243"/>
      <c r="C81" s="243"/>
      <c r="D81" s="243"/>
      <c r="E81" s="243"/>
      <c r="F81" s="243"/>
      <c r="G81" s="243"/>
      <c r="H81" s="243"/>
      <c r="I81" s="243"/>
      <c r="J81" s="243"/>
      <c r="K81" s="243"/>
    </row>
    <row r="82">
      <c r="A82" s="244" t="s">
        <v>531</v>
      </c>
      <c r="B82" s="244" t="s">
        <v>532</v>
      </c>
      <c r="C82" s="244" t="s">
        <v>533</v>
      </c>
      <c r="D82" s="244" t="s">
        <v>534</v>
      </c>
      <c r="E82" s="244" t="s">
        <v>535</v>
      </c>
      <c r="F82" s="244" t="s">
        <v>536</v>
      </c>
      <c r="G82" s="244" t="s">
        <v>537</v>
      </c>
      <c r="H82" s="245" t="s">
        <v>573</v>
      </c>
      <c r="I82" s="244" t="s">
        <v>538</v>
      </c>
      <c r="J82" s="244" t="s">
        <v>539</v>
      </c>
      <c r="K82" s="244"/>
    </row>
    <row r="83">
      <c r="A83" s="246" t="s">
        <v>546</v>
      </c>
      <c r="B83" s="247" t="s">
        <v>541</v>
      </c>
      <c r="C83" s="246">
        <v>4</v>
      </c>
      <c r="D83" s="246">
        <v>5451.57</v>
      </c>
      <c r="E83" s="246">
        <v>1562.4</v>
      </c>
      <c r="F83" s="246">
        <v>3</v>
      </c>
      <c r="G83" s="248">
        <f t="shared" ref="G83:G87" si="89">E83/F83</f>
      </c>
      <c r="H83" s="248">
        <f t="shared" ref="H83:H87" si="62">D83/F83</f>
      </c>
      <c r="I83" s="248">
        <f t="shared" ref="I83:I87" si="35">E83/D83</f>
      </c>
      <c r="J83" s="248">
        <f t="shared" ref="J83:J87" si="8">D83/C83</f>
      </c>
      <c r="K83" s="248"/>
    </row>
    <row r="84">
      <c r="A84" s="246" t="s">
        <v>542</v>
      </c>
      <c r="B84" s="247" t="s">
        <v>543</v>
      </c>
      <c r="C84" s="246">
        <v>4</v>
      </c>
      <c r="D84" s="246">
        <v>4284.850000000002</v>
      </c>
      <c r="E84" s="246">
        <v>4261.200000000001</v>
      </c>
      <c r="F84" s="246">
        <v>5</v>
      </c>
      <c r="G84" s="248">
        <f t="shared" si="89"/>
      </c>
      <c r="H84" s="248">
        <f t="shared" si="62"/>
      </c>
      <c r="I84" s="248">
        <f t="shared" si="35"/>
      </c>
      <c r="J84" s="248">
        <f t="shared" si="8"/>
      </c>
      <c r="K84" s="248"/>
    </row>
    <row r="85">
      <c r="A85" s="246" t="s">
        <v>560</v>
      </c>
      <c r="B85" s="247" t="s">
        <v>576</v>
      </c>
      <c r="C85" s="246">
        <v>4</v>
      </c>
      <c r="D85" s="249">
        <v>4814.07</v>
      </c>
      <c r="E85" s="249">
        <v>13863.6</v>
      </c>
      <c r="F85" s="246">
        <v>6</v>
      </c>
      <c r="G85" s="248">
        <f t="shared" si="89"/>
      </c>
      <c r="H85" s="248">
        <f t="shared" si="62"/>
      </c>
      <c r="I85" s="248">
        <f t="shared" si="35"/>
      </c>
      <c r="J85" s="248">
        <f t="shared" si="8"/>
      </c>
      <c r="K85" s="248"/>
    </row>
    <row r="86">
      <c r="A86" s="246" t="s">
        <v>540</v>
      </c>
      <c r="B86" s="247" t="s">
        <v>577</v>
      </c>
      <c r="C86" s="246">
        <v>4</v>
      </c>
      <c r="D86" s="246">
        <v>7246.139999999999</v>
      </c>
      <c r="E86" s="246">
        <v>17897.499999999996</v>
      </c>
      <c r="F86" s="246">
        <v>14</v>
      </c>
      <c r="G86" s="248">
        <f t="shared" si="89"/>
      </c>
      <c r="H86" s="248">
        <f t="shared" si="62"/>
      </c>
      <c r="I86" s="248">
        <f t="shared" si="35"/>
      </c>
      <c r="J86" s="248">
        <f t="shared" si="8"/>
      </c>
      <c r="K86" s="248"/>
    </row>
    <row r="87">
      <c r="A87" s="244" t="s">
        <v>548</v>
      </c>
      <c r="B87" s="244"/>
      <c r="C87" s="244">
        <f>SUM(C83:C86)</f>
      </c>
      <c r="D87" s="244">
        <f>SUM(D83:D86)</f>
      </c>
      <c r="E87" s="244">
        <f>SUM(E83:E86)</f>
      </c>
      <c r="F87" s="244">
        <f>SUM(F83:F86)</f>
      </c>
      <c r="G87" s="250">
        <f t="shared" si="89"/>
      </c>
      <c r="H87" s="250">
        <f t="shared" si="62"/>
      </c>
      <c r="I87" s="250">
        <f t="shared" si="35"/>
      </c>
      <c r="J87" s="250">
        <f t="shared" si="8"/>
      </c>
      <c r="K87" s="250"/>
    </row>
    <row r="88">
      <c r="A88" s="251" t="s">
        <v>549</v>
      </c>
      <c r="B88" s="251"/>
      <c r="C88" s="251"/>
      <c r="D88" s="251"/>
      <c r="E88" s="251"/>
      <c r="F88" s="251"/>
      <c r="G88" s="251"/>
      <c r="H88" s="251"/>
      <c r="I88" s="251"/>
      <c r="J88" s="251"/>
      <c r="K88" s="251"/>
    </row>
    <row r="89">
      <c r="A89" s="252" t="s">
        <v>534</v>
      </c>
      <c r="B89" s="252" t="s">
        <v>550</v>
      </c>
      <c r="C89" s="252" t="s">
        <v>551</v>
      </c>
      <c r="D89" s="252" t="s">
        <v>552</v>
      </c>
      <c r="E89" s="252" t="s">
        <v>553</v>
      </c>
      <c r="F89" s="252" t="s">
        <v>554</v>
      </c>
      <c r="G89" s="252" t="s">
        <v>555</v>
      </c>
      <c r="H89" s="253" t="s">
        <v>556</v>
      </c>
      <c r="I89" s="253" t="s">
        <v>557</v>
      </c>
      <c r="J89" s="253" t="s">
        <v>558</v>
      </c>
      <c r="K89" s="253" t="s">
        <v>533</v>
      </c>
    </row>
    <row r="90">
      <c r="A90" s="254">
        <f>SUM(D83:D86)</f>
      </c>
      <c r="B90" s="254">
        <f>SUM(E83:E86)</f>
      </c>
      <c r="C90" s="255">
        <f>B90/((K90*300)+A90)</f>
      </c>
      <c r="D90" s="256">
        <f>A90/J90</f>
      </c>
      <c r="E90" s="255">
        <f>B90/J90</f>
      </c>
      <c r="F90" s="257">
        <f>J90/I90</f>
      </c>
      <c r="G90" s="257">
        <f>H90/J90</f>
      </c>
      <c r="H90" s="258">
        <v>5</v>
      </c>
      <c r="I90" s="258">
        <v>37</v>
      </c>
      <c r="J90" s="258">
        <f>F83+F84+F85+F86</f>
      </c>
      <c r="K90" s="258">
        <f>C87</f>
      </c>
    </row>
    <row r="91">
      <c r="A91" s="243" t="s">
        <v>578</v>
      </c>
      <c r="B91" s="243"/>
      <c r="C91" s="243"/>
      <c r="D91" s="243"/>
      <c r="E91" s="243"/>
      <c r="F91" s="243"/>
      <c r="G91" s="243"/>
      <c r="H91" s="243"/>
      <c r="I91" s="243"/>
      <c r="J91" s="243"/>
      <c r="K91" s="243"/>
    </row>
    <row r="92">
      <c r="A92" s="244" t="s">
        <v>531</v>
      </c>
      <c r="B92" s="244" t="s">
        <v>532</v>
      </c>
      <c r="C92" s="244" t="s">
        <v>533</v>
      </c>
      <c r="D92" s="244" t="s">
        <v>534</v>
      </c>
      <c r="E92" s="244" t="s">
        <v>535</v>
      </c>
      <c r="F92" s="244" t="s">
        <v>536</v>
      </c>
      <c r="G92" s="244" t="s">
        <v>537</v>
      </c>
      <c r="H92" s="245" t="s">
        <v>573</v>
      </c>
      <c r="I92" s="244" t="s">
        <v>538</v>
      </c>
      <c r="J92" s="244" t="s">
        <v>539</v>
      </c>
      <c r="K92" s="244"/>
    </row>
    <row r="93">
      <c r="A93" s="246" t="s">
        <v>546</v>
      </c>
      <c r="B93" s="247" t="s">
        <v>541</v>
      </c>
      <c r="C93" s="246">
        <v>4</v>
      </c>
      <c r="D93" s="246">
        <v>3374.8100000000004</v>
      </c>
      <c r="E93" s="246">
        <v>1217.8</v>
      </c>
      <c r="F93" s="246">
        <v>2</v>
      </c>
      <c r="G93" s="248">
        <f t="shared" ref="G93:G97" si="90">E93/F93</f>
      </c>
      <c r="H93" s="248">
        <f t="shared" ref="H93:H97" si="63">D93/F93</f>
      </c>
      <c r="I93" s="248">
        <f t="shared" ref="I93:I97" si="36">E93/D93</f>
      </c>
      <c r="J93" s="248">
        <f t="shared" ref="J93:J97" si="9">D93/C93</f>
      </c>
      <c r="K93" s="248"/>
    </row>
    <row r="94">
      <c r="A94" s="246" t="s">
        <v>542</v>
      </c>
      <c r="B94" s="247" t="s">
        <v>543</v>
      </c>
      <c r="C94" s="246">
        <v>4</v>
      </c>
      <c r="D94" s="246">
        <v>3463.62</v>
      </c>
      <c r="E94" s="246">
        <v>2859.6000000000004</v>
      </c>
      <c r="F94" s="246">
        <v>3</v>
      </c>
      <c r="G94" s="248">
        <f t="shared" si="90"/>
      </c>
      <c r="H94" s="248">
        <f t="shared" si="63"/>
      </c>
      <c r="I94" s="248">
        <f t="shared" si="36"/>
      </c>
      <c r="J94" s="248">
        <f t="shared" si="9"/>
      </c>
      <c r="K94" s="248"/>
    </row>
    <row r="95">
      <c r="A95" s="246" t="s">
        <v>560</v>
      </c>
      <c r="B95" s="247" t="s">
        <v>576</v>
      </c>
      <c r="C95" s="246">
        <v>4</v>
      </c>
      <c r="D95" s="249">
        <v>4703.59</v>
      </c>
      <c r="E95" s="249">
        <v>8403.599999999999</v>
      </c>
      <c r="F95" s="246">
        <v>5</v>
      </c>
      <c r="G95" s="248">
        <f t="shared" si="90"/>
      </c>
      <c r="H95" s="248">
        <f t="shared" si="63"/>
      </c>
      <c r="I95" s="248">
        <f t="shared" si="36"/>
      </c>
      <c r="J95" s="248">
        <f t="shared" si="9"/>
      </c>
      <c r="K95" s="248"/>
    </row>
    <row r="96">
      <c r="A96" s="246" t="s">
        <v>540</v>
      </c>
      <c r="B96" s="247" t="s">
        <v>577</v>
      </c>
      <c r="C96" s="246">
        <v>4</v>
      </c>
      <c r="D96" s="246">
        <v>5706.079999999998</v>
      </c>
      <c r="E96" s="246">
        <v>3478.2000000000007</v>
      </c>
      <c r="F96" s="246">
        <v>4</v>
      </c>
      <c r="G96" s="248">
        <f t="shared" si="90"/>
      </c>
      <c r="H96" s="248">
        <f t="shared" si="63"/>
      </c>
      <c r="I96" s="248">
        <f t="shared" si="36"/>
      </c>
      <c r="J96" s="248">
        <f t="shared" si="9"/>
      </c>
      <c r="K96" s="248"/>
    </row>
    <row r="97">
      <c r="A97" s="244" t="s">
        <v>548</v>
      </c>
      <c r="B97" s="244"/>
      <c r="C97" s="244">
        <f>SUM(C93:C96)</f>
      </c>
      <c r="D97" s="244">
        <f>SUM(D93:D96)</f>
      </c>
      <c r="E97" s="244">
        <f>SUM(E93:E96)</f>
      </c>
      <c r="F97" s="244">
        <f>SUM(F93:F96)</f>
      </c>
      <c r="G97" s="250">
        <f t="shared" si="90"/>
      </c>
      <c r="H97" s="250">
        <f t="shared" si="63"/>
      </c>
      <c r="I97" s="250">
        <f t="shared" si="36"/>
      </c>
      <c r="J97" s="250">
        <f t="shared" si="9"/>
      </c>
      <c r="K97" s="250"/>
    </row>
    <row r="98">
      <c r="A98" s="251" t="s">
        <v>549</v>
      </c>
      <c r="B98" s="251"/>
      <c r="C98" s="251"/>
      <c r="D98" s="251"/>
      <c r="E98" s="251"/>
      <c r="F98" s="251"/>
      <c r="G98" s="251"/>
      <c r="H98" s="251"/>
      <c r="I98" s="251"/>
      <c r="J98" s="251"/>
      <c r="K98" s="251"/>
    </row>
    <row r="99">
      <c r="A99" s="252" t="s">
        <v>534</v>
      </c>
      <c r="B99" s="252" t="s">
        <v>550</v>
      </c>
      <c r="C99" s="252" t="s">
        <v>551</v>
      </c>
      <c r="D99" s="252" t="s">
        <v>552</v>
      </c>
      <c r="E99" s="252" t="s">
        <v>553</v>
      </c>
      <c r="F99" s="252" t="s">
        <v>554</v>
      </c>
      <c r="G99" s="252" t="s">
        <v>555</v>
      </c>
      <c r="H99" s="253" t="s">
        <v>556</v>
      </c>
      <c r="I99" s="253" t="s">
        <v>557</v>
      </c>
      <c r="J99" s="253" t="s">
        <v>558</v>
      </c>
      <c r="K99" s="253" t="s">
        <v>533</v>
      </c>
    </row>
    <row r="100">
      <c r="A100" s="254">
        <f>SUM(D93:D96)</f>
      </c>
      <c r="B100" s="254">
        <f>SUM(E93:E96)</f>
      </c>
      <c r="C100" s="255">
        <f>B100/((K100*300)+A100)</f>
      </c>
      <c r="D100" s="256">
        <f>A100/J100</f>
      </c>
      <c r="E100" s="255">
        <f>B100/J100</f>
      </c>
      <c r="F100" s="257">
        <f>J100/I100</f>
      </c>
      <c r="G100" s="257">
        <f>H100/J100</f>
      </c>
      <c r="H100" s="258">
        <v>2</v>
      </c>
      <c r="I100" s="258">
        <v>17</v>
      </c>
      <c r="J100" s="258">
        <f>F93+F94+F95+F96</f>
      </c>
      <c r="K100" s="258">
        <f>C97</f>
      </c>
    </row>
    <row r="101">
      <c r="A101" s="243" t="s">
        <v>579</v>
      </c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</row>
    <row r="102">
      <c r="A102" s="244" t="s">
        <v>531</v>
      </c>
      <c r="B102" s="244" t="s">
        <v>532</v>
      </c>
      <c r="C102" s="244" t="s">
        <v>533</v>
      </c>
      <c r="D102" s="244" t="s">
        <v>534</v>
      </c>
      <c r="E102" s="244" t="s">
        <v>535</v>
      </c>
      <c r="F102" s="244" t="s">
        <v>536</v>
      </c>
      <c r="G102" s="244" t="s">
        <v>537</v>
      </c>
      <c r="H102" s="245" t="s">
        <v>573</v>
      </c>
      <c r="I102" s="244" t="s">
        <v>538</v>
      </c>
      <c r="J102" s="244" t="s">
        <v>539</v>
      </c>
      <c r="K102" s="244"/>
    </row>
    <row r="103">
      <c r="A103" s="246" t="s">
        <v>542</v>
      </c>
      <c r="B103" s="247" t="s">
        <v>541</v>
      </c>
      <c r="C103" s="246">
        <v>4</v>
      </c>
      <c r="D103" s="246">
        <v>4289.83</v>
      </c>
      <c r="E103" s="246">
        <v>0</v>
      </c>
      <c r="F103" s="246">
        <v>0</v>
      </c>
      <c r="G103" s="248">
        <f t="shared" ref="G103:G107" si="91">E103/F103</f>
      </c>
      <c r="H103" s="248">
        <f t="shared" ref="H103:H107" si="64">D103/F103</f>
      </c>
      <c r="I103" s="248">
        <f t="shared" ref="I103:I107" si="37">E103/D103</f>
      </c>
      <c r="J103" s="248">
        <f t="shared" ref="J103:J107" si="10">D103/C103</f>
      </c>
      <c r="K103" s="248"/>
    </row>
    <row r="104">
      <c r="A104" s="246" t="s">
        <v>546</v>
      </c>
      <c r="B104" s="247" t="s">
        <v>543</v>
      </c>
      <c r="C104" s="246">
        <v>4</v>
      </c>
      <c r="D104" s="246">
        <v>7074.36</v>
      </c>
      <c r="E104" s="246">
        <v>12477.6</v>
      </c>
      <c r="F104" s="246">
        <v>8</v>
      </c>
      <c r="G104" s="248">
        <f t="shared" si="91"/>
      </c>
      <c r="H104" s="248">
        <f t="shared" si="64"/>
      </c>
      <c r="I104" s="248">
        <f t="shared" si="37"/>
      </c>
      <c r="J104" s="248">
        <f t="shared" si="10"/>
      </c>
      <c r="K104" s="248"/>
    </row>
    <row r="105">
      <c r="A105" s="246" t="s">
        <v>560</v>
      </c>
      <c r="B105" s="247" t="s">
        <v>576</v>
      </c>
      <c r="C105" s="246">
        <v>4</v>
      </c>
      <c r="D105" s="249">
        <v>3516.49</v>
      </c>
      <c r="E105" s="249">
        <v>771.6</v>
      </c>
      <c r="F105" s="246">
        <v>1</v>
      </c>
      <c r="G105" s="248">
        <f t="shared" si="91"/>
      </c>
      <c r="H105" s="248">
        <f t="shared" si="64"/>
      </c>
      <c r="I105" s="248">
        <f t="shared" si="37"/>
      </c>
      <c r="J105" s="248">
        <f t="shared" si="10"/>
      </c>
      <c r="K105" s="248"/>
    </row>
    <row r="106">
      <c r="A106" s="246" t="s">
        <v>540</v>
      </c>
      <c r="B106" s="247" t="s">
        <v>577</v>
      </c>
      <c r="C106" s="246">
        <v>4</v>
      </c>
      <c r="D106" s="246">
        <v>6831.05</v>
      </c>
      <c r="E106" s="246">
        <v>8194.6</v>
      </c>
      <c r="F106" s="246">
        <v>9</v>
      </c>
      <c r="G106" s="248">
        <f t="shared" si="91"/>
      </c>
      <c r="H106" s="248">
        <f t="shared" si="64"/>
      </c>
      <c r="I106" s="248">
        <f t="shared" si="37"/>
      </c>
      <c r="J106" s="248">
        <f t="shared" si="10"/>
      </c>
      <c r="K106" s="248"/>
    </row>
    <row r="107">
      <c r="A107" s="244" t="s">
        <v>548</v>
      </c>
      <c r="B107" s="244"/>
      <c r="C107" s="244">
        <f>SUM(C103:C106)</f>
      </c>
      <c r="D107" s="244">
        <f>SUM(D103:D106)</f>
      </c>
      <c r="E107" s="244">
        <f>SUM(E103:E106)</f>
      </c>
      <c r="F107" s="244">
        <f>SUM(F103:F106)</f>
      </c>
      <c r="G107" s="250">
        <f t="shared" si="91"/>
      </c>
      <c r="H107" s="250">
        <f t="shared" si="64"/>
      </c>
      <c r="I107" s="250">
        <f t="shared" si="37"/>
      </c>
      <c r="J107" s="250">
        <f t="shared" si="10"/>
      </c>
      <c r="K107" s="250"/>
    </row>
    <row r="108">
      <c r="A108" s="251" t="s">
        <v>549</v>
      </c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</row>
    <row r="109">
      <c r="A109" s="252" t="s">
        <v>534</v>
      </c>
      <c r="B109" s="252" t="s">
        <v>550</v>
      </c>
      <c r="C109" s="252" t="s">
        <v>551</v>
      </c>
      <c r="D109" s="252" t="s">
        <v>552</v>
      </c>
      <c r="E109" s="252" t="s">
        <v>553</v>
      </c>
      <c r="F109" s="252" t="s">
        <v>554</v>
      </c>
      <c r="G109" s="252" t="s">
        <v>555</v>
      </c>
      <c r="H109" s="253" t="s">
        <v>556</v>
      </c>
      <c r="I109" s="253" t="s">
        <v>557</v>
      </c>
      <c r="J109" s="253" t="s">
        <v>558</v>
      </c>
      <c r="K109" s="253" t="s">
        <v>533</v>
      </c>
    </row>
    <row r="110">
      <c r="A110" s="254">
        <f>SUM(D103:D106)</f>
      </c>
      <c r="B110" s="254">
        <f>SUM(E103:E106)</f>
      </c>
      <c r="C110" s="255">
        <f>B110/((K110*300)+A110)</f>
      </c>
      <c r="D110" s="256">
        <f>A110/J110</f>
      </c>
      <c r="E110" s="255">
        <f>B110/J110</f>
      </c>
      <c r="F110" s="257">
        <f>J110/I110</f>
      </c>
      <c r="G110" s="257">
        <f>H110/J110</f>
      </c>
      <c r="H110" s="258">
        <v>0</v>
      </c>
      <c r="I110" s="258">
        <v>24</v>
      </c>
      <c r="J110" s="258">
        <f>F103+F104+F105+F106</f>
      </c>
      <c r="K110" s="258">
        <f>C107</f>
      </c>
    </row>
    <row r="111">
      <c r="A111" s="243" t="s">
        <v>580</v>
      </c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</row>
    <row r="112">
      <c r="A112" s="244" t="s">
        <v>531</v>
      </c>
      <c r="B112" s="244" t="s">
        <v>532</v>
      </c>
      <c r="C112" s="244" t="s">
        <v>533</v>
      </c>
      <c r="D112" s="244" t="s">
        <v>534</v>
      </c>
      <c r="E112" s="244" t="s">
        <v>535</v>
      </c>
      <c r="F112" s="244" t="s">
        <v>536</v>
      </c>
      <c r="G112" s="244" t="s">
        <v>537</v>
      </c>
      <c r="H112" s="245" t="s">
        <v>573</v>
      </c>
      <c r="I112" s="244" t="s">
        <v>538</v>
      </c>
      <c r="J112" s="244" t="s">
        <v>539</v>
      </c>
      <c r="K112" s="244"/>
    </row>
    <row r="113">
      <c r="A113" s="246" t="s">
        <v>546</v>
      </c>
      <c r="B113" s="247" t="s">
        <v>541</v>
      </c>
      <c r="C113" s="246">
        <v>4</v>
      </c>
      <c r="D113" s="246">
        <v>7990.960000000001</v>
      </c>
      <c r="E113" s="246">
        <v>15793</v>
      </c>
      <c r="F113" s="246">
        <v>13</v>
      </c>
      <c r="G113" s="248">
        <f t="shared" ref="G113:G117" si="92">E113/F113</f>
      </c>
      <c r="H113" s="248">
        <f t="shared" ref="H113:H117" si="65">D113/F113</f>
      </c>
      <c r="I113" s="248">
        <f t="shared" ref="I113:I117" si="38">E113/D113</f>
      </c>
      <c r="J113" s="248">
        <f t="shared" ref="J113:J117" si="11">D113/C113</f>
      </c>
      <c r="K113" s="248"/>
    </row>
    <row r="114">
      <c r="A114" s="246" t="s">
        <v>540</v>
      </c>
      <c r="B114" s="247" t="s">
        <v>543</v>
      </c>
      <c r="C114" s="246">
        <v>4</v>
      </c>
      <c r="D114" s="246">
        <v>6473.01</v>
      </c>
      <c r="E114" s="246">
        <v>7668</v>
      </c>
      <c r="F114" s="246">
        <v>4</v>
      </c>
      <c r="G114" s="248">
        <f t="shared" si="92"/>
      </c>
      <c r="H114" s="248">
        <f t="shared" si="65"/>
      </c>
      <c r="I114" s="248">
        <f t="shared" si="38"/>
      </c>
      <c r="J114" s="248">
        <f t="shared" si="11"/>
      </c>
      <c r="K114" s="248"/>
    </row>
    <row r="115">
      <c r="A115" s="246" t="s">
        <v>560</v>
      </c>
      <c r="B115" s="247" t="s">
        <v>576</v>
      </c>
      <c r="C115" s="246">
        <v>4</v>
      </c>
      <c r="D115" s="246">
        <v>4722.62</v>
      </c>
      <c r="E115" s="246">
        <v>9414.4</v>
      </c>
      <c r="F115" s="246">
        <v>6</v>
      </c>
      <c r="G115" s="248">
        <f t="shared" si="92"/>
      </c>
      <c r="H115" s="248">
        <f t="shared" si="65"/>
      </c>
      <c r="I115" s="248">
        <f t="shared" si="38"/>
      </c>
      <c r="J115" s="248">
        <f t="shared" si="11"/>
      </c>
      <c r="K115" s="248"/>
    </row>
    <row r="116">
      <c r="A116" s="246" t="s">
        <v>542</v>
      </c>
      <c r="B116" s="247" t="s">
        <v>577</v>
      </c>
      <c r="C116" s="246">
        <v>4</v>
      </c>
      <c r="D116" s="246">
        <v>11258.229999999992</v>
      </c>
      <c r="E116" s="246">
        <v>16079.3</v>
      </c>
      <c r="F116" s="246">
        <v>11</v>
      </c>
      <c r="G116" s="248">
        <f t="shared" si="92"/>
      </c>
      <c r="H116" s="248">
        <f t="shared" si="65"/>
      </c>
      <c r="I116" s="248">
        <f t="shared" si="38"/>
      </c>
      <c r="J116" s="248">
        <f t="shared" si="11"/>
      </c>
      <c r="K116" s="248"/>
    </row>
    <row r="117">
      <c r="A117" s="244" t="s">
        <v>548</v>
      </c>
      <c r="B117" s="244"/>
      <c r="C117" s="244">
        <f>SUM(C113:C116)</f>
      </c>
      <c r="D117" s="244">
        <f>SUM(D113:D116)</f>
      </c>
      <c r="E117" s="244">
        <f>SUM(E113:E116)</f>
      </c>
      <c r="F117" s="244">
        <f>SUM(F113:F116)</f>
      </c>
      <c r="G117" s="250">
        <f t="shared" si="92"/>
      </c>
      <c r="H117" s="250">
        <f t="shared" si="65"/>
      </c>
      <c r="I117" s="250">
        <f t="shared" si="38"/>
      </c>
      <c r="J117" s="250">
        <f t="shared" si="11"/>
      </c>
      <c r="K117" s="250"/>
    </row>
    <row r="118">
      <c r="A118" s="251" t="s">
        <v>549</v>
      </c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</row>
    <row r="119">
      <c r="A119" s="252" t="s">
        <v>534</v>
      </c>
      <c r="B119" s="252" t="s">
        <v>550</v>
      </c>
      <c r="C119" s="252" t="s">
        <v>551</v>
      </c>
      <c r="D119" s="252" t="s">
        <v>552</v>
      </c>
      <c r="E119" s="252" t="s">
        <v>553</v>
      </c>
      <c r="F119" s="252" t="s">
        <v>554</v>
      </c>
      <c r="G119" s="252" t="s">
        <v>555</v>
      </c>
      <c r="H119" s="253" t="s">
        <v>556</v>
      </c>
      <c r="I119" s="253" t="s">
        <v>557</v>
      </c>
      <c r="J119" s="253" t="s">
        <v>558</v>
      </c>
      <c r="K119" s="253" t="s">
        <v>533</v>
      </c>
    </row>
    <row r="120">
      <c r="A120" s="254">
        <f>SUM(D113:D116)</f>
      </c>
      <c r="B120" s="254">
        <f>SUM(E113:E116)</f>
      </c>
      <c r="C120" s="255">
        <f>B120/((K120*300)+A120)</f>
      </c>
      <c r="D120" s="256">
        <f>A120/J120</f>
      </c>
      <c r="E120" s="255">
        <f>B120/J120</f>
      </c>
      <c r="F120" s="257">
        <f>J120/I120</f>
      </c>
      <c r="G120" s="257">
        <f>H120/J120</f>
      </c>
      <c r="H120" s="258">
        <v>2</v>
      </c>
      <c r="I120" s="258">
        <v>41</v>
      </c>
      <c r="J120" s="258">
        <v>34</v>
      </c>
      <c r="K120" s="258">
        <f>C117</f>
      </c>
    </row>
    <row r="121">
      <c r="A121" s="243" t="s">
        <v>581</v>
      </c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</row>
    <row r="122">
      <c r="A122" s="244" t="s">
        <v>531</v>
      </c>
      <c r="B122" s="244" t="s">
        <v>532</v>
      </c>
      <c r="C122" s="244" t="s">
        <v>533</v>
      </c>
      <c r="D122" s="244" t="s">
        <v>534</v>
      </c>
      <c r="E122" s="260" t="s">
        <v>535</v>
      </c>
      <c r="F122" s="244" t="s">
        <v>536</v>
      </c>
      <c r="G122" s="244" t="s">
        <v>537</v>
      </c>
      <c r="H122" s="244" t="s">
        <v>573</v>
      </c>
      <c r="I122" s="244" t="s">
        <v>538</v>
      </c>
      <c r="J122" s="244" t="s">
        <v>539</v>
      </c>
      <c r="K122" s="244"/>
    </row>
    <row r="123">
      <c r="A123" s="261" t="s">
        <v>546</v>
      </c>
      <c r="B123" s="262" t="s">
        <v>541</v>
      </c>
      <c r="C123" s="261">
        <v>4</v>
      </c>
      <c r="D123" s="261">
        <v>6211.53</v>
      </c>
      <c r="E123" s="261">
        <v>3437.2</v>
      </c>
      <c r="F123" s="246">
        <v>4</v>
      </c>
      <c r="G123" s="248">
        <f t="shared" ref="G123:G127" si="93">E123/F123</f>
      </c>
      <c r="H123" s="248">
        <f t="shared" ref="H123:H127" si="66">D123/F123</f>
      </c>
      <c r="I123" s="248">
        <f t="shared" ref="I123:I127" si="39">E123/D123</f>
      </c>
      <c r="J123" s="248">
        <f t="shared" ref="J123:J127" si="12">D123/C123</f>
      </c>
      <c r="K123" s="248"/>
    </row>
    <row r="124">
      <c r="A124" s="261" t="s">
        <v>540</v>
      </c>
      <c r="B124" s="262" t="s">
        <v>543</v>
      </c>
      <c r="C124" s="246">
        <v>4</v>
      </c>
      <c r="D124" s="261">
        <v>3972.1600000000008</v>
      </c>
      <c r="E124" s="261">
        <v>5647.2</v>
      </c>
      <c r="F124" s="246">
        <v>5</v>
      </c>
      <c r="G124" s="248">
        <f t="shared" si="93"/>
      </c>
      <c r="H124" s="248">
        <f t="shared" si="66"/>
      </c>
      <c r="I124" s="248">
        <f t="shared" si="39"/>
      </c>
      <c r="J124" s="248">
        <f t="shared" si="12"/>
      </c>
      <c r="K124" s="248"/>
    </row>
    <row r="125">
      <c r="A125" s="261" t="s">
        <v>560</v>
      </c>
      <c r="B125" s="262" t="s">
        <v>576</v>
      </c>
      <c r="C125" s="246">
        <v>4</v>
      </c>
      <c r="D125" s="246">
        <v>4316.13</v>
      </c>
      <c r="E125" s="261">
        <v>5146.200000000001</v>
      </c>
      <c r="F125" s="246">
        <v>4</v>
      </c>
      <c r="G125" s="248">
        <f t="shared" si="93"/>
      </c>
      <c r="H125" s="248">
        <f t="shared" si="66"/>
      </c>
      <c r="I125" s="248">
        <f t="shared" si="39"/>
      </c>
      <c r="J125" s="248">
        <f t="shared" si="12"/>
      </c>
      <c r="K125" s="248"/>
    </row>
    <row r="126">
      <c r="A126" s="261" t="s">
        <v>542</v>
      </c>
      <c r="B126" s="262" t="s">
        <v>577</v>
      </c>
      <c r="C126" s="246">
        <v>4</v>
      </c>
      <c r="D126" s="261">
        <v>7845.350000000002</v>
      </c>
      <c r="E126" s="261">
        <v>11260.2</v>
      </c>
      <c r="F126" s="246">
        <v>5</v>
      </c>
      <c r="G126" s="248">
        <f t="shared" si="93"/>
      </c>
      <c r="H126" s="248">
        <f t="shared" si="66"/>
      </c>
      <c r="I126" s="248">
        <f t="shared" si="39"/>
      </c>
      <c r="J126" s="248">
        <f t="shared" si="12"/>
      </c>
      <c r="K126" s="248"/>
    </row>
    <row r="127">
      <c r="A127" s="244" t="s">
        <v>548</v>
      </c>
      <c r="B127" s="244"/>
      <c r="C127" s="244">
        <f>SUM(C123:C126)</f>
      </c>
      <c r="D127" s="244">
        <f>SUM(D123:D126)</f>
      </c>
      <c r="E127" s="244">
        <f>SUM(E123:E126)</f>
      </c>
      <c r="F127" s="244">
        <f>SUM(F123:F126)</f>
      </c>
      <c r="G127" s="250">
        <f t="shared" si="93"/>
      </c>
      <c r="H127" s="250">
        <f t="shared" si="66"/>
      </c>
      <c r="I127" s="250">
        <f t="shared" si="39"/>
      </c>
      <c r="J127" s="250">
        <f t="shared" si="12"/>
      </c>
      <c r="K127" s="250"/>
    </row>
    <row r="128">
      <c r="A128" s="251" t="s">
        <v>549</v>
      </c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</row>
    <row r="129">
      <c r="A129" s="252" t="s">
        <v>534</v>
      </c>
      <c r="B129" s="252" t="s">
        <v>550</v>
      </c>
      <c r="C129" s="252" t="s">
        <v>551</v>
      </c>
      <c r="D129" s="252" t="s">
        <v>552</v>
      </c>
      <c r="E129" s="252" t="s">
        <v>553</v>
      </c>
      <c r="F129" s="252" t="s">
        <v>554</v>
      </c>
      <c r="G129" s="252" t="s">
        <v>555</v>
      </c>
      <c r="H129" s="253" t="s">
        <v>556</v>
      </c>
      <c r="I129" s="253" t="s">
        <v>557</v>
      </c>
      <c r="J129" s="253" t="s">
        <v>558</v>
      </c>
      <c r="K129" s="253" t="s">
        <v>533</v>
      </c>
    </row>
    <row r="130">
      <c r="A130" s="254">
        <f>SUM(D123:D126)</f>
      </c>
      <c r="B130" s="254">
        <f>SUM(E123:E126)</f>
      </c>
      <c r="C130" s="255">
        <f>B130/((K130*300)+A130)</f>
      </c>
      <c r="D130" s="256">
        <f>A130/J130</f>
      </c>
      <c r="E130" s="255">
        <f>B130/J130</f>
      </c>
      <c r="F130" s="257">
        <f>J130/I130</f>
      </c>
      <c r="G130" s="257">
        <f>H130/J130</f>
      </c>
      <c r="H130" s="258">
        <v>1</v>
      </c>
      <c r="I130" s="258">
        <v>29</v>
      </c>
      <c r="J130" s="263">
        <f>F127</f>
      </c>
      <c r="K130" s="263">
        <f>C127</f>
      </c>
    </row>
    <row r="131">
      <c r="A131" s="243" t="s">
        <v>582</v>
      </c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</row>
    <row r="132">
      <c r="A132" s="244" t="s">
        <v>531</v>
      </c>
      <c r="B132" s="244" t="s">
        <v>532</v>
      </c>
      <c r="C132" s="244" t="s">
        <v>533</v>
      </c>
      <c r="D132" s="244" t="s">
        <v>534</v>
      </c>
      <c r="E132" s="260" t="s">
        <v>535</v>
      </c>
      <c r="F132" s="244" t="s">
        <v>536</v>
      </c>
      <c r="G132" s="244" t="s">
        <v>537</v>
      </c>
      <c r="H132" s="244" t="s">
        <v>573</v>
      </c>
      <c r="I132" s="244" t="s">
        <v>538</v>
      </c>
      <c r="J132" s="244" t="s">
        <v>539</v>
      </c>
      <c r="K132" s="244"/>
    </row>
    <row r="133">
      <c r="A133" s="261" t="s">
        <v>540</v>
      </c>
      <c r="B133" s="247" t="s">
        <v>583</v>
      </c>
      <c r="C133" s="246">
        <v>3</v>
      </c>
      <c r="D133" s="261">
        <v>7054.27</v>
      </c>
      <c r="E133" s="261">
        <v>17831.8</v>
      </c>
      <c r="F133" s="246">
        <v>15</v>
      </c>
      <c r="G133" s="248">
        <f t="shared" ref="G133:G137" si="94">E133/F133</f>
      </c>
      <c r="H133" s="248">
        <f t="shared" ref="H133:H137" si="67">D133/F133</f>
      </c>
      <c r="I133" s="248">
        <f t="shared" ref="I133:I137" si="40">E133/D133</f>
      </c>
      <c r="J133" s="248">
        <f t="shared" ref="J133:J137" si="13">D133/C133</f>
      </c>
      <c r="K133" s="248"/>
    </row>
    <row r="134">
      <c r="A134" s="261" t="s">
        <v>546</v>
      </c>
      <c r="B134" s="262" t="s">
        <v>543</v>
      </c>
      <c r="C134" s="246">
        <v>4</v>
      </c>
      <c r="D134" s="261">
        <v>8362.34</v>
      </c>
      <c r="E134" s="261">
        <v>6216</v>
      </c>
      <c r="F134" s="246">
        <v>4</v>
      </c>
      <c r="G134" s="248">
        <f t="shared" si="94"/>
      </c>
      <c r="H134" s="248">
        <f t="shared" si="67"/>
      </c>
      <c r="I134" s="248">
        <f t="shared" si="40"/>
      </c>
      <c r="J134" s="248">
        <f t="shared" si="13"/>
      </c>
      <c r="K134" s="248"/>
    </row>
    <row r="135">
      <c r="A135" s="261" t="s">
        <v>560</v>
      </c>
      <c r="B135" s="247" t="s">
        <v>576</v>
      </c>
      <c r="C135" s="246">
        <v>4</v>
      </c>
      <c r="D135" s="246">
        <v>8227.62</v>
      </c>
      <c r="E135" s="246">
        <v>3099.8</v>
      </c>
      <c r="F135" s="246">
        <v>3</v>
      </c>
      <c r="G135" s="248">
        <f t="shared" si="94"/>
      </c>
      <c r="H135" s="248">
        <f t="shared" si="67"/>
      </c>
      <c r="I135" s="248">
        <f t="shared" si="40"/>
      </c>
      <c r="J135" s="248">
        <f t="shared" si="13"/>
      </c>
      <c r="K135" s="248"/>
    </row>
    <row r="136">
      <c r="A136" s="261" t="s">
        <v>542</v>
      </c>
      <c r="B136" s="247" t="s">
        <v>584</v>
      </c>
      <c r="C136" s="246">
        <v>5</v>
      </c>
      <c r="D136" s="246">
        <v>7026.57</v>
      </c>
      <c r="E136" s="246">
        <v>14614.8</v>
      </c>
      <c r="F136" s="246">
        <v>8</v>
      </c>
      <c r="G136" s="248">
        <f t="shared" si="94"/>
      </c>
      <c r="H136" s="248">
        <f t="shared" si="67"/>
      </c>
      <c r="I136" s="248">
        <f t="shared" si="40"/>
      </c>
      <c r="J136" s="248">
        <f t="shared" si="13"/>
      </c>
      <c r="K136" s="248"/>
    </row>
    <row r="137">
      <c r="A137" s="244" t="s">
        <v>548</v>
      </c>
      <c r="B137" s="244"/>
      <c r="C137" s="244">
        <f>SUM(C133:C136)</f>
      </c>
      <c r="D137" s="244">
        <f>SUM(D133:D136)</f>
      </c>
      <c r="E137" s="244">
        <f>SUM(E133:E136)</f>
      </c>
      <c r="F137" s="244">
        <f>SUM(F133:F136)</f>
      </c>
      <c r="G137" s="250">
        <f t="shared" si="94"/>
      </c>
      <c r="H137" s="250">
        <f t="shared" si="67"/>
      </c>
      <c r="I137" s="250">
        <f t="shared" si="40"/>
      </c>
      <c r="J137" s="250">
        <f t="shared" si="13"/>
      </c>
      <c r="K137" s="250"/>
    </row>
    <row r="138">
      <c r="A138" s="251" t="s">
        <v>549</v>
      </c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</row>
    <row r="139">
      <c r="A139" s="252" t="s">
        <v>534</v>
      </c>
      <c r="B139" s="252" t="s">
        <v>550</v>
      </c>
      <c r="C139" s="252" t="s">
        <v>551</v>
      </c>
      <c r="D139" s="252" t="s">
        <v>552</v>
      </c>
      <c r="E139" s="252" t="s">
        <v>553</v>
      </c>
      <c r="F139" s="252" t="s">
        <v>554</v>
      </c>
      <c r="G139" s="252" t="s">
        <v>555</v>
      </c>
      <c r="H139" s="253" t="s">
        <v>556</v>
      </c>
      <c r="I139" s="253" t="s">
        <v>557</v>
      </c>
      <c r="J139" s="253" t="s">
        <v>558</v>
      </c>
      <c r="K139" s="253" t="s">
        <v>533</v>
      </c>
    </row>
    <row r="140">
      <c r="A140" s="254">
        <f>SUM(D133:D136)</f>
      </c>
      <c r="B140" s="254">
        <f>SUM(E133:E136)</f>
      </c>
      <c r="C140" s="255">
        <f>B140/((K140*300)+A140)</f>
      </c>
      <c r="D140" s="256">
        <f>A140/J140</f>
      </c>
      <c r="E140" s="255">
        <f>B140/J140</f>
      </c>
      <c r="F140" s="257">
        <f>J140/I140</f>
      </c>
      <c r="G140" s="257">
        <f>H140/J140</f>
      </c>
      <c r="H140" s="258">
        <v>2</v>
      </c>
      <c r="I140" s="258">
        <v>44</v>
      </c>
      <c r="J140" s="263">
        <f>F137</f>
      </c>
      <c r="K140" s="263">
        <f>C137</f>
      </c>
    </row>
    <row r="141">
      <c r="A141" s="243" t="s">
        <v>585</v>
      </c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</row>
    <row r="142">
      <c r="A142" s="244" t="s">
        <v>531</v>
      </c>
      <c r="B142" s="244" t="s">
        <v>532</v>
      </c>
      <c r="C142" s="244" t="s">
        <v>533</v>
      </c>
      <c r="D142" s="244" t="s">
        <v>534</v>
      </c>
      <c r="E142" s="260" t="s">
        <v>535</v>
      </c>
      <c r="F142" s="244" t="s">
        <v>536</v>
      </c>
      <c r="G142" s="244" t="s">
        <v>537</v>
      </c>
      <c r="H142" s="244" t="s">
        <v>573</v>
      </c>
      <c r="I142" s="244" t="s">
        <v>538</v>
      </c>
      <c r="J142" s="244" t="s">
        <v>539</v>
      </c>
      <c r="K142" s="244"/>
    </row>
    <row r="143">
      <c r="A143" s="246" t="s">
        <v>546</v>
      </c>
      <c r="B143" s="247" t="s">
        <v>586</v>
      </c>
      <c r="C143" s="246">
        <v>5</v>
      </c>
      <c r="D143" s="261">
        <v>5806.42</v>
      </c>
      <c r="E143" s="261">
        <v>9320.9</v>
      </c>
      <c r="F143" s="246">
        <v>7</v>
      </c>
      <c r="G143" s="248">
        <f t="shared" ref="G143:G145" si="95">E143/F143</f>
      </c>
      <c r="H143" s="248">
        <f t="shared" ref="H143:H145" si="68">D143/F143</f>
      </c>
      <c r="I143" s="248">
        <f t="shared" ref="I143:I145" si="41">E143/D143</f>
      </c>
      <c r="J143" s="248">
        <f t="shared" ref="J143:J145" si="14">D143/C143</f>
      </c>
      <c r="K143" s="248"/>
    </row>
    <row r="144">
      <c r="A144" s="246" t="s">
        <v>544</v>
      </c>
      <c r="B144" s="247" t="s">
        <v>587</v>
      </c>
      <c r="C144" s="246">
        <v>5</v>
      </c>
      <c r="D144" s="261">
        <v>5875.419999999998</v>
      </c>
      <c r="E144" s="261">
        <v>8961</v>
      </c>
      <c r="F144" s="246">
        <v>8</v>
      </c>
      <c r="G144" s="248">
        <f t="shared" si="95"/>
      </c>
      <c r="H144" s="248">
        <f t="shared" si="68"/>
      </c>
      <c r="I144" s="248">
        <f t="shared" si="41"/>
      </c>
      <c r="J144" s="248">
        <f t="shared" si="14"/>
      </c>
      <c r="K144" s="248"/>
    </row>
    <row r="145">
      <c r="A145" s="244" t="s">
        <v>548</v>
      </c>
      <c r="B145" s="244"/>
      <c r="C145" s="244">
        <f>SUM(C143:C144)</f>
      </c>
      <c r="D145" s="244">
        <f>SUM(D143:D144)</f>
      </c>
      <c r="E145" s="244">
        <f>SUM(E143:E144)</f>
      </c>
      <c r="F145" s="244">
        <f>SUM(F143:F144)</f>
      </c>
      <c r="G145" s="250">
        <f t="shared" si="95"/>
      </c>
      <c r="H145" s="250">
        <f t="shared" si="68"/>
      </c>
      <c r="I145" s="250">
        <f t="shared" si="41"/>
      </c>
      <c r="J145" s="250">
        <f t="shared" si="14"/>
      </c>
      <c r="K145" s="250"/>
    </row>
    <row r="146">
      <c r="A146" s="251" t="s">
        <v>549</v>
      </c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</row>
    <row r="147">
      <c r="A147" s="252" t="s">
        <v>534</v>
      </c>
      <c r="B147" s="252" t="s">
        <v>550</v>
      </c>
      <c r="C147" s="252" t="s">
        <v>551</v>
      </c>
      <c r="D147" s="252" t="s">
        <v>552</v>
      </c>
      <c r="E147" s="252" t="s">
        <v>553</v>
      </c>
      <c r="F147" s="252" t="s">
        <v>554</v>
      </c>
      <c r="G147" s="252" t="s">
        <v>555</v>
      </c>
      <c r="H147" s="253" t="s">
        <v>556</v>
      </c>
      <c r="I147" s="253" t="s">
        <v>557</v>
      </c>
      <c r="J147" s="253" t="s">
        <v>558</v>
      </c>
      <c r="K147" s="253" t="s">
        <v>533</v>
      </c>
    </row>
    <row r="148">
      <c r="A148" s="254">
        <f>SUM(D143:D144)</f>
      </c>
      <c r="B148" s="254">
        <f>SUM(E143:E144)</f>
      </c>
      <c r="C148" s="255">
        <f>B148/((K148*300)+A148)</f>
      </c>
      <c r="D148" s="256">
        <f>A148/J148</f>
      </c>
      <c r="E148" s="255">
        <f>B148/J148</f>
      </c>
      <c r="F148" s="257">
        <f>J148/I148</f>
      </c>
      <c r="G148" s="257">
        <f>H148/J148</f>
      </c>
      <c r="H148" s="258">
        <v>1</v>
      </c>
      <c r="I148" s="258">
        <v>25</v>
      </c>
      <c r="J148" s="263">
        <f>F145</f>
      </c>
      <c r="K148" s="263">
        <f>C145</f>
      </c>
    </row>
    <row r="149">
      <c r="A149" s="243" t="s">
        <v>588</v>
      </c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</row>
    <row r="150">
      <c r="A150" s="244" t="s">
        <v>531</v>
      </c>
      <c r="B150" s="244" t="s">
        <v>532</v>
      </c>
      <c r="C150" s="244" t="s">
        <v>533</v>
      </c>
      <c r="D150" s="244" t="s">
        <v>534</v>
      </c>
      <c r="E150" s="260" t="s">
        <v>535</v>
      </c>
      <c r="F150" s="244" t="s">
        <v>536</v>
      </c>
      <c r="G150" s="244" t="s">
        <v>537</v>
      </c>
      <c r="H150" s="244" t="s">
        <v>573</v>
      </c>
      <c r="I150" s="244" t="s">
        <v>538</v>
      </c>
      <c r="J150" s="244" t="s">
        <v>539</v>
      </c>
      <c r="K150" s="244"/>
    </row>
    <row r="151">
      <c r="A151" s="246" t="s">
        <v>546</v>
      </c>
      <c r="B151" s="247" t="s">
        <v>541</v>
      </c>
      <c r="C151" s="246">
        <v>4</v>
      </c>
      <c r="D151" s="261">
        <v>8585.58</v>
      </c>
      <c r="E151" s="261">
        <v>14838.599999999999</v>
      </c>
      <c r="F151" s="246">
        <v>11</v>
      </c>
      <c r="G151" s="248">
        <f t="shared" ref="G151:G153" si="96">E151/F151</f>
      </c>
      <c r="H151" s="248">
        <f t="shared" ref="H151:H153" si="69">D151/F151</f>
      </c>
      <c r="I151" s="248">
        <f t="shared" ref="I151:I153" si="42">E151/D151</f>
      </c>
      <c r="J151" s="248">
        <f t="shared" ref="J151:J153" si="15">D151/C151</f>
      </c>
      <c r="K151" s="248"/>
    </row>
    <row r="152">
      <c r="A152" s="246" t="s">
        <v>544</v>
      </c>
      <c r="B152" s="247" t="s">
        <v>589</v>
      </c>
      <c r="C152" s="246">
        <v>5</v>
      </c>
      <c r="D152" s="261">
        <v>10040.67</v>
      </c>
      <c r="E152" s="261">
        <v>28629</v>
      </c>
      <c r="F152" s="246">
        <v>22</v>
      </c>
      <c r="G152" s="248">
        <f t="shared" si="96"/>
      </c>
      <c r="H152" s="248">
        <f t="shared" si="69"/>
      </c>
      <c r="I152" s="248">
        <f t="shared" si="42"/>
      </c>
      <c r="J152" s="248">
        <f t="shared" si="15"/>
      </c>
      <c r="K152" s="248"/>
    </row>
    <row r="153">
      <c r="A153" s="244" t="s">
        <v>548</v>
      </c>
      <c r="B153" s="244"/>
      <c r="C153" s="244">
        <f>SUM(C151:C152)</f>
      </c>
      <c r="D153" s="244">
        <f>SUM(D151:D152)</f>
      </c>
      <c r="E153" s="244">
        <f>SUM(E151:E152)</f>
      </c>
      <c r="F153" s="244">
        <f>SUM(F151:F152)</f>
      </c>
      <c r="G153" s="250">
        <f t="shared" si="96"/>
      </c>
      <c r="H153" s="250">
        <f t="shared" si="69"/>
      </c>
      <c r="I153" s="250">
        <f t="shared" si="42"/>
      </c>
      <c r="J153" s="250">
        <f t="shared" si="15"/>
      </c>
      <c r="K153" s="250"/>
    </row>
    <row r="154">
      <c r="A154" s="251" t="s">
        <v>549</v>
      </c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</row>
    <row r="155">
      <c r="A155" s="252" t="s">
        <v>534</v>
      </c>
      <c r="B155" s="252" t="s">
        <v>550</v>
      </c>
      <c r="C155" s="252" t="s">
        <v>551</v>
      </c>
      <c r="D155" s="252" t="s">
        <v>552</v>
      </c>
      <c r="E155" s="252" t="s">
        <v>553</v>
      </c>
      <c r="F155" s="252" t="s">
        <v>554</v>
      </c>
      <c r="G155" s="252" t="s">
        <v>555</v>
      </c>
      <c r="H155" s="253" t="s">
        <v>556</v>
      </c>
      <c r="I155" s="253" t="s">
        <v>557</v>
      </c>
      <c r="J155" s="253" t="s">
        <v>558</v>
      </c>
      <c r="K155" s="253" t="s">
        <v>533</v>
      </c>
    </row>
    <row r="156">
      <c r="A156" s="254">
        <f>SUM(D151:D152)</f>
      </c>
      <c r="B156" s="254">
        <f>SUM(E151:E152)</f>
      </c>
      <c r="C156" s="255">
        <f>B156/((K156*300)+A156)</f>
      </c>
      <c r="D156" s="256">
        <f>A156/J156</f>
      </c>
      <c r="E156" s="255">
        <f>B156/J156</f>
      </c>
      <c r="F156" s="257">
        <f>J156/I156</f>
      </c>
      <c r="G156" s="257">
        <f>H156/J156</f>
      </c>
      <c r="H156" s="258">
        <v>4</v>
      </c>
      <c r="I156" s="258">
        <v>43</v>
      </c>
      <c r="J156" s="263">
        <f>F153</f>
      </c>
      <c r="K156" s="263">
        <f>C153</f>
      </c>
    </row>
    <row r="157">
      <c r="A157" s="243" t="s">
        <v>590</v>
      </c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</row>
    <row r="158">
      <c r="A158" s="244" t="s">
        <v>531</v>
      </c>
      <c r="B158" s="244" t="s">
        <v>532</v>
      </c>
      <c r="C158" s="244" t="s">
        <v>533</v>
      </c>
      <c r="D158" s="244" t="s">
        <v>534</v>
      </c>
      <c r="E158" s="260" t="s">
        <v>535</v>
      </c>
      <c r="F158" s="244" t="s">
        <v>536</v>
      </c>
      <c r="G158" s="244" t="s">
        <v>537</v>
      </c>
      <c r="H158" s="244" t="s">
        <v>573</v>
      </c>
      <c r="I158" s="244" t="s">
        <v>538</v>
      </c>
      <c r="J158" s="244" t="s">
        <v>539</v>
      </c>
      <c r="K158" s="244"/>
    </row>
    <row r="159">
      <c r="A159" s="246" t="s">
        <v>544</v>
      </c>
      <c r="B159" s="247" t="s">
        <v>541</v>
      </c>
      <c r="C159" s="246">
        <v>4</v>
      </c>
      <c r="D159" s="261">
        <v>14387.68</v>
      </c>
      <c r="E159" s="246">
        <v>17442.7</v>
      </c>
      <c r="F159" s="246">
        <v>17</v>
      </c>
      <c r="G159" s="248">
        <f t="shared" ref="G159:G160" si="97">E159/F159</f>
      </c>
      <c r="H159" s="248">
        <f t="shared" ref="H159:H160" si="70">D159/F159</f>
      </c>
      <c r="I159" s="248">
        <f t="shared" ref="I159:I160" si="43">E159/D159</f>
      </c>
      <c r="J159" s="248">
        <f t="shared" ref="J159:J160" si="16">D159/C159</f>
      </c>
      <c r="K159" s="248"/>
    </row>
    <row r="160">
      <c r="A160" s="244" t="s">
        <v>548</v>
      </c>
      <c r="B160" s="244"/>
      <c r="C160" s="244">
        <f>SUM(C159)</f>
      </c>
      <c r="D160" s="244">
        <f>SUM(D159)</f>
      </c>
      <c r="E160" s="244">
        <f>SUM(E159)</f>
      </c>
      <c r="F160" s="244">
        <f>SUM(F159)</f>
      </c>
      <c r="G160" s="250">
        <f t="shared" si="97"/>
      </c>
      <c r="H160" s="250">
        <f t="shared" si="70"/>
      </c>
      <c r="I160" s="250">
        <f t="shared" si="43"/>
      </c>
      <c r="J160" s="250">
        <f t="shared" si="16"/>
      </c>
      <c r="K160" s="250"/>
    </row>
    <row r="161">
      <c r="A161" s="251" t="s">
        <v>549</v>
      </c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</row>
    <row r="162">
      <c r="A162" s="252" t="s">
        <v>534</v>
      </c>
      <c r="B162" s="252" t="s">
        <v>550</v>
      </c>
      <c r="C162" s="252" t="s">
        <v>551</v>
      </c>
      <c r="D162" s="252" t="s">
        <v>552</v>
      </c>
      <c r="E162" s="252" t="s">
        <v>553</v>
      </c>
      <c r="F162" s="252" t="s">
        <v>554</v>
      </c>
      <c r="G162" s="252" t="s">
        <v>555</v>
      </c>
      <c r="H162" s="253" t="s">
        <v>556</v>
      </c>
      <c r="I162" s="253" t="s">
        <v>557</v>
      </c>
      <c r="J162" s="253" t="s">
        <v>558</v>
      </c>
      <c r="K162" s="253" t="s">
        <v>533</v>
      </c>
    </row>
    <row r="163">
      <c r="A163" s="254">
        <f>SUM(D159)</f>
      </c>
      <c r="B163" s="254">
        <f>SUM(E159)</f>
      </c>
      <c r="C163" s="255">
        <f>B163/((K163*300)+A163)</f>
      </c>
      <c r="D163" s="256">
        <f>A163/J163</f>
      </c>
      <c r="E163" s="255">
        <f>B163/J163</f>
      </c>
      <c r="F163" s="257">
        <f>J163/I163</f>
      </c>
      <c r="G163" s="257">
        <f>H163/J163</f>
      </c>
      <c r="H163" s="258">
        <v>3</v>
      </c>
      <c r="I163" s="258">
        <v>26</v>
      </c>
      <c r="J163" s="263">
        <f>F160</f>
      </c>
      <c r="K163" s="263">
        <f>C160</f>
      </c>
    </row>
    <row r="164">
      <c r="A164" s="243" t="s">
        <v>591</v>
      </c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</row>
    <row r="165">
      <c r="A165" s="244" t="s">
        <v>531</v>
      </c>
      <c r="B165" s="244" t="s">
        <v>532</v>
      </c>
      <c r="C165" s="244" t="s">
        <v>533</v>
      </c>
      <c r="D165" s="244" t="s">
        <v>534</v>
      </c>
      <c r="E165" s="260" t="s">
        <v>535</v>
      </c>
      <c r="F165" s="244" t="s">
        <v>536</v>
      </c>
      <c r="G165" s="244" t="s">
        <v>537</v>
      </c>
      <c r="H165" s="244" t="s">
        <v>573</v>
      </c>
      <c r="I165" s="244" t="s">
        <v>538</v>
      </c>
      <c r="J165" s="244" t="s">
        <v>539</v>
      </c>
      <c r="K165" s="244"/>
    </row>
    <row r="166">
      <c r="A166" s="246" t="s">
        <v>544</v>
      </c>
      <c r="B166" s="247" t="s">
        <v>586</v>
      </c>
      <c r="C166" s="246">
        <v>5</v>
      </c>
      <c r="D166" s="261">
        <v>18105.08</v>
      </c>
      <c r="E166" s="246">
        <v>35284.7</v>
      </c>
      <c r="F166" s="246">
        <v>23</v>
      </c>
      <c r="G166" s="248">
        <f t="shared" ref="G166:G167" si="98">E166/F166</f>
      </c>
      <c r="H166" s="248">
        <f t="shared" ref="H166:H167" si="71">D166/F166</f>
      </c>
      <c r="I166" s="248">
        <f t="shared" ref="I166:I167" si="44">E166/D166</f>
      </c>
      <c r="J166" s="248">
        <f t="shared" ref="J166:J167" si="17">D166/C166</f>
      </c>
      <c r="K166" s="248"/>
    </row>
    <row r="167">
      <c r="A167" s="244" t="s">
        <v>548</v>
      </c>
      <c r="B167" s="244"/>
      <c r="C167" s="244">
        <f>SUM(C166)</f>
      </c>
      <c r="D167" s="244">
        <f>SUM(D166)</f>
      </c>
      <c r="E167" s="244">
        <f>SUM(E166)</f>
      </c>
      <c r="F167" s="244">
        <f>SUM(F166)</f>
      </c>
      <c r="G167" s="250">
        <f t="shared" si="98"/>
      </c>
      <c r="H167" s="250">
        <f t="shared" si="71"/>
      </c>
      <c r="I167" s="250">
        <f t="shared" si="44"/>
      </c>
      <c r="J167" s="250">
        <f t="shared" si="17"/>
      </c>
      <c r="K167" s="250"/>
    </row>
    <row r="168">
      <c r="A168" s="251" t="s">
        <v>549</v>
      </c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</row>
    <row r="169">
      <c r="A169" s="252" t="s">
        <v>534</v>
      </c>
      <c r="B169" s="252" t="s">
        <v>550</v>
      </c>
      <c r="C169" s="252" t="s">
        <v>551</v>
      </c>
      <c r="D169" s="252" t="s">
        <v>552</v>
      </c>
      <c r="E169" s="252" t="s">
        <v>553</v>
      </c>
      <c r="F169" s="252" t="s">
        <v>554</v>
      </c>
      <c r="G169" s="252" t="s">
        <v>555</v>
      </c>
      <c r="H169" s="253" t="s">
        <v>556</v>
      </c>
      <c r="I169" s="253" t="s">
        <v>557</v>
      </c>
      <c r="J169" s="253" t="s">
        <v>558</v>
      </c>
      <c r="K169" s="253" t="s">
        <v>533</v>
      </c>
    </row>
    <row r="170">
      <c r="A170" s="254">
        <f>SUM(D166)</f>
      </c>
      <c r="B170" s="254">
        <f>SUM(E166)</f>
      </c>
      <c r="C170" s="255">
        <f>B170/((K170*300)+A170)</f>
      </c>
      <c r="D170" s="256">
        <f>A170/J170</f>
      </c>
      <c r="E170" s="255">
        <f>B170/J170</f>
      </c>
      <c r="F170" s="257">
        <f>J170/I170</f>
      </c>
      <c r="G170" s="257">
        <f>H170/J170</f>
      </c>
      <c r="H170" s="258">
        <v>1</v>
      </c>
      <c r="I170" s="258">
        <v>27</v>
      </c>
      <c r="J170" s="263">
        <f>F167</f>
      </c>
      <c r="K170" s="263">
        <f>C167</f>
      </c>
    </row>
    <row r="171">
      <c r="A171" s="243" t="s">
        <v>592</v>
      </c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</row>
    <row r="172">
      <c r="A172" s="244" t="s">
        <v>531</v>
      </c>
      <c r="B172" s="244" t="s">
        <v>532</v>
      </c>
      <c r="C172" s="244" t="s">
        <v>533</v>
      </c>
      <c r="D172" s="244" t="s">
        <v>534</v>
      </c>
      <c r="E172" s="260" t="s">
        <v>535</v>
      </c>
      <c r="F172" s="244" t="s">
        <v>536</v>
      </c>
      <c r="G172" s="244" t="s">
        <v>537</v>
      </c>
      <c r="H172" s="244" t="s">
        <v>573</v>
      </c>
      <c r="I172" s="244" t="s">
        <v>538</v>
      </c>
      <c r="J172" s="244" t="s">
        <v>539</v>
      </c>
      <c r="K172" s="244"/>
    </row>
    <row r="173">
      <c r="A173" s="246" t="s">
        <v>544</v>
      </c>
      <c r="B173" s="247" t="s">
        <v>586</v>
      </c>
      <c r="C173" s="246">
        <v>5</v>
      </c>
      <c r="D173" s="261">
        <v>14910.14</v>
      </c>
      <c r="E173" s="261">
        <v>13407.8</v>
      </c>
      <c r="F173" s="246">
        <v>13</v>
      </c>
      <c r="G173" s="248">
        <f t="shared" ref="G173:G175" si="99">E173/F173</f>
      </c>
      <c r="H173" s="248">
        <f t="shared" ref="H173:H175" si="72">D173/F173</f>
      </c>
      <c r="I173" s="248">
        <f t="shared" ref="I173:I175" si="45">E173/D173</f>
      </c>
      <c r="J173" s="248">
        <f t="shared" ref="J173:J175" si="18">D173/C173</f>
      </c>
      <c r="K173" s="248"/>
    </row>
    <row r="174">
      <c r="A174" s="246" t="s">
        <v>542</v>
      </c>
      <c r="B174" s="247" t="s">
        <v>587</v>
      </c>
      <c r="C174" s="246">
        <v>5</v>
      </c>
      <c r="D174" s="261">
        <v>9253.159999999996</v>
      </c>
      <c r="E174" s="261">
        <v>11103.9</v>
      </c>
      <c r="F174" s="246">
        <v>7</v>
      </c>
      <c r="G174" s="248">
        <f t="shared" si="99"/>
      </c>
      <c r="H174" s="248">
        <f t="shared" si="72"/>
      </c>
      <c r="I174" s="248">
        <f t="shared" si="45"/>
      </c>
      <c r="J174" s="248">
        <f t="shared" si="18"/>
      </c>
      <c r="K174" s="248"/>
    </row>
    <row r="175">
      <c r="A175" s="244" t="s">
        <v>548</v>
      </c>
      <c r="B175" s="244"/>
      <c r="C175" s="244">
        <f>SUM(C173:C174)</f>
      </c>
      <c r="D175" s="244">
        <f>SUM(D173:D174)</f>
      </c>
      <c r="E175" s="244">
        <f>SUM(E173:E174)</f>
      </c>
      <c r="F175" s="244">
        <f>SUM(F173:F174)</f>
      </c>
      <c r="G175" s="250">
        <f t="shared" si="99"/>
      </c>
      <c r="H175" s="250">
        <f t="shared" si="72"/>
      </c>
      <c r="I175" s="250">
        <f t="shared" si="45"/>
      </c>
      <c r="J175" s="250">
        <f t="shared" si="18"/>
      </c>
      <c r="K175" s="250"/>
    </row>
    <row r="176">
      <c r="A176" s="251" t="s">
        <v>549</v>
      </c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</row>
    <row r="177">
      <c r="A177" s="252" t="s">
        <v>534</v>
      </c>
      <c r="B177" s="252" t="s">
        <v>550</v>
      </c>
      <c r="C177" s="252" t="s">
        <v>551</v>
      </c>
      <c r="D177" s="252" t="s">
        <v>552</v>
      </c>
      <c r="E177" s="252" t="s">
        <v>553</v>
      </c>
      <c r="F177" s="252" t="s">
        <v>554</v>
      </c>
      <c r="G177" s="252" t="s">
        <v>555</v>
      </c>
      <c r="H177" s="253" t="s">
        <v>556</v>
      </c>
      <c r="I177" s="253" t="s">
        <v>557</v>
      </c>
      <c r="J177" s="253" t="s">
        <v>558</v>
      </c>
      <c r="K177" s="253" t="s">
        <v>533</v>
      </c>
    </row>
    <row r="178">
      <c r="A178" s="254">
        <f>SUM(D173:D174)</f>
      </c>
      <c r="B178" s="254">
        <f>SUM(E173:E174)</f>
      </c>
      <c r="C178" s="255">
        <f>B178/((K178*300)+A178)</f>
      </c>
      <c r="D178" s="256">
        <f>A178/J178</f>
      </c>
      <c r="E178" s="255">
        <f>B178/J178</f>
      </c>
      <c r="F178" s="257">
        <f>J178/I178</f>
      </c>
      <c r="G178" s="257">
        <f>H178/J178</f>
      </c>
      <c r="H178" s="258">
        <v>1</v>
      </c>
      <c r="I178" s="258">
        <v>28</v>
      </c>
      <c r="J178" s="258">
        <v>20</v>
      </c>
      <c r="K178" s="258">
        <v>10</v>
      </c>
    </row>
    <row r="179">
      <c r="A179" s="243" t="s">
        <v>593</v>
      </c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</row>
    <row r="180">
      <c r="A180" s="244" t="s">
        <v>531</v>
      </c>
      <c r="B180" s="244" t="s">
        <v>532</v>
      </c>
      <c r="C180" s="244" t="s">
        <v>533</v>
      </c>
      <c r="D180" s="244" t="s">
        <v>534</v>
      </c>
      <c r="E180" s="260" t="s">
        <v>535</v>
      </c>
      <c r="F180" s="244" t="s">
        <v>536</v>
      </c>
      <c r="G180" s="244" t="s">
        <v>537</v>
      </c>
      <c r="H180" s="244" t="s">
        <v>573</v>
      </c>
      <c r="I180" s="244" t="s">
        <v>538</v>
      </c>
      <c r="J180" s="244" t="s">
        <v>539</v>
      </c>
      <c r="K180" s="244"/>
    </row>
    <row r="181">
      <c r="A181" s="246" t="s">
        <v>544</v>
      </c>
      <c r="B181" s="247" t="s">
        <v>594</v>
      </c>
      <c r="C181" s="246">
        <v>5</v>
      </c>
      <c r="D181" s="261">
        <v>16197.75</v>
      </c>
      <c r="E181" s="261">
        <v>16776</v>
      </c>
      <c r="F181" s="246">
        <v>13</v>
      </c>
      <c r="G181" s="248">
        <f t="shared" ref="G181:G183" si="100">E181/F181</f>
      </c>
      <c r="H181" s="248">
        <f t="shared" ref="H181:H183" si="73">D181/F181</f>
      </c>
      <c r="I181" s="248">
        <f t="shared" ref="I181:I183" si="46">E181/D181</f>
      </c>
      <c r="J181" s="248">
        <f t="shared" ref="J181:J183" si="19">D181/C181</f>
      </c>
      <c r="K181" s="248"/>
    </row>
    <row r="182">
      <c r="A182" s="246" t="s">
        <v>542</v>
      </c>
      <c r="B182" s="247" t="s">
        <v>595</v>
      </c>
      <c r="C182" s="246">
        <v>5</v>
      </c>
      <c r="D182" s="261">
        <v>11939.020000000004</v>
      </c>
      <c r="E182" s="261">
        <v>17297.800000000003</v>
      </c>
      <c r="F182" s="246">
        <v>12</v>
      </c>
      <c r="G182" s="248">
        <f t="shared" si="100"/>
      </c>
      <c r="H182" s="248">
        <f t="shared" si="73"/>
      </c>
      <c r="I182" s="248">
        <f t="shared" si="46"/>
      </c>
      <c r="J182" s="248">
        <f t="shared" si="19"/>
      </c>
      <c r="K182" s="248"/>
    </row>
    <row r="183">
      <c r="A183" s="244" t="s">
        <v>548</v>
      </c>
      <c r="B183" s="244"/>
      <c r="C183" s="244">
        <f>SUM(C181:C182)</f>
      </c>
      <c r="D183" s="244">
        <f>SUM(D181:D182)</f>
      </c>
      <c r="E183" s="244">
        <f>SUM(E181:E182)</f>
      </c>
      <c r="F183" s="244">
        <f>SUM(F181:F182)</f>
      </c>
      <c r="G183" s="250">
        <f t="shared" si="100"/>
      </c>
      <c r="H183" s="250">
        <f t="shared" si="73"/>
      </c>
      <c r="I183" s="250">
        <f t="shared" si="46"/>
      </c>
      <c r="J183" s="250">
        <f t="shared" si="19"/>
      </c>
      <c r="K183" s="250"/>
    </row>
    <row r="184">
      <c r="A184" s="251" t="s">
        <v>549</v>
      </c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</row>
    <row r="185">
      <c r="A185" s="252" t="s">
        <v>534</v>
      </c>
      <c r="B185" s="252" t="s">
        <v>550</v>
      </c>
      <c r="C185" s="252" t="s">
        <v>551</v>
      </c>
      <c r="D185" s="252" t="s">
        <v>552</v>
      </c>
      <c r="E185" s="252" t="s">
        <v>553</v>
      </c>
      <c r="F185" s="252" t="s">
        <v>554</v>
      </c>
      <c r="G185" s="252" t="s">
        <v>555</v>
      </c>
      <c r="H185" s="253" t="s">
        <v>556</v>
      </c>
      <c r="I185" s="253" t="s">
        <v>557</v>
      </c>
      <c r="J185" s="253" t="s">
        <v>558</v>
      </c>
      <c r="K185" s="253" t="s">
        <v>533</v>
      </c>
    </row>
    <row r="186">
      <c r="A186" s="254">
        <f>SUM(D181:D182)</f>
      </c>
      <c r="B186" s="254">
        <f>SUM(E181:E182)</f>
      </c>
      <c r="C186" s="255">
        <f>B186/((K186*300)+A186)</f>
      </c>
      <c r="D186" s="256">
        <f>A186/J186</f>
      </c>
      <c r="E186" s="255">
        <f>B186/J186</f>
      </c>
      <c r="F186" s="257">
        <f>J186/I186</f>
      </c>
      <c r="G186" s="257">
        <f>H186/J186</f>
      </c>
      <c r="H186" s="258">
        <v>4</v>
      </c>
      <c r="I186" s="258">
        <v>33</v>
      </c>
      <c r="J186" s="258">
        <v>25</v>
      </c>
      <c r="K186" s="258">
        <v>10</v>
      </c>
    </row>
    <row r="187">
      <c r="A187" s="243" t="s">
        <v>596</v>
      </c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</row>
    <row r="188">
      <c r="A188" s="244" t="s">
        <v>531</v>
      </c>
      <c r="B188" s="244" t="s">
        <v>532</v>
      </c>
      <c r="C188" s="244" t="s">
        <v>533</v>
      </c>
      <c r="D188" s="244" t="s">
        <v>534</v>
      </c>
      <c r="E188" s="244" t="s">
        <v>535</v>
      </c>
      <c r="F188" s="244" t="s">
        <v>536</v>
      </c>
      <c r="G188" s="244" t="s">
        <v>537</v>
      </c>
      <c r="H188" s="244" t="s">
        <v>573</v>
      </c>
      <c r="I188" s="244" t="s">
        <v>538</v>
      </c>
      <c r="J188" s="244" t="s">
        <v>539</v>
      </c>
      <c r="K188" s="244"/>
    </row>
    <row r="189">
      <c r="A189" s="246" t="s">
        <v>544</v>
      </c>
      <c r="B189" s="247" t="s">
        <v>586</v>
      </c>
      <c r="C189" s="246">
        <v>5</v>
      </c>
      <c r="D189" s="246">
        <v>15326.88</v>
      </c>
      <c r="E189" s="246">
        <v>24423.6</v>
      </c>
      <c r="F189" s="246">
        <v>20</v>
      </c>
      <c r="G189" s="248">
        <f t="shared" ref="G189:G192" si="101">E189/F189</f>
      </c>
      <c r="H189" s="248">
        <f t="shared" ref="H189:H192" si="74">D189/F189</f>
      </c>
      <c r="I189" s="248">
        <f t="shared" ref="I189:I192" si="47">E189/D189</f>
      </c>
      <c r="J189" s="261">
        <f t="shared" ref="J189:J192" si="20">D189/C189</f>
      </c>
      <c r="K189" s="261"/>
    </row>
    <row r="190">
      <c r="A190" s="246" t="s">
        <v>560</v>
      </c>
      <c r="B190" s="247" t="s">
        <v>587</v>
      </c>
      <c r="C190" s="246">
        <v>5</v>
      </c>
      <c r="D190" s="246">
        <v>10189.19</v>
      </c>
      <c r="E190" s="246">
        <v>13969.8</v>
      </c>
      <c r="F190" s="246">
        <v>7</v>
      </c>
      <c r="G190" s="248">
        <f t="shared" si="101"/>
      </c>
      <c r="H190" s="248">
        <f t="shared" si="74"/>
      </c>
      <c r="I190" s="248">
        <f t="shared" si="47"/>
      </c>
      <c r="J190" s="261">
        <f t="shared" si="20"/>
      </c>
      <c r="K190" s="261"/>
    </row>
    <row r="191">
      <c r="A191" s="246" t="s">
        <v>540</v>
      </c>
      <c r="B191" s="247" t="s">
        <v>597</v>
      </c>
      <c r="C191" s="246">
        <v>5</v>
      </c>
      <c r="D191" s="246">
        <v>7580.609999999993</v>
      </c>
      <c r="E191" s="246">
        <v>16576.199999999997</v>
      </c>
      <c r="F191" s="246">
        <v>14</v>
      </c>
      <c r="G191" s="248">
        <f t="shared" si="101"/>
      </c>
      <c r="H191" s="248">
        <f t="shared" si="74"/>
      </c>
      <c r="I191" s="248">
        <f t="shared" si="47"/>
      </c>
      <c r="J191" s="261">
        <f t="shared" si="20"/>
      </c>
      <c r="K191" s="261"/>
    </row>
    <row r="192">
      <c r="A192" s="244" t="s">
        <v>548</v>
      </c>
      <c r="B192" s="244"/>
      <c r="C192" s="244">
        <f>SUM(C189:C191)</f>
      </c>
      <c r="D192" s="244">
        <f>SUM(D189:D191)</f>
      </c>
      <c r="E192" s="244">
        <f>SUM(E189:E191)</f>
      </c>
      <c r="F192" s="244">
        <f>SUM(F189:F191)</f>
      </c>
      <c r="G192" s="250">
        <f t="shared" si="101"/>
      </c>
      <c r="H192" s="250">
        <f t="shared" si="74"/>
      </c>
      <c r="I192" s="250">
        <f t="shared" si="47"/>
      </c>
      <c r="J192" s="244">
        <f t="shared" si="20"/>
      </c>
      <c r="K192" s="244"/>
    </row>
    <row r="193">
      <c r="A193" s="251" t="s">
        <v>549</v>
      </c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</row>
    <row r="194">
      <c r="A194" s="252" t="s">
        <v>534</v>
      </c>
      <c r="B194" s="252" t="s">
        <v>550</v>
      </c>
      <c r="C194" s="252" t="s">
        <v>551</v>
      </c>
      <c r="D194" s="252" t="s">
        <v>552</v>
      </c>
      <c r="E194" s="252" t="s">
        <v>553</v>
      </c>
      <c r="F194" s="252" t="s">
        <v>554</v>
      </c>
      <c r="G194" s="252" t="s">
        <v>555</v>
      </c>
      <c r="H194" s="253" t="s">
        <v>556</v>
      </c>
      <c r="I194" s="253" t="s">
        <v>557</v>
      </c>
      <c r="J194" s="253" t="s">
        <v>558</v>
      </c>
      <c r="K194" s="253" t="s">
        <v>533</v>
      </c>
    </row>
    <row r="195">
      <c r="A195" s="254">
        <f>SUM(D189:D191)</f>
      </c>
      <c r="B195" s="254">
        <f>SUM(E189:E191)</f>
      </c>
      <c r="C195" s="255">
        <f>B195/((K195*300)+A195)</f>
      </c>
      <c r="D195" s="256">
        <f>A195/J195</f>
      </c>
      <c r="E195" s="255">
        <f>B195/J195</f>
      </c>
      <c r="F195" s="257">
        <f>J195/I195</f>
      </c>
      <c r="G195" s="257">
        <f>H195/J195</f>
      </c>
      <c r="H195" s="258">
        <v>1</v>
      </c>
      <c r="I195" s="258">
        <v>26</v>
      </c>
      <c r="J195" s="258">
        <v>20</v>
      </c>
      <c r="K195" s="258">
        <v>15</v>
      </c>
    </row>
    <row r="196">
      <c r="A196" s="243" t="s">
        <v>598</v>
      </c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</row>
    <row r="197">
      <c r="A197" s="244" t="s">
        <v>531</v>
      </c>
      <c r="B197" s="244" t="s">
        <v>532</v>
      </c>
      <c r="C197" s="244" t="s">
        <v>533</v>
      </c>
      <c r="D197" s="244" t="s">
        <v>534</v>
      </c>
      <c r="E197" s="244" t="s">
        <v>535</v>
      </c>
      <c r="F197" s="244" t="s">
        <v>536</v>
      </c>
      <c r="G197" s="244" t="s">
        <v>537</v>
      </c>
      <c r="H197" s="244" t="s">
        <v>573</v>
      </c>
      <c r="I197" s="244" t="s">
        <v>538</v>
      </c>
      <c r="J197" s="244" t="s">
        <v>539</v>
      </c>
      <c r="K197" s="244"/>
    </row>
    <row r="198">
      <c r="A198" s="246" t="s">
        <v>544</v>
      </c>
      <c r="B198" s="247" t="s">
        <v>586</v>
      </c>
      <c r="C198" s="246">
        <v>5</v>
      </c>
      <c r="D198" s="246">
        <v>8912.73</v>
      </c>
      <c r="E198" s="246">
        <v>8468.2</v>
      </c>
      <c r="F198" s="246">
        <v>5</v>
      </c>
      <c r="G198" s="248">
        <f t="shared" ref="G198:G201" si="102">E198/F198</f>
      </c>
      <c r="H198" s="248">
        <f t="shared" ref="H198:H201" si="75">D198/F198</f>
      </c>
      <c r="I198" s="248">
        <f t="shared" ref="I198:I201" si="48">E198/D198</f>
      </c>
      <c r="J198" s="261">
        <f t="shared" ref="J198:J201" si="21">D198/C198</f>
      </c>
      <c r="K198" s="261"/>
    </row>
    <row r="199">
      <c r="A199" s="246" t="s">
        <v>540</v>
      </c>
      <c r="B199" s="247" t="s">
        <v>587</v>
      </c>
      <c r="C199" s="246">
        <v>5</v>
      </c>
      <c r="D199" s="246">
        <v>9010.490000000002</v>
      </c>
      <c r="E199" s="246">
        <v>15177.599999999999</v>
      </c>
      <c r="F199" s="246">
        <v>13</v>
      </c>
      <c r="G199" s="248">
        <f t="shared" si="102"/>
      </c>
      <c r="H199" s="248">
        <f t="shared" si="75"/>
      </c>
      <c r="I199" s="248">
        <f t="shared" si="48"/>
      </c>
      <c r="J199" s="261">
        <f t="shared" si="21"/>
      </c>
      <c r="K199" s="261"/>
    </row>
    <row r="200">
      <c r="A200" s="246" t="s">
        <v>560</v>
      </c>
      <c r="B200" s="247" t="s">
        <v>597</v>
      </c>
      <c r="C200" s="246">
        <v>5</v>
      </c>
      <c r="D200" s="246">
        <v>7118.31</v>
      </c>
      <c r="E200" s="246">
        <v>8112.1</v>
      </c>
      <c r="F200" s="246">
        <v>6</v>
      </c>
      <c r="G200" s="248">
        <f t="shared" si="102"/>
      </c>
      <c r="H200" s="248">
        <f t="shared" si="75"/>
      </c>
      <c r="I200" s="248">
        <f t="shared" si="48"/>
      </c>
      <c r="J200" s="261">
        <f t="shared" si="21"/>
      </c>
      <c r="K200" s="261"/>
    </row>
    <row r="201">
      <c r="A201" s="244" t="s">
        <v>548</v>
      </c>
      <c r="B201" s="244"/>
      <c r="C201" s="244">
        <f>SUM(C198:C200)</f>
      </c>
      <c r="D201" s="244">
        <f>SUM(D198:D200)</f>
      </c>
      <c r="E201" s="244">
        <f>SUM(E198:E200)</f>
      </c>
      <c r="F201" s="244">
        <f>SUM(F198:F200)</f>
      </c>
      <c r="G201" s="250">
        <f t="shared" si="102"/>
      </c>
      <c r="H201" s="250">
        <f t="shared" si="75"/>
      </c>
      <c r="I201" s="250">
        <f t="shared" si="48"/>
      </c>
      <c r="J201" s="244">
        <f t="shared" si="21"/>
      </c>
      <c r="K201" s="244"/>
    </row>
    <row r="202">
      <c r="A202" s="251" t="s">
        <v>549</v>
      </c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</row>
    <row r="203">
      <c r="A203" s="252" t="s">
        <v>534</v>
      </c>
      <c r="B203" s="252" t="s">
        <v>550</v>
      </c>
      <c r="C203" s="252" t="s">
        <v>551</v>
      </c>
      <c r="D203" s="252" t="s">
        <v>552</v>
      </c>
      <c r="E203" s="252" t="s">
        <v>553</v>
      </c>
      <c r="F203" s="252" t="s">
        <v>554</v>
      </c>
      <c r="G203" s="252" t="s">
        <v>555</v>
      </c>
      <c r="H203" s="253" t="s">
        <v>556</v>
      </c>
      <c r="I203" s="253" t="s">
        <v>557</v>
      </c>
      <c r="J203" s="253" t="s">
        <v>558</v>
      </c>
      <c r="K203" s="253" t="s">
        <v>533</v>
      </c>
    </row>
    <row r="204">
      <c r="A204" s="254">
        <f>SUM(D198:D200)</f>
      </c>
      <c r="B204" s="254">
        <f>SUM(E198:E200)</f>
      </c>
      <c r="C204" s="255">
        <f>B204/((K204*300)+A204)</f>
      </c>
      <c r="D204" s="256">
        <f>A204/J204</f>
      </c>
      <c r="E204" s="255">
        <f>B204/J204</f>
      </c>
      <c r="F204" s="257">
        <f>J204/I204</f>
      </c>
      <c r="G204" s="257">
        <f>H204/J204</f>
      </c>
      <c r="H204" s="258">
        <v>0</v>
      </c>
      <c r="I204" s="258">
        <v>10</v>
      </c>
      <c r="J204" s="258">
        <v>5</v>
      </c>
      <c r="K204" s="258">
        <v>15</v>
      </c>
    </row>
    <row r="205">
      <c r="A205" s="243" t="s">
        <v>599</v>
      </c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</row>
    <row r="206">
      <c r="A206" s="244" t="s">
        <v>531</v>
      </c>
      <c r="B206" s="244" t="s">
        <v>532</v>
      </c>
      <c r="C206" s="244" t="s">
        <v>533</v>
      </c>
      <c r="D206" s="244" t="s">
        <v>534</v>
      </c>
      <c r="E206" s="260" t="s">
        <v>535</v>
      </c>
      <c r="F206" s="244" t="s">
        <v>536</v>
      </c>
      <c r="G206" s="244" t="s">
        <v>537</v>
      </c>
      <c r="H206" s="244" t="s">
        <v>573</v>
      </c>
      <c r="I206" s="244" t="s">
        <v>538</v>
      </c>
      <c r="J206" s="244" t="s">
        <v>539</v>
      </c>
      <c r="K206" s="244"/>
    </row>
    <row r="207">
      <c r="A207" s="261" t="s">
        <v>546</v>
      </c>
      <c r="B207" s="262" t="s">
        <v>541</v>
      </c>
      <c r="C207" s="261">
        <v>4</v>
      </c>
      <c r="D207" s="261">
        <v>4991.35</v>
      </c>
      <c r="E207" s="246">
        <v>15439.1</v>
      </c>
      <c r="F207" s="246">
        <v>11</v>
      </c>
      <c r="G207" s="248">
        <f t="shared" ref="G207:G211" si="103">E207/F207</f>
      </c>
      <c r="H207" s="248">
        <f t="shared" ref="H207:H211" si="76">D207/F207</f>
      </c>
      <c r="I207" s="248">
        <f t="shared" ref="I207:I211" si="49">E207/D207</f>
      </c>
      <c r="J207" s="248">
        <f t="shared" ref="J207:J211" si="22">D207/C207</f>
      </c>
      <c r="K207" s="248"/>
    </row>
    <row r="208">
      <c r="A208" s="246" t="s">
        <v>544</v>
      </c>
      <c r="B208" s="262" t="s">
        <v>543</v>
      </c>
      <c r="C208" s="246">
        <v>4</v>
      </c>
      <c r="D208" s="261">
        <v>2465.6800000000003</v>
      </c>
      <c r="E208" s="261">
        <v>6446.599999999999</v>
      </c>
      <c r="F208" s="246">
        <v>3</v>
      </c>
      <c r="G208" s="248">
        <f t="shared" si="103"/>
      </c>
      <c r="H208" s="248">
        <f t="shared" si="76"/>
      </c>
      <c r="I208" s="248">
        <f t="shared" si="49"/>
      </c>
      <c r="J208" s="248">
        <f t="shared" si="22"/>
      </c>
      <c r="K208" s="248"/>
    </row>
    <row r="209">
      <c r="A209" s="261" t="s">
        <v>560</v>
      </c>
      <c r="B209" s="247" t="s">
        <v>545</v>
      </c>
      <c r="C209" s="246">
        <v>3</v>
      </c>
      <c r="D209" s="246">
        <v>2626.3899999999994</v>
      </c>
      <c r="E209" s="261">
        <v>3284.9999999999964</v>
      </c>
      <c r="F209" s="246">
        <v>3</v>
      </c>
      <c r="G209" s="248">
        <f t="shared" si="103"/>
      </c>
      <c r="H209" s="248">
        <f t="shared" si="76"/>
      </c>
      <c r="I209" s="248">
        <f t="shared" si="49"/>
      </c>
      <c r="J209" s="248">
        <f t="shared" si="22"/>
      </c>
      <c r="K209" s="248"/>
    </row>
    <row r="210">
      <c r="A210" s="261" t="s">
        <v>540</v>
      </c>
      <c r="B210" s="247" t="s">
        <v>547</v>
      </c>
      <c r="C210" s="246">
        <v>5</v>
      </c>
      <c r="D210" s="261">
        <v>5122.110000000001</v>
      </c>
      <c r="E210" s="261">
        <v>3305.7999999999997</v>
      </c>
      <c r="F210" s="246">
        <v>4</v>
      </c>
      <c r="G210" s="248">
        <f t="shared" si="103"/>
      </c>
      <c r="H210" s="248">
        <f t="shared" si="76"/>
      </c>
      <c r="I210" s="248">
        <f t="shared" si="49"/>
      </c>
      <c r="J210" s="248">
        <f t="shared" si="22"/>
      </c>
      <c r="K210" s="248"/>
    </row>
    <row r="211">
      <c r="A211" s="244" t="s">
        <v>548</v>
      </c>
      <c r="B211" s="244"/>
      <c r="C211" s="244">
        <f>SUM(C207:C210)</f>
      </c>
      <c r="D211" s="244">
        <f>SUM(D207:D210)</f>
      </c>
      <c r="E211" s="244">
        <f>SUM(E207:E210)</f>
      </c>
      <c r="F211" s="244">
        <f>SUM(F207:F210)</f>
      </c>
      <c r="G211" s="250">
        <f t="shared" si="103"/>
      </c>
      <c r="H211" s="250">
        <f t="shared" si="76"/>
      </c>
      <c r="I211" s="250">
        <f t="shared" si="49"/>
      </c>
      <c r="J211" s="250">
        <f t="shared" si="22"/>
      </c>
      <c r="K211" s="250"/>
    </row>
    <row r="212">
      <c r="A212" s="251" t="s">
        <v>549</v>
      </c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</row>
    <row r="213">
      <c r="A213" s="252" t="s">
        <v>534</v>
      </c>
      <c r="B213" s="252" t="s">
        <v>550</v>
      </c>
      <c r="C213" s="252" t="s">
        <v>551</v>
      </c>
      <c r="D213" s="252" t="s">
        <v>552</v>
      </c>
      <c r="E213" s="252" t="s">
        <v>553</v>
      </c>
      <c r="F213" s="252" t="s">
        <v>554</v>
      </c>
      <c r="G213" s="252" t="s">
        <v>555</v>
      </c>
      <c r="H213" s="253" t="s">
        <v>556</v>
      </c>
      <c r="I213" s="253" t="s">
        <v>557</v>
      </c>
      <c r="J213" s="253" t="s">
        <v>558</v>
      </c>
      <c r="K213" s="253" t="s">
        <v>533</v>
      </c>
    </row>
    <row r="214">
      <c r="A214" s="254">
        <f>SUM(D207:D210)</f>
      </c>
      <c r="B214" s="254">
        <f>SUM(E207:E210)</f>
      </c>
      <c r="C214" s="255">
        <f>B214/((K214*300)+A214)</f>
      </c>
      <c r="D214" s="256">
        <f>A214/J214</f>
      </c>
      <c r="E214" s="255">
        <f>B214/J214</f>
      </c>
      <c r="F214" s="257">
        <f>J214/I214</f>
      </c>
      <c r="G214" s="257">
        <f>H214/J214</f>
      </c>
      <c r="H214" s="258">
        <v>3</v>
      </c>
      <c r="I214" s="258">
        <v>33</v>
      </c>
      <c r="J214" s="263">
        <f>F211</f>
      </c>
      <c r="K214" s="263">
        <f>C211</f>
      </c>
    </row>
    <row r="215">
      <c r="A215" s="243" t="s">
        <v>600</v>
      </c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</row>
    <row r="216">
      <c r="A216" s="244" t="s">
        <v>531</v>
      </c>
      <c r="B216" s="244" t="s">
        <v>532</v>
      </c>
      <c r="C216" s="244" t="s">
        <v>533</v>
      </c>
      <c r="D216" s="244" t="s">
        <v>534</v>
      </c>
      <c r="E216" s="260" t="s">
        <v>535</v>
      </c>
      <c r="F216" s="244" t="s">
        <v>536</v>
      </c>
      <c r="G216" s="244" t="s">
        <v>537</v>
      </c>
      <c r="H216" s="244" t="s">
        <v>573</v>
      </c>
      <c r="I216" s="244" t="s">
        <v>538</v>
      </c>
      <c r="J216" s="244" t="s">
        <v>539</v>
      </c>
      <c r="K216" s="244"/>
    </row>
    <row r="217">
      <c r="A217" s="261" t="s">
        <v>546</v>
      </c>
      <c r="B217" s="262" t="s">
        <v>541</v>
      </c>
      <c r="C217" s="261">
        <v>4</v>
      </c>
      <c r="D217" s="261">
        <v>4442.09</v>
      </c>
      <c r="E217" s="246">
        <v>13694.4</v>
      </c>
      <c r="F217" s="246">
        <v>11</v>
      </c>
      <c r="G217" s="248">
        <f t="shared" ref="G217:G221" si="104">E217/F217</f>
      </c>
      <c r="H217" s="248">
        <f t="shared" ref="H217:H221" si="77">D217/F217</f>
      </c>
      <c r="I217" s="248">
        <f t="shared" ref="I217:I221" si="50">E217/D217</f>
      </c>
      <c r="J217" s="248">
        <f t="shared" ref="J217:J221" si="23">D217/C217</f>
      </c>
      <c r="K217" s="248"/>
    </row>
    <row r="218">
      <c r="A218" s="246" t="s">
        <v>542</v>
      </c>
      <c r="B218" s="262" t="s">
        <v>543</v>
      </c>
      <c r="C218" s="246">
        <v>4</v>
      </c>
      <c r="D218" s="261">
        <v>4009.5699999999997</v>
      </c>
      <c r="E218" s="261">
        <v>1718.3999999999999</v>
      </c>
      <c r="F218" s="246">
        <v>2</v>
      </c>
      <c r="G218" s="248">
        <f t="shared" si="104"/>
      </c>
      <c r="H218" s="248">
        <f t="shared" si="77"/>
      </c>
      <c r="I218" s="248">
        <f t="shared" si="50"/>
      </c>
      <c r="J218" s="248">
        <f t="shared" si="23"/>
      </c>
      <c r="K218" s="248"/>
    </row>
    <row r="219">
      <c r="A219" s="261" t="s">
        <v>540</v>
      </c>
      <c r="B219" s="262" t="s">
        <v>576</v>
      </c>
      <c r="C219" s="246">
        <v>4</v>
      </c>
      <c r="D219" s="246">
        <v>3879.7199999999993</v>
      </c>
      <c r="E219" s="261">
        <v>5612.4000000000015</v>
      </c>
      <c r="F219" s="246">
        <v>4</v>
      </c>
      <c r="G219" s="248">
        <f t="shared" si="104"/>
      </c>
      <c r="H219" s="248">
        <f t="shared" si="77"/>
      </c>
      <c r="I219" s="248">
        <f t="shared" si="50"/>
      </c>
      <c r="J219" s="248">
        <f t="shared" si="23"/>
      </c>
      <c r="K219" s="248"/>
    </row>
    <row r="220">
      <c r="A220" s="246" t="s">
        <v>560</v>
      </c>
      <c r="B220" s="262" t="s">
        <v>577</v>
      </c>
      <c r="C220" s="246">
        <v>4</v>
      </c>
      <c r="D220" s="261">
        <v>4580.26</v>
      </c>
      <c r="E220" s="261">
        <v>6262.799999999999</v>
      </c>
      <c r="F220" s="246">
        <v>4</v>
      </c>
      <c r="G220" s="248">
        <f t="shared" si="104"/>
      </c>
      <c r="H220" s="248">
        <f t="shared" si="77"/>
      </c>
      <c r="I220" s="248">
        <f t="shared" si="50"/>
      </c>
      <c r="J220" s="248">
        <f t="shared" si="23"/>
      </c>
      <c r="K220" s="248"/>
    </row>
    <row r="221">
      <c r="A221" s="244" t="s">
        <v>548</v>
      </c>
      <c r="B221" s="244"/>
      <c r="C221" s="244">
        <f>SUM(C217:C220)</f>
      </c>
      <c r="D221" s="244">
        <f>SUM(D217:D220)</f>
      </c>
      <c r="E221" s="244">
        <f>SUM(E217:E220)</f>
      </c>
      <c r="F221" s="244">
        <f>SUM(F217:F220)</f>
      </c>
      <c r="G221" s="250">
        <f t="shared" si="104"/>
      </c>
      <c r="H221" s="250">
        <f t="shared" si="77"/>
      </c>
      <c r="I221" s="250">
        <f t="shared" si="50"/>
      </c>
      <c r="J221" s="250">
        <f t="shared" si="23"/>
      </c>
      <c r="K221" s="250"/>
    </row>
    <row r="222">
      <c r="A222" s="251" t="s">
        <v>549</v>
      </c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</row>
    <row r="223">
      <c r="A223" s="252" t="s">
        <v>534</v>
      </c>
      <c r="B223" s="252" t="s">
        <v>550</v>
      </c>
      <c r="C223" s="252" t="s">
        <v>551</v>
      </c>
      <c r="D223" s="252" t="s">
        <v>552</v>
      </c>
      <c r="E223" s="252" t="s">
        <v>553</v>
      </c>
      <c r="F223" s="252" t="s">
        <v>554</v>
      </c>
      <c r="G223" s="252" t="s">
        <v>555</v>
      </c>
      <c r="H223" s="253" t="s">
        <v>556</v>
      </c>
      <c r="I223" s="253" t="s">
        <v>557</v>
      </c>
      <c r="J223" s="253" t="s">
        <v>558</v>
      </c>
      <c r="K223" s="253" t="s">
        <v>533</v>
      </c>
    </row>
    <row r="224">
      <c r="A224" s="254">
        <f>SUM(D217:D220)</f>
      </c>
      <c r="B224" s="254">
        <f>SUM(E217:E220)</f>
      </c>
      <c r="C224" s="255">
        <f>B224/((K224*300)+A224)</f>
      </c>
      <c r="D224" s="256">
        <f>A224/J224</f>
      </c>
      <c r="E224" s="255">
        <f>B224/J224</f>
      </c>
      <c r="F224" s="257">
        <f>J224/I224</f>
      </c>
      <c r="G224" s="257">
        <f>H224/J224</f>
      </c>
      <c r="H224" s="258">
        <v>2</v>
      </c>
      <c r="I224" s="258">
        <v>28</v>
      </c>
      <c r="J224" s="263">
        <f>F221</f>
      </c>
      <c r="K224" s="263">
        <f>C221</f>
      </c>
    </row>
    <row r="225">
      <c r="A225" s="243" t="s">
        <v>601</v>
      </c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</row>
    <row r="226">
      <c r="A226" s="244" t="s">
        <v>531</v>
      </c>
      <c r="B226" s="244" t="s">
        <v>532</v>
      </c>
      <c r="C226" s="244" t="s">
        <v>533</v>
      </c>
      <c r="D226" s="244" t="s">
        <v>534</v>
      </c>
      <c r="E226" s="260" t="s">
        <v>535</v>
      </c>
      <c r="F226" s="244" t="s">
        <v>536</v>
      </c>
      <c r="G226" s="244" t="s">
        <v>537</v>
      </c>
      <c r="H226" s="244" t="s">
        <v>573</v>
      </c>
      <c r="I226" s="244" t="s">
        <v>538</v>
      </c>
      <c r="J226" s="244" t="s">
        <v>539</v>
      </c>
      <c r="K226" s="244"/>
    </row>
    <row r="227">
      <c r="A227" s="261" t="s">
        <v>546</v>
      </c>
      <c r="B227" s="262" t="s">
        <v>541</v>
      </c>
      <c r="C227" s="261">
        <v>4</v>
      </c>
      <c r="D227" s="261">
        <v>3329.73</v>
      </c>
      <c r="E227" s="246">
        <v>12316.8</v>
      </c>
      <c r="F227" s="246">
        <v>8</v>
      </c>
      <c r="G227" s="248">
        <f t="shared" ref="G227:G231" si="105">E227/F227</f>
      </c>
      <c r="H227" s="248">
        <f t="shared" ref="H227:H231" si="78">D227/F227</f>
      </c>
      <c r="I227" s="248">
        <f t="shared" ref="I227:I231" si="51">E227/D227</f>
      </c>
      <c r="J227" s="248">
        <f t="shared" ref="J227:J231" si="24">D227/C227</f>
      </c>
      <c r="K227" s="248"/>
    </row>
    <row r="228">
      <c r="A228" s="246" t="s">
        <v>542</v>
      </c>
      <c r="B228" s="262" t="s">
        <v>543</v>
      </c>
      <c r="C228" s="246">
        <v>4</v>
      </c>
      <c r="D228" s="261">
        <v>4906.040000000001</v>
      </c>
      <c r="E228" s="261">
        <v>6241.6</v>
      </c>
      <c r="F228" s="246">
        <v>7</v>
      </c>
      <c r="G228" s="248">
        <f t="shared" si="105"/>
      </c>
      <c r="H228" s="248">
        <f t="shared" si="78"/>
      </c>
      <c r="I228" s="248">
        <f t="shared" si="51"/>
      </c>
      <c r="J228" s="248">
        <f t="shared" si="24"/>
      </c>
      <c r="K228" s="248"/>
    </row>
    <row r="229">
      <c r="A229" s="246" t="s">
        <v>560</v>
      </c>
      <c r="B229" s="262" t="s">
        <v>576</v>
      </c>
      <c r="C229" s="246">
        <v>4</v>
      </c>
      <c r="D229" s="246">
        <v>4445.8499999999985</v>
      </c>
      <c r="E229" s="261">
        <v>10482.399999999998</v>
      </c>
      <c r="F229" s="246">
        <v>7</v>
      </c>
      <c r="G229" s="248">
        <f t="shared" si="105"/>
      </c>
      <c r="H229" s="248">
        <f t="shared" si="78"/>
      </c>
      <c r="I229" s="248">
        <f t="shared" si="51"/>
      </c>
      <c r="J229" s="248">
        <f t="shared" si="24"/>
      </c>
      <c r="K229" s="248"/>
    </row>
    <row r="230">
      <c r="A230" s="261" t="s">
        <v>540</v>
      </c>
      <c r="B230" s="262" t="s">
        <v>577</v>
      </c>
      <c r="C230" s="246">
        <v>4</v>
      </c>
      <c r="D230" s="261">
        <v>7315.149999999998</v>
      </c>
      <c r="E230" s="261">
        <v>21559.200000000008</v>
      </c>
      <c r="F230" s="246">
        <v>14</v>
      </c>
      <c r="G230" s="248">
        <f t="shared" si="105"/>
      </c>
      <c r="H230" s="248">
        <f t="shared" si="78"/>
      </c>
      <c r="I230" s="248">
        <f t="shared" si="51"/>
      </c>
      <c r="J230" s="248">
        <f t="shared" si="24"/>
      </c>
      <c r="K230" s="248"/>
    </row>
    <row r="231">
      <c r="A231" s="244" t="s">
        <v>548</v>
      </c>
      <c r="B231" s="244"/>
      <c r="C231" s="244">
        <f>SUM(C227:C230)</f>
      </c>
      <c r="D231" s="244">
        <f>SUM(D227:D230)</f>
      </c>
      <c r="E231" s="244">
        <f>SUM(E227:E230)</f>
      </c>
      <c r="F231" s="244">
        <f>SUM(F227:F230)</f>
      </c>
      <c r="G231" s="250">
        <f t="shared" si="105"/>
      </c>
      <c r="H231" s="250">
        <f t="shared" si="78"/>
      </c>
      <c r="I231" s="250">
        <f t="shared" si="51"/>
      </c>
      <c r="J231" s="250">
        <f t="shared" si="24"/>
      </c>
      <c r="K231" s="250"/>
    </row>
    <row r="232">
      <c r="A232" s="251" t="s">
        <v>549</v>
      </c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</row>
    <row r="233">
      <c r="A233" s="252" t="s">
        <v>534</v>
      </c>
      <c r="B233" s="252" t="s">
        <v>550</v>
      </c>
      <c r="C233" s="252" t="s">
        <v>551</v>
      </c>
      <c r="D233" s="252" t="s">
        <v>552</v>
      </c>
      <c r="E233" s="252" t="s">
        <v>553</v>
      </c>
      <c r="F233" s="252" t="s">
        <v>554</v>
      </c>
      <c r="G233" s="252" t="s">
        <v>555</v>
      </c>
      <c r="H233" s="253" t="s">
        <v>556</v>
      </c>
      <c r="I233" s="253" t="s">
        <v>557</v>
      </c>
      <c r="J233" s="253" t="s">
        <v>558</v>
      </c>
      <c r="K233" s="253" t="s">
        <v>533</v>
      </c>
    </row>
    <row r="234">
      <c r="A234" s="254">
        <f>SUM(D227:D230)</f>
      </c>
      <c r="B234" s="254">
        <f>SUM(E227:E230)</f>
      </c>
      <c r="C234" s="255">
        <f>B234/((K234*300)+A234)</f>
      </c>
      <c r="D234" s="256">
        <f>A234/J234</f>
      </c>
      <c r="E234" s="255">
        <f>B234/J234</f>
      </c>
      <c r="F234" s="257">
        <f>J234/I234</f>
      </c>
      <c r="G234" s="257">
        <f>H234/J234</f>
      </c>
      <c r="H234" s="258">
        <v>8</v>
      </c>
      <c r="I234" s="258">
        <v>51</v>
      </c>
      <c r="J234" s="263">
        <f>F231</f>
      </c>
      <c r="K234" s="263">
        <f>C231</f>
      </c>
    </row>
    <row r="235">
      <c r="A235" s="243" t="s">
        <v>602</v>
      </c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</row>
    <row r="236">
      <c r="A236" s="244" t="s">
        <v>531</v>
      </c>
      <c r="B236" s="244" t="s">
        <v>532</v>
      </c>
      <c r="C236" s="244" t="s">
        <v>533</v>
      </c>
      <c r="D236" s="244" t="s">
        <v>534</v>
      </c>
      <c r="E236" s="260" t="s">
        <v>535</v>
      </c>
      <c r="F236" s="244" t="s">
        <v>536</v>
      </c>
      <c r="G236" s="244" t="s">
        <v>537</v>
      </c>
      <c r="H236" s="244" t="s">
        <v>573</v>
      </c>
      <c r="I236" s="244" t="s">
        <v>538</v>
      </c>
      <c r="J236" s="244" t="s">
        <v>539</v>
      </c>
      <c r="K236" s="244"/>
    </row>
    <row r="237">
      <c r="A237" s="261" t="s">
        <v>546</v>
      </c>
      <c r="B237" s="262" t="s">
        <v>541</v>
      </c>
      <c r="C237" s="261">
        <v>4</v>
      </c>
      <c r="D237" s="261">
        <v>3390.78</v>
      </c>
      <c r="E237" s="246">
        <v>3759.3999999999996</v>
      </c>
      <c r="F237" s="246">
        <v>2</v>
      </c>
      <c r="G237" s="248">
        <f t="shared" ref="G237:G241" si="106">E237/F237</f>
      </c>
      <c r="H237" s="248">
        <f t="shared" ref="H237:H241" si="79">D237/F237</f>
      </c>
      <c r="I237" s="248">
        <f t="shared" ref="I237:I241" si="52">E237/D237</f>
      </c>
      <c r="J237" s="248">
        <f t="shared" ref="J237:J241" si="25">D237/C237</f>
      </c>
      <c r="K237" s="248"/>
    </row>
    <row r="238">
      <c r="A238" s="246" t="s">
        <v>542</v>
      </c>
      <c r="B238" s="262" t="s">
        <v>543</v>
      </c>
      <c r="C238" s="246">
        <v>4</v>
      </c>
      <c r="D238" s="261">
        <v>2243.4500000000003</v>
      </c>
      <c r="E238" s="261">
        <v>1316.3999999999996</v>
      </c>
      <c r="F238" s="246">
        <v>1</v>
      </c>
      <c r="G238" s="248">
        <f t="shared" si="106"/>
      </c>
      <c r="H238" s="248">
        <f t="shared" si="79"/>
      </c>
      <c r="I238" s="248">
        <f t="shared" si="52"/>
      </c>
      <c r="J238" s="248">
        <f t="shared" si="25"/>
      </c>
      <c r="K238" s="248"/>
    </row>
    <row r="239">
      <c r="A239" s="246" t="s">
        <v>560</v>
      </c>
      <c r="B239" s="262" t="s">
        <v>576</v>
      </c>
      <c r="C239" s="246">
        <v>4</v>
      </c>
      <c r="D239" s="246">
        <v>3959.819999999999</v>
      </c>
      <c r="E239" s="261">
        <v>9192</v>
      </c>
      <c r="F239" s="246">
        <v>4</v>
      </c>
      <c r="G239" s="248">
        <f t="shared" si="106"/>
      </c>
      <c r="H239" s="248">
        <f t="shared" si="79"/>
      </c>
      <c r="I239" s="248">
        <f t="shared" si="52"/>
      </c>
      <c r="J239" s="248">
        <f t="shared" si="25"/>
      </c>
      <c r="K239" s="248"/>
    </row>
    <row r="240">
      <c r="A240" s="261" t="s">
        <v>540</v>
      </c>
      <c r="B240" s="262" t="s">
        <v>577</v>
      </c>
      <c r="C240" s="246">
        <v>4</v>
      </c>
      <c r="D240" s="261">
        <v>5574.01</v>
      </c>
      <c r="E240" s="261">
        <v>14628.399999999998</v>
      </c>
      <c r="F240" s="246">
        <v>8</v>
      </c>
      <c r="G240" s="248">
        <f t="shared" si="106"/>
      </c>
      <c r="H240" s="248">
        <f t="shared" si="79"/>
      </c>
      <c r="I240" s="248">
        <f t="shared" si="52"/>
      </c>
      <c r="J240" s="248">
        <f t="shared" si="25"/>
      </c>
      <c r="K240" s="248"/>
    </row>
    <row r="241">
      <c r="A241" s="244" t="s">
        <v>548</v>
      </c>
      <c r="B241" s="244"/>
      <c r="C241" s="244">
        <f>SUM(C237:C240)</f>
      </c>
      <c r="D241" s="244">
        <f>SUM(D237:D240)</f>
      </c>
      <c r="E241" s="244">
        <f>SUM(E237:E240)</f>
      </c>
      <c r="F241" s="244">
        <f>SUM(F237:F240)</f>
      </c>
      <c r="G241" s="250">
        <f t="shared" si="106"/>
      </c>
      <c r="H241" s="250">
        <f t="shared" si="79"/>
      </c>
      <c r="I241" s="250">
        <f t="shared" si="52"/>
      </c>
      <c r="J241" s="250">
        <f t="shared" si="25"/>
      </c>
      <c r="K241" s="250"/>
    </row>
    <row r="242">
      <c r="A242" s="251" t="s">
        <v>549</v>
      </c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</row>
    <row r="243">
      <c r="A243" s="252" t="s">
        <v>534</v>
      </c>
      <c r="B243" s="252" t="s">
        <v>550</v>
      </c>
      <c r="C243" s="252" t="s">
        <v>551</v>
      </c>
      <c r="D243" s="252" t="s">
        <v>552</v>
      </c>
      <c r="E243" s="252" t="s">
        <v>553</v>
      </c>
      <c r="F243" s="252" t="s">
        <v>554</v>
      </c>
      <c r="G243" s="252" t="s">
        <v>555</v>
      </c>
      <c r="H243" s="253" t="s">
        <v>556</v>
      </c>
      <c r="I243" s="253" t="s">
        <v>557</v>
      </c>
      <c r="J243" s="253" t="s">
        <v>558</v>
      </c>
      <c r="K243" s="253" t="s">
        <v>533</v>
      </c>
    </row>
    <row r="244">
      <c r="A244" s="254">
        <f>SUM(D237:D240)</f>
      </c>
      <c r="B244" s="254">
        <f>SUM(E237:E240)</f>
      </c>
      <c r="C244" s="255">
        <f>B244/((K244*300)+A244)</f>
      </c>
      <c r="D244" s="256">
        <f>A244/J244</f>
      </c>
      <c r="E244" s="255">
        <f>B244/J244</f>
      </c>
      <c r="F244" s="257">
        <f>J244/I244</f>
      </c>
      <c r="G244" s="257">
        <f>H244/J244</f>
      </c>
      <c r="H244" s="258">
        <v>3</v>
      </c>
      <c r="I244" s="258">
        <v>24</v>
      </c>
      <c r="J244" s="263">
        <f>F241</f>
      </c>
      <c r="K244" s="263">
        <f>C241</f>
      </c>
    </row>
    <row r="245">
      <c r="A245" s="243" t="s">
        <v>603</v>
      </c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</row>
    <row r="246">
      <c r="A246" s="244" t="s">
        <v>531</v>
      </c>
      <c r="B246" s="244" t="s">
        <v>532</v>
      </c>
      <c r="C246" s="244" t="s">
        <v>533</v>
      </c>
      <c r="D246" s="244" t="s">
        <v>534</v>
      </c>
      <c r="E246" s="260" t="s">
        <v>535</v>
      </c>
      <c r="F246" s="244" t="s">
        <v>536</v>
      </c>
      <c r="G246" s="244" t="s">
        <v>537</v>
      </c>
      <c r="H246" s="244" t="s">
        <v>573</v>
      </c>
      <c r="I246" s="244" t="s">
        <v>538</v>
      </c>
      <c r="J246" s="244" t="s">
        <v>539</v>
      </c>
      <c r="K246" s="244"/>
    </row>
    <row r="247">
      <c r="A247" s="261" t="s">
        <v>546</v>
      </c>
      <c r="B247" s="262" t="s">
        <v>541</v>
      </c>
      <c r="C247" s="261">
        <v>4</v>
      </c>
      <c r="D247" s="261">
        <v>2850.15</v>
      </c>
      <c r="E247" s="246">
        <v>2299.2</v>
      </c>
      <c r="F247" s="246">
        <v>3</v>
      </c>
      <c r="G247" s="248">
        <f t="shared" ref="G247:G251" si="107">E247/F247</f>
      </c>
      <c r="H247" s="248">
        <f t="shared" ref="H247:H251" si="80">D247/F247</f>
      </c>
      <c r="I247" s="248">
        <f t="shared" ref="I247:I251" si="53">E247/D247</f>
      </c>
      <c r="J247" s="248">
        <f t="shared" ref="J247:J251" si="26">D247/C247</f>
      </c>
      <c r="K247" s="248"/>
    </row>
    <row r="248">
      <c r="A248" s="246" t="s">
        <v>542</v>
      </c>
      <c r="B248" s="262" t="s">
        <v>543</v>
      </c>
      <c r="C248" s="246">
        <v>4</v>
      </c>
      <c r="D248" s="246">
        <v>2731.71</v>
      </c>
      <c r="E248" s="246">
        <v>5978.4</v>
      </c>
      <c r="F248" s="246">
        <v>5</v>
      </c>
      <c r="G248" s="248">
        <f t="shared" si="107"/>
      </c>
      <c r="H248" s="248">
        <f t="shared" si="80"/>
      </c>
      <c r="I248" s="248">
        <f t="shared" si="53"/>
      </c>
      <c r="J248" s="248">
        <f t="shared" si="26"/>
      </c>
      <c r="K248" s="248"/>
    </row>
    <row r="249">
      <c r="A249" s="261" t="s">
        <v>540</v>
      </c>
      <c r="B249" s="262" t="s">
        <v>576</v>
      </c>
      <c r="C249" s="246">
        <v>4</v>
      </c>
      <c r="D249" s="246">
        <v>3546.15</v>
      </c>
      <c r="E249" s="246">
        <v>3727.1</v>
      </c>
      <c r="F249" s="246">
        <v>5</v>
      </c>
      <c r="G249" s="248">
        <f t="shared" si="107"/>
      </c>
      <c r="H249" s="248">
        <f t="shared" si="80"/>
      </c>
      <c r="I249" s="248">
        <f t="shared" si="53"/>
      </c>
      <c r="J249" s="248">
        <f t="shared" si="26"/>
      </c>
      <c r="K249" s="248"/>
    </row>
    <row r="250">
      <c r="A250" s="246" t="s">
        <v>560</v>
      </c>
      <c r="B250" s="262" t="s">
        <v>577</v>
      </c>
      <c r="C250" s="264">
        <v>4</v>
      </c>
      <c r="D250" s="264">
        <v>6834.99</v>
      </c>
      <c r="E250" s="264">
        <v>20764.6</v>
      </c>
      <c r="F250" s="264">
        <v>19</v>
      </c>
      <c r="G250" s="248">
        <f t="shared" si="107"/>
      </c>
      <c r="H250" s="248">
        <f t="shared" si="80"/>
      </c>
      <c r="I250" s="248">
        <f t="shared" si="53"/>
      </c>
      <c r="J250" s="248">
        <f t="shared" si="26"/>
      </c>
      <c r="K250" s="248"/>
    </row>
    <row r="251">
      <c r="A251" s="244" t="s">
        <v>548</v>
      </c>
      <c r="B251" s="244"/>
      <c r="C251" s="244">
        <f>SUM(C247:C250)</f>
      </c>
      <c r="D251" s="244">
        <f>SUM(D247:D250)</f>
      </c>
      <c r="E251" s="244">
        <f>SUM(E247:E250)</f>
      </c>
      <c r="F251" s="244">
        <f>SUM(F247:F250)</f>
      </c>
      <c r="G251" s="250">
        <f t="shared" si="107"/>
      </c>
      <c r="H251" s="250">
        <f t="shared" si="80"/>
      </c>
      <c r="I251" s="250">
        <f t="shared" si="53"/>
      </c>
      <c r="J251" s="250">
        <f t="shared" si="26"/>
      </c>
      <c r="K251" s="250"/>
    </row>
    <row r="252">
      <c r="A252" s="251" t="s">
        <v>549</v>
      </c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</row>
    <row r="253">
      <c r="A253" s="252" t="s">
        <v>534</v>
      </c>
      <c r="B253" s="252" t="s">
        <v>550</v>
      </c>
      <c r="C253" s="252" t="s">
        <v>551</v>
      </c>
      <c r="D253" s="252" t="s">
        <v>552</v>
      </c>
      <c r="E253" s="252" t="s">
        <v>553</v>
      </c>
      <c r="F253" s="252" t="s">
        <v>554</v>
      </c>
      <c r="G253" s="252" t="s">
        <v>555</v>
      </c>
      <c r="H253" s="253" t="s">
        <v>556</v>
      </c>
      <c r="I253" s="253" t="s">
        <v>557</v>
      </c>
      <c r="J253" s="253" t="s">
        <v>558</v>
      </c>
      <c r="K253" s="253" t="s">
        <v>533</v>
      </c>
    </row>
    <row r="254">
      <c r="A254" s="254">
        <f>SUM(D247:D250)</f>
      </c>
      <c r="B254" s="254">
        <f>SUM(E247:E250)</f>
      </c>
      <c r="C254" s="255">
        <f>B254/((K254*300)+A254)</f>
      </c>
      <c r="D254" s="256">
        <f>A254/J254</f>
      </c>
      <c r="E254" s="255">
        <f>B254/J254</f>
      </c>
      <c r="F254" s="257">
        <f>J254/I254</f>
      </c>
      <c r="G254" s="257">
        <f>H254/J254</f>
      </c>
      <c r="H254" s="265">
        <v>4</v>
      </c>
      <c r="I254" s="265">
        <v>34</v>
      </c>
      <c r="J254" s="263">
        <f>F251</f>
      </c>
      <c r="K254" s="263">
        <f>C251</f>
      </c>
    </row>
    <row r="255">
      <c r="A255" s="254"/>
      <c r="B255" s="254"/>
      <c r="C255" s="255"/>
      <c r="D255" s="256"/>
      <c r="E255" s="255"/>
      <c r="F255" s="257"/>
      <c r="G255" s="257"/>
      <c r="H255" s="258"/>
      <c r="I255" s="258"/>
      <c r="J255" s="263"/>
      <c r="K255" s="263"/>
    </row>
    <row r="256">
      <c r="A256" s="254"/>
      <c r="B256" s="254"/>
      <c r="C256" s="255"/>
      <c r="D256" s="256">
        <f>D257-D251</f>
      </c>
      <c r="E256" s="255">
        <f>E257-E251</f>
      </c>
      <c r="F256" s="257"/>
      <c r="G256" s="257"/>
      <c r="H256" s="258"/>
      <c r="I256" s="258"/>
      <c r="J256" s="263"/>
      <c r="K256" s="263"/>
    </row>
    <row r="257">
      <c r="A257" s="254"/>
      <c r="B257" s="254"/>
      <c r="C257" s="255"/>
      <c r="D257" s="266">
        <v>15963</v>
      </c>
      <c r="E257" s="267">
        <v>32769.299999999996</v>
      </c>
      <c r="F257" s="257"/>
      <c r="G257" s="257"/>
      <c r="H257" s="258"/>
      <c r="I257" s="258"/>
      <c r="J257" s="263"/>
      <c r="K257" s="263"/>
    </row>
  </sheetData>
  <autoFilter ref="A1:L257"/>
  <mergeCells>
    <mergeCell ref="A161:K161"/>
    <mergeCell ref="J160:K160"/>
    <mergeCell ref="J159:K159"/>
    <mergeCell ref="J158:K158"/>
    <mergeCell ref="A157:K157"/>
    <mergeCell ref="A154:K154"/>
    <mergeCell ref="J153:K153"/>
    <mergeCell ref="J152:K152"/>
    <mergeCell ref="J151:K151"/>
    <mergeCell ref="J150:K150"/>
    <mergeCell ref="A149:K149"/>
    <mergeCell ref="A1:K1"/>
    <mergeCell ref="J2:K2"/>
    <mergeCell ref="J3:K3"/>
    <mergeCell ref="J4:K4"/>
    <mergeCell ref="J5:K5"/>
    <mergeCell ref="J6:K6"/>
    <mergeCell ref="J7:K7"/>
    <mergeCell ref="A8:K8"/>
    <mergeCell ref="A11:K11"/>
    <mergeCell ref="J12:K12"/>
    <mergeCell ref="J13:K13"/>
    <mergeCell ref="J14:K14"/>
    <mergeCell ref="J15:K15"/>
    <mergeCell ref="J16:K16"/>
    <mergeCell ref="J17:K17"/>
    <mergeCell ref="A18:K18"/>
    <mergeCell ref="A21:K21"/>
    <mergeCell ref="J22:K22"/>
    <mergeCell ref="J23:K23"/>
    <mergeCell ref="J24:K24"/>
    <mergeCell ref="J25:K25"/>
    <mergeCell ref="J26:K26"/>
    <mergeCell ref="J27:K27"/>
    <mergeCell ref="A28:K28"/>
    <mergeCell ref="A31:K31"/>
    <mergeCell ref="J32:K32"/>
    <mergeCell ref="J33:K33"/>
    <mergeCell ref="J34:K34"/>
    <mergeCell ref="J35:K35"/>
    <mergeCell ref="J36:K36"/>
    <mergeCell ref="J37:K37"/>
    <mergeCell ref="A38:K38"/>
    <mergeCell ref="A41:K41"/>
    <mergeCell ref="J42:K42"/>
    <mergeCell ref="J43:K43"/>
    <mergeCell ref="J44:K44"/>
    <mergeCell ref="J45:K45"/>
    <mergeCell ref="J46:K46"/>
    <mergeCell ref="J47:K47"/>
    <mergeCell ref="A48:K48"/>
    <mergeCell ref="A51:K51"/>
    <mergeCell ref="J52:K52"/>
    <mergeCell ref="J53:K53"/>
    <mergeCell ref="J54:K54"/>
    <mergeCell ref="J55:K55"/>
    <mergeCell ref="J56:K56"/>
    <mergeCell ref="J57:K57"/>
    <mergeCell ref="A58:K58"/>
    <mergeCell ref="A61:K61"/>
    <mergeCell ref="J62:K62"/>
    <mergeCell ref="J63:K63"/>
    <mergeCell ref="J64:K64"/>
    <mergeCell ref="J65:K65"/>
    <mergeCell ref="J66:K66"/>
    <mergeCell ref="J67:K67"/>
    <mergeCell ref="A68:K68"/>
    <mergeCell ref="A71:K71"/>
    <mergeCell ref="J72:K72"/>
    <mergeCell ref="J73:K73"/>
    <mergeCell ref="J74:K74"/>
    <mergeCell ref="J75:K75"/>
    <mergeCell ref="J76:K76"/>
    <mergeCell ref="J77:K77"/>
    <mergeCell ref="A78:K78"/>
    <mergeCell ref="A81:K81"/>
    <mergeCell ref="J82:K82"/>
    <mergeCell ref="J83:K83"/>
    <mergeCell ref="J84:K84"/>
    <mergeCell ref="J85:K85"/>
    <mergeCell ref="J86:K86"/>
    <mergeCell ref="J87:K87"/>
    <mergeCell ref="A88:K88"/>
    <mergeCell ref="A91:K91"/>
    <mergeCell ref="J92:K92"/>
    <mergeCell ref="J93:K93"/>
    <mergeCell ref="J94:K94"/>
    <mergeCell ref="J95:K95"/>
    <mergeCell ref="J96:K96"/>
    <mergeCell ref="J97:K97"/>
    <mergeCell ref="A98:K98"/>
    <mergeCell ref="A101:K101"/>
    <mergeCell ref="J102:K102"/>
    <mergeCell ref="J103:K103"/>
    <mergeCell ref="J104:K104"/>
    <mergeCell ref="J105:K105"/>
    <mergeCell ref="J106:K106"/>
    <mergeCell ref="J107:K107"/>
    <mergeCell ref="A108:K108"/>
    <mergeCell ref="A111:K111"/>
    <mergeCell ref="J112:K112"/>
    <mergeCell ref="J113:K113"/>
    <mergeCell ref="J114:K114"/>
    <mergeCell ref="J115:K115"/>
    <mergeCell ref="J116:K116"/>
    <mergeCell ref="J117:K117"/>
    <mergeCell ref="A118:K118"/>
    <mergeCell ref="A121:K121"/>
    <mergeCell ref="J122:K122"/>
    <mergeCell ref="J123:K123"/>
    <mergeCell ref="J124:K124"/>
    <mergeCell ref="J125:K125"/>
    <mergeCell ref="J126:K126"/>
    <mergeCell ref="J127:K127"/>
    <mergeCell ref="A128:K128"/>
    <mergeCell ref="A131:K131"/>
    <mergeCell ref="J132:K132"/>
    <mergeCell ref="J133:K133"/>
    <mergeCell ref="J134:K134"/>
    <mergeCell ref="J135:K135"/>
    <mergeCell ref="J136:K136"/>
    <mergeCell ref="J137:K137"/>
    <mergeCell ref="A138:K138"/>
    <mergeCell ref="A141:K141"/>
    <mergeCell ref="J142:K142"/>
    <mergeCell ref="J143:K143"/>
    <mergeCell ref="J144:K144"/>
    <mergeCell ref="J145:K145"/>
    <mergeCell ref="A146:K146"/>
    <mergeCell ref="A164:K164"/>
    <mergeCell ref="J165:K165"/>
    <mergeCell ref="J166:K166"/>
    <mergeCell ref="J167:K167"/>
    <mergeCell ref="A168:K168"/>
    <mergeCell ref="A171:K171"/>
    <mergeCell ref="J172:K172"/>
    <mergeCell ref="J173:K173"/>
    <mergeCell ref="J174:K174"/>
    <mergeCell ref="J175:K175"/>
    <mergeCell ref="A176:K176"/>
    <mergeCell ref="A179:K179"/>
    <mergeCell ref="J180:K180"/>
    <mergeCell ref="J181:K181"/>
    <mergeCell ref="J182:K182"/>
    <mergeCell ref="J183:K183"/>
    <mergeCell ref="A184:K184"/>
    <mergeCell ref="A187:K187"/>
    <mergeCell ref="J188:K188"/>
    <mergeCell ref="J189:K189"/>
    <mergeCell ref="J190:K190"/>
    <mergeCell ref="J191:K191"/>
    <mergeCell ref="J192:K192"/>
    <mergeCell ref="A193:K193"/>
    <mergeCell ref="A196:K196"/>
    <mergeCell ref="J197:K197"/>
    <mergeCell ref="J198:K198"/>
    <mergeCell ref="J199:K199"/>
    <mergeCell ref="J200:K200"/>
    <mergeCell ref="J201:K201"/>
    <mergeCell ref="A202:K202"/>
    <mergeCell ref="A205:K205"/>
    <mergeCell ref="J206:K206"/>
    <mergeCell ref="J207:K207"/>
    <mergeCell ref="J208:K208"/>
    <mergeCell ref="J209:K209"/>
    <mergeCell ref="J210:K210"/>
    <mergeCell ref="J211:K211"/>
    <mergeCell ref="A212:K212"/>
    <mergeCell ref="A215:K215"/>
    <mergeCell ref="J216:K216"/>
    <mergeCell ref="J217:K217"/>
    <mergeCell ref="J218:K218"/>
    <mergeCell ref="J219:K219"/>
    <mergeCell ref="J220:K220"/>
    <mergeCell ref="J221:K221"/>
    <mergeCell ref="A222:K222"/>
    <mergeCell ref="A225:K225"/>
    <mergeCell ref="J226:K226"/>
    <mergeCell ref="J227:K227"/>
    <mergeCell ref="J228:K228"/>
    <mergeCell ref="J229:K229"/>
    <mergeCell ref="J230:K230"/>
    <mergeCell ref="J231:K231"/>
    <mergeCell ref="A232:K232"/>
    <mergeCell ref="A235:K235"/>
    <mergeCell ref="J236:K236"/>
    <mergeCell ref="J237:K237"/>
    <mergeCell ref="J238:K238"/>
    <mergeCell ref="J239:K239"/>
    <mergeCell ref="J240:K240"/>
    <mergeCell ref="J241:K241"/>
    <mergeCell ref="A242:K242"/>
    <mergeCell ref="A245:K245"/>
    <mergeCell ref="J246:K246"/>
    <mergeCell ref="J247:K247"/>
    <mergeCell ref="J248:K248"/>
    <mergeCell ref="J249:K249"/>
    <mergeCell ref="J250:K250"/>
    <mergeCell ref="J251:K251"/>
    <mergeCell ref="A252:K252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68" t="s">
        <v>604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</row>
    <row r="2">
      <c r="A2" s="269" t="s">
        <v>605</v>
      </c>
      <c r="B2" s="269" t="s">
        <v>606</v>
      </c>
      <c r="C2" s="269" t="s">
        <v>607</v>
      </c>
      <c r="D2" s="269" t="s">
        <v>608</v>
      </c>
      <c r="E2" s="269" t="s">
        <v>609</v>
      </c>
      <c r="F2" s="269" t="s">
        <v>610</v>
      </c>
      <c r="G2" s="269" t="s">
        <v>611</v>
      </c>
      <c r="H2" s="269" t="s">
        <v>612</v>
      </c>
      <c r="I2" s="269" t="s">
        <v>613</v>
      </c>
      <c r="J2" s="269" t="s">
        <v>614</v>
      </c>
      <c r="K2" s="269"/>
    </row>
    <row r="3">
      <c r="A3" s="270" t="s">
        <v>615</v>
      </c>
      <c r="B3" s="271" t="s">
        <v>616</v>
      </c>
      <c r="C3" s="272">
        <v>4</v>
      </c>
      <c r="D3" s="270">
        <v>14004.37</v>
      </c>
      <c r="E3" s="270">
        <v>20861.5</v>
      </c>
      <c r="F3" s="270">
        <v>19</v>
      </c>
      <c r="G3" s="273">
        <f t="shared" ref="G3:G5" si="62">E3/F3</f>
      </c>
      <c r="H3" s="273">
        <f t="shared" ref="H3:H5" si="31">D3/F3</f>
      </c>
      <c r="I3" s="273">
        <f t="shared" ref="I3:I5" si="0">E3/D3</f>
      </c>
      <c r="J3" s="272">
        <f t="shared" ref="J3:J5" si="93">D3/C3</f>
      </c>
      <c r="K3" s="272"/>
    </row>
    <row r="4">
      <c r="A4" s="270" t="s">
        <v>617</v>
      </c>
      <c r="B4" s="271" t="s">
        <v>618</v>
      </c>
      <c r="C4" s="270">
        <v>4</v>
      </c>
      <c r="D4" s="270">
        <v>11248.82</v>
      </c>
      <c r="E4" s="270">
        <v>10428.5</v>
      </c>
      <c r="F4" s="270">
        <v>7</v>
      </c>
      <c r="G4" s="273">
        <f t="shared" si="62"/>
      </c>
      <c r="H4" s="273">
        <f t="shared" si="31"/>
      </c>
      <c r="I4" s="273">
        <f t="shared" si="0"/>
      </c>
      <c r="J4" s="272">
        <f t="shared" si="93"/>
      </c>
      <c r="K4" s="272"/>
    </row>
    <row r="5">
      <c r="A5" s="270" t="s">
        <v>619</v>
      </c>
      <c r="B5" s="271" t="s">
        <v>620</v>
      </c>
      <c r="C5" s="270">
        <v>4</v>
      </c>
      <c r="D5" s="270">
        <v>8073</v>
      </c>
      <c r="E5" s="270">
        <v>7938</v>
      </c>
      <c r="F5" s="270">
        <v>5</v>
      </c>
      <c r="G5" s="273">
        <f t="shared" si="62"/>
      </c>
      <c r="H5" s="273">
        <f t="shared" si="31"/>
      </c>
      <c r="I5" s="273">
        <f t="shared" si="0"/>
      </c>
      <c r="J5" s="272">
        <f t="shared" si="93"/>
      </c>
      <c r="K5" s="272"/>
    </row>
    <row r="6">
      <c r="A6" s="270"/>
      <c r="B6" s="271"/>
      <c r="C6" s="270"/>
      <c r="D6" s="270"/>
      <c r="E6" s="270"/>
      <c r="F6" s="270"/>
      <c r="G6" s="273"/>
      <c r="H6" s="273"/>
      <c r="I6" s="273"/>
      <c r="J6" s="272"/>
      <c r="K6" s="272"/>
    </row>
    <row r="7">
      <c r="A7" s="269" t="s">
        <v>621</v>
      </c>
      <c r="B7" s="269"/>
      <c r="C7" s="269">
        <f>SUM(C3:C6)</f>
      </c>
      <c r="D7" s="269">
        <f>SUM(D3:D6)</f>
      </c>
      <c r="E7" s="269">
        <f>SUM(E3:E6)</f>
      </c>
      <c r="F7" s="269">
        <f>SUM(F3:F6)</f>
      </c>
      <c r="G7" s="274">
        <f>E7/F7</f>
      </c>
      <c r="H7" s="274">
        <f>D7/F7</f>
      </c>
      <c r="I7" s="274">
        <f>E7/D7</f>
      </c>
      <c r="J7" s="269">
        <f>D7/C7</f>
      </c>
      <c r="K7" s="269"/>
    </row>
    <row r="8">
      <c r="A8" s="275" t="s">
        <v>622</v>
      </c>
      <c r="B8" s="275"/>
      <c r="C8" s="275"/>
      <c r="D8" s="275"/>
      <c r="E8" s="275"/>
      <c r="F8" s="275"/>
      <c r="G8" s="275"/>
      <c r="H8" s="275"/>
      <c r="I8" s="275"/>
      <c r="J8" s="275"/>
      <c r="K8" s="275"/>
    </row>
    <row r="9">
      <c r="A9" s="276" t="s">
        <v>608</v>
      </c>
      <c r="B9" s="276" t="s">
        <v>623</v>
      </c>
      <c r="C9" s="276" t="s">
        <v>624</v>
      </c>
      <c r="D9" s="276" t="s">
        <v>625</v>
      </c>
      <c r="E9" s="276" t="s">
        <v>626</v>
      </c>
      <c r="F9" s="276" t="s">
        <v>627</v>
      </c>
      <c r="G9" s="276" t="s">
        <v>628</v>
      </c>
      <c r="H9" s="277" t="s">
        <v>629</v>
      </c>
      <c r="I9" s="277" t="s">
        <v>630</v>
      </c>
      <c r="J9" s="277" t="s">
        <v>631</v>
      </c>
      <c r="K9" s="277" t="s">
        <v>607</v>
      </c>
    </row>
    <row r="10">
      <c r="A10" s="278">
        <f>SUM(D3:D6)</f>
      </c>
      <c r="B10" s="278">
        <f>SUM(E3:E6)</f>
      </c>
      <c r="C10" s="279">
        <f>B10/((K10*300)+A10)</f>
      </c>
      <c r="D10" s="280">
        <f>A10/J10</f>
      </c>
      <c r="E10" s="279">
        <f>B10/J10</f>
      </c>
      <c r="F10" s="281">
        <f>J10/I10</f>
      </c>
      <c r="G10" s="281">
        <f>H10/J10</f>
      </c>
      <c r="H10" s="282">
        <v>1</v>
      </c>
      <c r="I10" s="282">
        <v>23</v>
      </c>
      <c r="J10" s="282">
        <f>F7</f>
      </c>
      <c r="K10" s="283">
        <f>C7</f>
      </c>
    </row>
    <row r="11">
      <c r="A11" s="268" t="s">
        <v>632</v>
      </c>
      <c r="B11" s="268"/>
      <c r="C11" s="268"/>
      <c r="D11" s="268"/>
      <c r="E11" s="268"/>
      <c r="F11" s="268"/>
      <c r="G11" s="268"/>
      <c r="H11" s="268"/>
      <c r="I11" s="268"/>
      <c r="J11" s="268"/>
      <c r="K11" s="268"/>
    </row>
    <row r="12">
      <c r="A12" s="269" t="s">
        <v>605</v>
      </c>
      <c r="B12" s="269" t="s">
        <v>606</v>
      </c>
      <c r="C12" s="269" t="s">
        <v>607</v>
      </c>
      <c r="D12" s="269" t="s">
        <v>608</v>
      </c>
      <c r="E12" s="269" t="s">
        <v>609</v>
      </c>
      <c r="F12" s="269" t="s">
        <v>610</v>
      </c>
      <c r="G12" s="269" t="s">
        <v>611</v>
      </c>
      <c r="H12" s="269" t="s">
        <v>612</v>
      </c>
      <c r="I12" s="269" t="s">
        <v>613</v>
      </c>
      <c r="J12" s="269" t="s">
        <v>614</v>
      </c>
      <c r="K12" s="269"/>
    </row>
    <row r="13">
      <c r="A13" s="270" t="s">
        <v>615</v>
      </c>
      <c r="B13" s="284" t="s">
        <v>633</v>
      </c>
      <c r="C13" s="270">
        <v>5</v>
      </c>
      <c r="D13" s="270">
        <v>11551.04</v>
      </c>
      <c r="E13" s="270">
        <v>6916.2</v>
      </c>
      <c r="F13" s="270">
        <v>8</v>
      </c>
      <c r="G13" s="273">
        <f t="shared" ref="G13:G16" si="63">E13/F13</f>
      </c>
      <c r="H13" s="273">
        <f t="shared" ref="H13:H16" si="32">D13/F13</f>
      </c>
      <c r="I13" s="273">
        <f t="shared" ref="I13:I16" si="1">E13/D13</f>
      </c>
      <c r="J13" s="272">
        <f t="shared" ref="J13:J16" si="94">D13/C13</f>
      </c>
      <c r="K13" s="272"/>
    </row>
    <row r="14">
      <c r="A14" s="270" t="s">
        <v>634</v>
      </c>
      <c r="B14" s="284" t="s">
        <v>635</v>
      </c>
      <c r="C14" s="270">
        <v>5</v>
      </c>
      <c r="D14" s="270">
        <v>10691.029999999999</v>
      </c>
      <c r="E14" s="270">
        <v>11099.4</v>
      </c>
      <c r="F14" s="270">
        <v>12</v>
      </c>
      <c r="G14" s="273">
        <f t="shared" si="63"/>
      </c>
      <c r="H14" s="273">
        <f t="shared" si="32"/>
      </c>
      <c r="I14" s="273">
        <f t="shared" si="1"/>
      </c>
      <c r="J14" s="272">
        <f t="shared" si="94"/>
      </c>
      <c r="K14" s="272"/>
    </row>
    <row r="15">
      <c r="A15" s="270" t="s">
        <v>617</v>
      </c>
      <c r="B15" s="284" t="s">
        <v>636</v>
      </c>
      <c r="C15" s="270">
        <v>6</v>
      </c>
      <c r="D15" s="270">
        <v>15311.549999999996</v>
      </c>
      <c r="E15" s="270">
        <v>37055.799999999996</v>
      </c>
      <c r="F15" s="270">
        <v>23</v>
      </c>
      <c r="G15" s="273">
        <f t="shared" si="63"/>
      </c>
      <c r="H15" s="273">
        <f t="shared" si="32"/>
      </c>
      <c r="I15" s="273">
        <f t="shared" si="1"/>
      </c>
      <c r="J15" s="272">
        <f t="shared" si="94"/>
      </c>
      <c r="K15" s="272"/>
    </row>
    <row r="16">
      <c r="A16" s="269" t="s">
        <v>621</v>
      </c>
      <c r="B16" s="269"/>
      <c r="C16" s="269">
        <f>SUM(C13:C15)</f>
      </c>
      <c r="D16" s="269">
        <f>SUM(D13:D15)</f>
      </c>
      <c r="E16" s="269">
        <f>SUM(E13:E15)</f>
      </c>
      <c r="F16" s="269">
        <f>SUM(F13:F15)</f>
      </c>
      <c r="G16" s="274">
        <f t="shared" si="63"/>
      </c>
      <c r="H16" s="274">
        <f t="shared" si="32"/>
      </c>
      <c r="I16" s="274">
        <f t="shared" si="1"/>
      </c>
      <c r="J16" s="269">
        <f t="shared" si="94"/>
      </c>
      <c r="K16" s="269"/>
    </row>
    <row r="17">
      <c r="A17" s="275" t="s">
        <v>622</v>
      </c>
      <c r="B17" s="275"/>
      <c r="C17" s="275"/>
      <c r="D17" s="275"/>
      <c r="E17" s="275"/>
      <c r="F17" s="275"/>
      <c r="G17" s="275"/>
      <c r="H17" s="275"/>
      <c r="I17" s="275"/>
      <c r="J17" s="275"/>
      <c r="K17" s="275"/>
    </row>
    <row r="18">
      <c r="A18" s="276" t="s">
        <v>608</v>
      </c>
      <c r="B18" s="276" t="s">
        <v>623</v>
      </c>
      <c r="C18" s="276" t="s">
        <v>624</v>
      </c>
      <c r="D18" s="276" t="s">
        <v>625</v>
      </c>
      <c r="E18" s="276" t="s">
        <v>626</v>
      </c>
      <c r="F18" s="276" t="s">
        <v>627</v>
      </c>
      <c r="G18" s="276" t="s">
        <v>628</v>
      </c>
      <c r="H18" s="277" t="s">
        <v>629</v>
      </c>
      <c r="I18" s="277" t="s">
        <v>630</v>
      </c>
      <c r="J18" s="277" t="s">
        <v>631</v>
      </c>
      <c r="K18" s="277" t="s">
        <v>607</v>
      </c>
    </row>
    <row r="19">
      <c r="A19" s="278">
        <f>SUM(D13:D15)</f>
      </c>
      <c r="B19" s="278">
        <f>SUM(E13:E15)</f>
      </c>
      <c r="C19" s="279">
        <f>B19/((K19*300)+A19)</f>
      </c>
      <c r="D19" s="280">
        <f>A19/J19</f>
      </c>
      <c r="E19" s="279">
        <f>B19/J19</f>
      </c>
      <c r="F19" s="281">
        <f>J19/I19</f>
      </c>
      <c r="G19" s="281">
        <f>H19/J19</f>
      </c>
      <c r="H19" s="282">
        <v>6</v>
      </c>
      <c r="I19" s="282">
        <v>58</v>
      </c>
      <c r="J19" s="282">
        <f>F16</f>
      </c>
      <c r="K19" s="282">
        <v>16</v>
      </c>
    </row>
    <row r="20">
      <c r="A20" s="268" t="s">
        <v>637</v>
      </c>
      <c r="B20" s="268"/>
      <c r="C20" s="268"/>
      <c r="D20" s="268"/>
      <c r="E20" s="268"/>
      <c r="F20" s="268"/>
      <c r="G20" s="268"/>
      <c r="H20" s="268"/>
      <c r="I20" s="268"/>
      <c r="J20" s="268"/>
      <c r="K20" s="268"/>
    </row>
    <row r="21">
      <c r="A21" s="269" t="s">
        <v>605</v>
      </c>
      <c r="B21" s="269" t="s">
        <v>606</v>
      </c>
      <c r="C21" s="269" t="s">
        <v>607</v>
      </c>
      <c r="D21" s="269" t="s">
        <v>608</v>
      </c>
      <c r="E21" s="269" t="s">
        <v>609</v>
      </c>
      <c r="F21" s="269" t="s">
        <v>610</v>
      </c>
      <c r="G21" s="269" t="s">
        <v>611</v>
      </c>
      <c r="H21" s="269" t="s">
        <v>612</v>
      </c>
      <c r="I21" s="269" t="s">
        <v>613</v>
      </c>
      <c r="J21" s="269" t="s">
        <v>614</v>
      </c>
      <c r="K21" s="269"/>
    </row>
    <row r="22">
      <c r="A22" s="270" t="s">
        <v>615</v>
      </c>
      <c r="B22" s="271" t="s">
        <v>616</v>
      </c>
      <c r="C22" s="272">
        <v>4</v>
      </c>
      <c r="D22" s="270">
        <v>10124.06</v>
      </c>
      <c r="E22" s="270">
        <v>7328.2</v>
      </c>
      <c r="F22" s="270">
        <v>7</v>
      </c>
      <c r="G22" s="273">
        <f t="shared" ref="G22:G26" si="64">E22/F22</f>
      </c>
      <c r="H22" s="273">
        <f t="shared" ref="H22:H26" si="33">D22/F22</f>
      </c>
      <c r="I22" s="273">
        <f t="shared" ref="I22:I26" si="2">E22/D22</f>
      </c>
      <c r="J22" s="272">
        <f t="shared" ref="J22:J26" si="95">D22/C22</f>
      </c>
      <c r="K22" s="272"/>
    </row>
    <row r="23">
      <c r="A23" s="270" t="s">
        <v>634</v>
      </c>
      <c r="B23" s="271" t="s">
        <v>618</v>
      </c>
      <c r="C23" s="270">
        <v>4</v>
      </c>
      <c r="D23" s="270">
        <v>5333.319999999998</v>
      </c>
      <c r="E23" s="270">
        <v>2608.8</v>
      </c>
      <c r="F23" s="270">
        <v>3</v>
      </c>
      <c r="G23" s="273">
        <f t="shared" si="64"/>
      </c>
      <c r="H23" s="273">
        <f t="shared" si="33"/>
      </c>
      <c r="I23" s="273">
        <f t="shared" si="2"/>
      </c>
      <c r="J23" s="272">
        <f t="shared" si="95"/>
      </c>
      <c r="K23" s="272"/>
    </row>
    <row r="24">
      <c r="A24" s="270" t="s">
        <v>617</v>
      </c>
      <c r="B24" s="271" t="s">
        <v>620</v>
      </c>
      <c r="C24" s="270">
        <v>4</v>
      </c>
      <c r="D24" s="270">
        <v>6889.840000000004</v>
      </c>
      <c r="E24" s="270">
        <v>6387.6</v>
      </c>
      <c r="F24" s="270">
        <v>5</v>
      </c>
      <c r="G24" s="273">
        <f t="shared" si="64"/>
      </c>
      <c r="H24" s="273">
        <f t="shared" si="33"/>
      </c>
      <c r="I24" s="273">
        <f t="shared" si="2"/>
      </c>
      <c r="J24" s="272">
        <f t="shared" si="95"/>
      </c>
      <c r="K24" s="272"/>
    </row>
    <row r="25">
      <c r="A25" s="270" t="s">
        <v>619</v>
      </c>
      <c r="B25" s="271" t="s">
        <v>638</v>
      </c>
      <c r="C25" s="270">
        <v>4</v>
      </c>
      <c r="D25" s="270">
        <v>7662.169999999998</v>
      </c>
      <c r="E25" s="270">
        <v>4354.799999999997</v>
      </c>
      <c r="F25" s="270">
        <v>3</v>
      </c>
      <c r="G25" s="273">
        <f t="shared" si="64"/>
      </c>
      <c r="H25" s="273">
        <f t="shared" si="33"/>
      </c>
      <c r="I25" s="273">
        <f t="shared" si="2"/>
      </c>
      <c r="J25" s="272">
        <f t="shared" si="95"/>
      </c>
      <c r="K25" s="272"/>
    </row>
    <row r="26">
      <c r="A26" s="269" t="s">
        <v>621</v>
      </c>
      <c r="B26" s="269"/>
      <c r="C26" s="269">
        <f>SUM(C22:C25)</f>
      </c>
      <c r="D26" s="269">
        <f>SUM(D22:D25)</f>
      </c>
      <c r="E26" s="269">
        <f>SUM(E22:E25)</f>
      </c>
      <c r="F26" s="269">
        <f>SUM(F22:F25)</f>
      </c>
      <c r="G26" s="274">
        <f t="shared" si="64"/>
      </c>
      <c r="H26" s="274">
        <f t="shared" si="33"/>
      </c>
      <c r="I26" s="274">
        <f t="shared" si="2"/>
      </c>
      <c r="J26" s="269">
        <f t="shared" si="95"/>
      </c>
      <c r="K26" s="269"/>
    </row>
    <row r="27">
      <c r="A27" s="275" t="s">
        <v>622</v>
      </c>
      <c r="B27" s="275"/>
      <c r="C27" s="275"/>
      <c r="D27" s="275"/>
      <c r="E27" s="275"/>
      <c r="F27" s="275"/>
      <c r="G27" s="275"/>
      <c r="H27" s="275"/>
      <c r="I27" s="275"/>
      <c r="J27" s="275"/>
      <c r="K27" s="275"/>
    </row>
    <row r="28">
      <c r="A28" s="276" t="s">
        <v>608</v>
      </c>
      <c r="B28" s="276" t="s">
        <v>623</v>
      </c>
      <c r="C28" s="276" t="s">
        <v>624</v>
      </c>
      <c r="D28" s="276" t="s">
        <v>625</v>
      </c>
      <c r="E28" s="276" t="s">
        <v>626</v>
      </c>
      <c r="F28" s="276" t="s">
        <v>627</v>
      </c>
      <c r="G28" s="276" t="s">
        <v>628</v>
      </c>
      <c r="H28" s="277" t="s">
        <v>629</v>
      </c>
      <c r="I28" s="277" t="s">
        <v>630</v>
      </c>
      <c r="J28" s="277" t="s">
        <v>631</v>
      </c>
      <c r="K28" s="277" t="s">
        <v>607</v>
      </c>
    </row>
    <row r="29">
      <c r="A29" s="278">
        <f>SUM(D22:D25)</f>
      </c>
      <c r="B29" s="278">
        <f>SUM(E22:E25)</f>
      </c>
      <c r="C29" s="279">
        <f>B29/((K29*300)+A29)</f>
      </c>
      <c r="D29" s="280">
        <f>A29/J29</f>
      </c>
      <c r="E29" s="279">
        <f>B29/J29</f>
      </c>
      <c r="F29" s="281">
        <f>J29/I29</f>
      </c>
      <c r="G29" s="281">
        <f>H29/J29</f>
      </c>
      <c r="H29" s="282">
        <v>1</v>
      </c>
      <c r="I29" s="282">
        <v>47</v>
      </c>
      <c r="J29" s="282">
        <f>F26</f>
      </c>
      <c r="K29" s="283">
        <f>C26</f>
      </c>
    </row>
    <row r="30">
      <c r="A30" s="268" t="s">
        <v>639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</row>
    <row r="31">
      <c r="A31" s="269" t="s">
        <v>605</v>
      </c>
      <c r="B31" s="269" t="s">
        <v>606</v>
      </c>
      <c r="C31" s="269" t="s">
        <v>607</v>
      </c>
      <c r="D31" s="269" t="s">
        <v>608</v>
      </c>
      <c r="E31" s="269" t="s">
        <v>609</v>
      </c>
      <c r="F31" s="269" t="s">
        <v>610</v>
      </c>
      <c r="G31" s="269" t="s">
        <v>611</v>
      </c>
      <c r="H31" s="269" t="s">
        <v>612</v>
      </c>
      <c r="I31" s="269" t="s">
        <v>613</v>
      </c>
      <c r="J31" s="269" t="s">
        <v>614</v>
      </c>
      <c r="K31" s="269"/>
    </row>
    <row r="32">
      <c r="A32" s="270" t="s">
        <v>617</v>
      </c>
      <c r="B32" s="271" t="s">
        <v>616</v>
      </c>
      <c r="C32" s="272">
        <v>4</v>
      </c>
      <c r="D32" s="270">
        <v>12513.4</v>
      </c>
      <c r="E32" s="270">
        <v>18672</v>
      </c>
      <c r="F32" s="270">
        <v>14</v>
      </c>
      <c r="G32" s="273">
        <f t="shared" ref="G32:G36" si="65">E32/F32</f>
      </c>
      <c r="H32" s="273">
        <f t="shared" ref="H32:H36" si="34">D32/F32</f>
      </c>
      <c r="I32" s="273">
        <f t="shared" ref="I32:I36" si="3">E32/D32</f>
      </c>
      <c r="J32" s="272">
        <f t="shared" ref="J32:J36" si="96">D32/C32</f>
      </c>
      <c r="K32" s="272"/>
    </row>
    <row r="33">
      <c r="A33" s="270" t="s">
        <v>615</v>
      </c>
      <c r="B33" s="271" t="s">
        <v>618</v>
      </c>
      <c r="C33" s="270">
        <v>4</v>
      </c>
      <c r="D33" s="270">
        <v>10218.179999999998</v>
      </c>
      <c r="E33" s="270">
        <v>9315.800000000003</v>
      </c>
      <c r="F33" s="270">
        <v>7</v>
      </c>
      <c r="G33" s="273">
        <f t="shared" si="65"/>
      </c>
      <c r="H33" s="273">
        <f t="shared" si="34"/>
      </c>
      <c r="I33" s="273">
        <f t="shared" si="3"/>
      </c>
      <c r="J33" s="272">
        <f t="shared" si="96"/>
      </c>
      <c r="K33" s="272"/>
    </row>
    <row r="34">
      <c r="A34" s="270" t="s">
        <v>619</v>
      </c>
      <c r="B34" s="271" t="s">
        <v>620</v>
      </c>
      <c r="C34" s="270">
        <v>4</v>
      </c>
      <c r="D34" s="270">
        <v>9755.79</v>
      </c>
      <c r="E34" s="270">
        <v>7020</v>
      </c>
      <c r="F34" s="270">
        <v>7</v>
      </c>
      <c r="G34" s="273">
        <f t="shared" si="65"/>
      </c>
      <c r="H34" s="273">
        <f t="shared" si="34"/>
      </c>
      <c r="I34" s="273">
        <f t="shared" si="3"/>
      </c>
      <c r="J34" s="272">
        <f t="shared" si="96"/>
      </c>
      <c r="K34" s="272"/>
    </row>
    <row r="35">
      <c r="A35" s="270" t="s">
        <v>634</v>
      </c>
      <c r="B35" s="271" t="s">
        <v>638</v>
      </c>
      <c r="C35" s="270">
        <v>4</v>
      </c>
      <c r="D35" s="270">
        <v>14385.580000000005</v>
      </c>
      <c r="E35" s="270">
        <v>9623.400000000001</v>
      </c>
      <c r="F35" s="270">
        <v>12</v>
      </c>
      <c r="G35" s="273">
        <f t="shared" si="65"/>
      </c>
      <c r="H35" s="273">
        <f t="shared" si="34"/>
      </c>
      <c r="I35" s="273">
        <f t="shared" si="3"/>
      </c>
      <c r="J35" s="272">
        <f t="shared" si="96"/>
      </c>
      <c r="K35" s="272"/>
    </row>
    <row r="36">
      <c r="A36" s="269" t="s">
        <v>621</v>
      </c>
      <c r="B36" s="269"/>
      <c r="C36" s="269">
        <f>SUM(C32:C35)</f>
      </c>
      <c r="D36" s="269">
        <f>SUM(D32:D35)</f>
      </c>
      <c r="E36" s="269">
        <f>SUM(E32:E35)</f>
      </c>
      <c r="F36" s="269">
        <f>SUM(F32:F35)</f>
      </c>
      <c r="G36" s="274">
        <f t="shared" si="65"/>
      </c>
      <c r="H36" s="274">
        <f t="shared" si="34"/>
      </c>
      <c r="I36" s="274">
        <f t="shared" si="3"/>
      </c>
      <c r="J36" s="269">
        <f t="shared" si="96"/>
      </c>
      <c r="K36" s="269"/>
    </row>
    <row r="37">
      <c r="A37" s="275" t="s">
        <v>622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</row>
    <row r="38">
      <c r="A38" s="276" t="s">
        <v>608</v>
      </c>
      <c r="B38" s="276" t="s">
        <v>623</v>
      </c>
      <c r="C38" s="276" t="s">
        <v>624</v>
      </c>
      <c r="D38" s="276" t="s">
        <v>625</v>
      </c>
      <c r="E38" s="276" t="s">
        <v>626</v>
      </c>
      <c r="F38" s="276" t="s">
        <v>627</v>
      </c>
      <c r="G38" s="276" t="s">
        <v>628</v>
      </c>
      <c r="H38" s="277" t="s">
        <v>629</v>
      </c>
      <c r="I38" s="277" t="s">
        <v>630</v>
      </c>
      <c r="J38" s="277" t="s">
        <v>631</v>
      </c>
      <c r="K38" s="277" t="s">
        <v>607</v>
      </c>
    </row>
    <row r="39">
      <c r="A39" s="278">
        <f>SUM(D32:D35)</f>
      </c>
      <c r="B39" s="278">
        <f>SUM(E32:E35)</f>
      </c>
      <c r="C39" s="279">
        <f>B39/((K39*300)+A39)</f>
      </c>
      <c r="D39" s="280">
        <f>A39/J39</f>
      </c>
      <c r="E39" s="279">
        <f>B39/J39</f>
      </c>
      <c r="F39" s="281">
        <f>J39/I39</f>
      </c>
      <c r="G39" s="281">
        <f>H39/J39</f>
      </c>
      <c r="H39" s="282">
        <v>2</v>
      </c>
      <c r="I39" s="282">
        <v>86</v>
      </c>
      <c r="J39" s="282">
        <f>F36</f>
      </c>
      <c r="K39" s="283">
        <f>C36</f>
      </c>
    </row>
    <row r="40">
      <c r="A40" s="268" t="s">
        <v>640</v>
      </c>
      <c r="B40" s="268"/>
      <c r="C40" s="268"/>
      <c r="D40" s="268"/>
      <c r="E40" s="268"/>
      <c r="F40" s="268"/>
      <c r="G40" s="268"/>
      <c r="H40" s="268"/>
      <c r="I40" s="268"/>
      <c r="J40" s="268"/>
      <c r="K40" s="268"/>
    </row>
    <row r="41">
      <c r="A41" s="269" t="s">
        <v>605</v>
      </c>
      <c r="B41" s="269" t="s">
        <v>606</v>
      </c>
      <c r="C41" s="269" t="s">
        <v>607</v>
      </c>
      <c r="D41" s="269" t="s">
        <v>608</v>
      </c>
      <c r="E41" s="269" t="s">
        <v>609</v>
      </c>
      <c r="F41" s="269" t="s">
        <v>610</v>
      </c>
      <c r="G41" s="269" t="s">
        <v>611</v>
      </c>
      <c r="H41" s="269" t="s">
        <v>612</v>
      </c>
      <c r="I41" s="269" t="s">
        <v>613</v>
      </c>
      <c r="J41" s="269" t="s">
        <v>614</v>
      </c>
      <c r="K41" s="269"/>
    </row>
    <row r="42">
      <c r="A42" s="270" t="s">
        <v>617</v>
      </c>
      <c r="B42" s="271" t="s">
        <v>616</v>
      </c>
      <c r="C42" s="272">
        <v>4</v>
      </c>
      <c r="D42" s="270">
        <v>7497.05</v>
      </c>
      <c r="E42" s="270">
        <v>3316.8</v>
      </c>
      <c r="F42" s="270">
        <v>3</v>
      </c>
      <c r="G42" s="273">
        <f t="shared" ref="G42:G46" si="66">E42/F42</f>
      </c>
      <c r="H42" s="273">
        <f t="shared" ref="H42:H46" si="35">D42/F42</f>
      </c>
      <c r="I42" s="273">
        <f t="shared" ref="I42:I46" si="4">E42/D42</f>
      </c>
      <c r="J42" s="272">
        <f t="shared" ref="J42:J46" si="97">D42/C42</f>
      </c>
      <c r="K42" s="272"/>
    </row>
    <row r="43">
      <c r="A43" s="270" t="s">
        <v>615</v>
      </c>
      <c r="B43" s="271" t="s">
        <v>618</v>
      </c>
      <c r="C43" s="270">
        <v>4</v>
      </c>
      <c r="D43" s="270">
        <v>6762.680000000001</v>
      </c>
      <c r="E43" s="270">
        <v>9759</v>
      </c>
      <c r="F43" s="270">
        <v>10</v>
      </c>
      <c r="G43" s="273">
        <f t="shared" si="66"/>
      </c>
      <c r="H43" s="273">
        <f t="shared" si="35"/>
      </c>
      <c r="I43" s="273">
        <f t="shared" si="4"/>
      </c>
      <c r="J43" s="272">
        <f t="shared" si="97"/>
      </c>
      <c r="K43" s="272"/>
    </row>
    <row r="44">
      <c r="A44" s="270" t="s">
        <v>634</v>
      </c>
      <c r="B44" s="271" t="s">
        <v>620</v>
      </c>
      <c r="C44" s="270">
        <v>4</v>
      </c>
      <c r="D44" s="270">
        <v>9322.909999999998</v>
      </c>
      <c r="E44" s="270">
        <v>5241.600000000002</v>
      </c>
      <c r="F44" s="270">
        <v>5</v>
      </c>
      <c r="G44" s="273">
        <f t="shared" si="66"/>
      </c>
      <c r="H44" s="273">
        <f t="shared" si="35"/>
      </c>
      <c r="I44" s="273">
        <f t="shared" si="4"/>
      </c>
      <c r="J44" s="272">
        <f t="shared" si="97"/>
      </c>
      <c r="K44" s="272"/>
    </row>
    <row r="45">
      <c r="A45" s="270" t="s">
        <v>619</v>
      </c>
      <c r="B45" s="271" t="s">
        <v>638</v>
      </c>
      <c r="C45" s="270">
        <v>4</v>
      </c>
      <c r="D45" s="270">
        <v>11360.669999999998</v>
      </c>
      <c r="E45" s="270">
        <v>13491.599999999999</v>
      </c>
      <c r="F45" s="270">
        <v>9</v>
      </c>
      <c r="G45" s="273">
        <f t="shared" si="66"/>
      </c>
      <c r="H45" s="273">
        <f t="shared" si="35"/>
      </c>
      <c r="I45" s="273">
        <f t="shared" si="4"/>
      </c>
      <c r="J45" s="272">
        <f t="shared" si="97"/>
      </c>
      <c r="K45" s="272"/>
    </row>
    <row r="46">
      <c r="A46" s="269" t="s">
        <v>621</v>
      </c>
      <c r="B46" s="269"/>
      <c r="C46" s="269">
        <f>SUM(C42:C45)</f>
      </c>
      <c r="D46" s="269">
        <f>SUM(D42:D45)</f>
      </c>
      <c r="E46" s="269">
        <f>SUM(E42:E45)</f>
      </c>
      <c r="F46" s="269">
        <f>SUM(F42:F45)</f>
      </c>
      <c r="G46" s="274">
        <f t="shared" si="66"/>
      </c>
      <c r="H46" s="274">
        <f t="shared" si="35"/>
      </c>
      <c r="I46" s="274">
        <f t="shared" si="4"/>
      </c>
      <c r="J46" s="269">
        <f t="shared" si="97"/>
      </c>
      <c r="K46" s="269"/>
    </row>
    <row r="47">
      <c r="A47" s="275" t="s">
        <v>622</v>
      </c>
      <c r="B47" s="275"/>
      <c r="C47" s="275"/>
      <c r="D47" s="275"/>
      <c r="E47" s="275"/>
      <c r="F47" s="275"/>
      <c r="G47" s="275"/>
      <c r="H47" s="275"/>
      <c r="I47" s="275"/>
      <c r="J47" s="275"/>
      <c r="K47" s="275"/>
    </row>
    <row r="48">
      <c r="A48" s="276" t="s">
        <v>608</v>
      </c>
      <c r="B48" s="276" t="s">
        <v>623</v>
      </c>
      <c r="C48" s="276" t="s">
        <v>624</v>
      </c>
      <c r="D48" s="276" t="s">
        <v>625</v>
      </c>
      <c r="E48" s="276" t="s">
        <v>626</v>
      </c>
      <c r="F48" s="276" t="s">
        <v>627</v>
      </c>
      <c r="G48" s="276" t="s">
        <v>628</v>
      </c>
      <c r="H48" s="277" t="s">
        <v>629</v>
      </c>
      <c r="I48" s="277" t="s">
        <v>630</v>
      </c>
      <c r="J48" s="277" t="s">
        <v>631</v>
      </c>
      <c r="K48" s="277" t="s">
        <v>607</v>
      </c>
    </row>
    <row r="49">
      <c r="A49" s="278">
        <f>SUM(D42:D45)</f>
      </c>
      <c r="B49" s="278">
        <f>SUM(E42:E45)</f>
      </c>
      <c r="C49" s="279">
        <f>B49/((K49*300)+A49)</f>
      </c>
      <c r="D49" s="280">
        <f>A49/J49</f>
      </c>
      <c r="E49" s="279">
        <f>B49/J49</f>
      </c>
      <c r="F49" s="281">
        <f>J49/I49</f>
      </c>
      <c r="G49" s="281">
        <f>H49/J49</f>
      </c>
      <c r="H49" s="282">
        <v>2</v>
      </c>
      <c r="I49" s="282">
        <v>68</v>
      </c>
      <c r="J49" s="282">
        <f>F46</f>
      </c>
      <c r="K49" s="283">
        <f>C46</f>
      </c>
    </row>
    <row r="50">
      <c r="A50" s="268" t="s">
        <v>641</v>
      </c>
      <c r="B50" s="268"/>
      <c r="C50" s="268"/>
      <c r="D50" s="268"/>
      <c r="E50" s="268"/>
      <c r="F50" s="268"/>
      <c r="G50" s="268"/>
      <c r="H50" s="268"/>
      <c r="I50" s="268"/>
      <c r="J50" s="268"/>
      <c r="K50" s="268"/>
    </row>
    <row r="51">
      <c r="A51" s="269" t="s">
        <v>605</v>
      </c>
      <c r="B51" s="269" t="s">
        <v>606</v>
      </c>
      <c r="C51" s="269" t="s">
        <v>607</v>
      </c>
      <c r="D51" s="269" t="s">
        <v>608</v>
      </c>
      <c r="E51" s="269" t="s">
        <v>609</v>
      </c>
      <c r="F51" s="269" t="s">
        <v>610</v>
      </c>
      <c r="G51" s="269" t="s">
        <v>611</v>
      </c>
      <c r="H51" s="269" t="s">
        <v>612</v>
      </c>
      <c r="I51" s="269" t="s">
        <v>613</v>
      </c>
      <c r="J51" s="269" t="s">
        <v>614</v>
      </c>
      <c r="K51" s="269"/>
    </row>
    <row r="52">
      <c r="A52" s="270" t="s">
        <v>617</v>
      </c>
      <c r="B52" s="271" t="s">
        <v>616</v>
      </c>
      <c r="C52" s="272">
        <v>4</v>
      </c>
      <c r="D52" s="270">
        <v>13931.12</v>
      </c>
      <c r="E52" s="270">
        <v>16537.9</v>
      </c>
      <c r="F52" s="270">
        <v>13</v>
      </c>
      <c r="G52" s="273">
        <f t="shared" ref="G52:G56" si="67">E52/F52</f>
      </c>
      <c r="H52" s="273">
        <f t="shared" ref="H52:H56" si="36">D52/F52</f>
      </c>
      <c r="I52" s="273">
        <f t="shared" ref="I52:I56" si="5">E52/D52</f>
      </c>
      <c r="J52" s="272">
        <f t="shared" ref="J52:J56" si="98">D52/C52</f>
      </c>
      <c r="K52" s="272"/>
    </row>
    <row r="53">
      <c r="A53" s="270" t="s">
        <v>615</v>
      </c>
      <c r="B53" s="284" t="s">
        <v>642</v>
      </c>
      <c r="C53" s="270">
        <v>5</v>
      </c>
      <c r="D53" s="270">
        <v>13695.65</v>
      </c>
      <c r="E53" s="270">
        <v>9328.8</v>
      </c>
      <c r="F53" s="270">
        <v>8</v>
      </c>
      <c r="G53" s="273">
        <f t="shared" si="67"/>
      </c>
      <c r="H53" s="273">
        <f t="shared" si="36"/>
      </c>
      <c r="I53" s="273">
        <f t="shared" si="5"/>
      </c>
      <c r="J53" s="272">
        <f t="shared" si="98"/>
      </c>
      <c r="K53" s="272"/>
    </row>
    <row r="54">
      <c r="A54" s="270" t="s">
        <v>643</v>
      </c>
      <c r="B54" s="284" t="s">
        <v>644</v>
      </c>
      <c r="C54" s="270">
        <v>1</v>
      </c>
      <c r="D54" s="270">
        <v>2445.4500000000007</v>
      </c>
      <c r="E54" s="270">
        <v>6746.200000000001</v>
      </c>
      <c r="F54" s="270">
        <v>4</v>
      </c>
      <c r="G54" s="273">
        <f t="shared" si="67"/>
      </c>
      <c r="H54" s="273">
        <f t="shared" si="36"/>
      </c>
      <c r="I54" s="273">
        <f t="shared" si="5"/>
      </c>
      <c r="J54" s="272">
        <f t="shared" si="98"/>
      </c>
      <c r="K54" s="272"/>
    </row>
    <row r="55">
      <c r="A55" s="270" t="s">
        <v>634</v>
      </c>
      <c r="B55" s="271" t="s">
        <v>638</v>
      </c>
      <c r="C55" s="270">
        <v>6</v>
      </c>
      <c r="D55" s="270">
        <v>14036.069999999992</v>
      </c>
      <c r="E55" s="270">
        <v>10655.200000000004</v>
      </c>
      <c r="F55" s="270">
        <v>9</v>
      </c>
      <c r="G55" s="273">
        <f t="shared" si="67"/>
      </c>
      <c r="H55" s="273">
        <f t="shared" si="36"/>
      </c>
      <c r="I55" s="273">
        <f t="shared" si="5"/>
      </c>
      <c r="J55" s="272">
        <f t="shared" si="98"/>
      </c>
      <c r="K55" s="272"/>
    </row>
    <row r="56">
      <c r="A56" s="269" t="s">
        <v>621</v>
      </c>
      <c r="B56" s="269"/>
      <c r="C56" s="269">
        <f>SUM(C52:C55)</f>
      </c>
      <c r="D56" s="269">
        <f>SUM(D52:D55)</f>
      </c>
      <c r="E56" s="269">
        <f>SUM(E52:E55)</f>
      </c>
      <c r="F56" s="269">
        <f>SUM(F52:F55)</f>
      </c>
      <c r="G56" s="274">
        <f t="shared" si="67"/>
      </c>
      <c r="H56" s="274">
        <f t="shared" si="36"/>
      </c>
      <c r="I56" s="274">
        <f t="shared" si="5"/>
      </c>
      <c r="J56" s="269">
        <f t="shared" si="98"/>
      </c>
      <c r="K56" s="269"/>
    </row>
    <row r="57">
      <c r="A57" s="275" t="s">
        <v>622</v>
      </c>
      <c r="B57" s="275"/>
      <c r="C57" s="275"/>
      <c r="D57" s="275"/>
      <c r="E57" s="275"/>
      <c r="F57" s="275"/>
      <c r="G57" s="275"/>
      <c r="H57" s="275"/>
      <c r="I57" s="275"/>
      <c r="J57" s="275"/>
      <c r="K57" s="275"/>
    </row>
    <row r="58">
      <c r="A58" s="276" t="s">
        <v>608</v>
      </c>
      <c r="B58" s="276" t="s">
        <v>623</v>
      </c>
      <c r="C58" s="276" t="s">
        <v>624</v>
      </c>
      <c r="D58" s="276" t="s">
        <v>625</v>
      </c>
      <c r="E58" s="276" t="s">
        <v>626</v>
      </c>
      <c r="F58" s="276" t="s">
        <v>627</v>
      </c>
      <c r="G58" s="276" t="s">
        <v>628</v>
      </c>
      <c r="H58" s="277" t="s">
        <v>629</v>
      </c>
      <c r="I58" s="277" t="s">
        <v>630</v>
      </c>
      <c r="J58" s="277" t="s">
        <v>631</v>
      </c>
      <c r="K58" s="277" t="s">
        <v>607</v>
      </c>
    </row>
    <row r="59">
      <c r="A59" s="278">
        <f>SUM(D52:D55)</f>
      </c>
      <c r="B59" s="278">
        <f>SUM(E52:E55)</f>
      </c>
      <c r="C59" s="279">
        <f>B59/((K59*300)+A59)</f>
      </c>
      <c r="D59" s="280">
        <f>A59/J59</f>
      </c>
      <c r="E59" s="279">
        <f>B59/J59</f>
      </c>
      <c r="F59" s="281">
        <f>J59/I59</f>
      </c>
      <c r="G59" s="281">
        <f>H59/J59</f>
      </c>
      <c r="H59" s="282">
        <v>3</v>
      </c>
      <c r="I59" s="282">
        <v>78</v>
      </c>
      <c r="J59" s="282">
        <f>F56</f>
      </c>
      <c r="K59" s="283">
        <f>C56</f>
      </c>
    </row>
    <row r="60">
      <c r="A60" s="285" t="s">
        <v>645</v>
      </c>
      <c r="B60" s="285"/>
      <c r="C60" s="285"/>
      <c r="D60" s="285"/>
      <c r="E60" s="285"/>
      <c r="F60" s="285"/>
      <c r="G60" s="285"/>
      <c r="H60" s="285"/>
      <c r="I60" s="285"/>
      <c r="J60" s="285"/>
      <c r="K60" s="285"/>
    </row>
    <row r="61">
      <c r="A61" s="269" t="s">
        <v>605</v>
      </c>
      <c r="B61" s="269" t="s">
        <v>606</v>
      </c>
      <c r="C61" s="269" t="s">
        <v>607</v>
      </c>
      <c r="D61" s="269" t="s">
        <v>608</v>
      </c>
      <c r="E61" s="269" t="s">
        <v>609</v>
      </c>
      <c r="F61" s="269" t="s">
        <v>610</v>
      </c>
      <c r="G61" s="269" t="s">
        <v>611</v>
      </c>
      <c r="H61" s="269" t="s">
        <v>612</v>
      </c>
      <c r="I61" s="269" t="s">
        <v>613</v>
      </c>
      <c r="J61" s="269" t="s">
        <v>614</v>
      </c>
      <c r="K61" s="269"/>
    </row>
    <row r="62">
      <c r="A62" s="272" t="s">
        <v>617</v>
      </c>
      <c r="B62" s="271" t="s">
        <v>616</v>
      </c>
      <c r="C62" s="272">
        <v>4</v>
      </c>
      <c r="D62" s="272">
        <v>5423.1</v>
      </c>
      <c r="E62" s="272">
        <v>9757.4</v>
      </c>
      <c r="F62" s="272">
        <v>7</v>
      </c>
      <c r="G62" s="273">
        <f t="shared" ref="G62:G66" si="68">E62/F62</f>
      </c>
      <c r="H62" s="273">
        <f t="shared" ref="H62:H66" si="37">D62/F62</f>
      </c>
      <c r="I62" s="273">
        <f t="shared" ref="I62:I66" si="6">E62/D62</f>
      </c>
      <c r="J62" s="272">
        <f t="shared" ref="J62:J66" si="99">D62/C62</f>
      </c>
      <c r="K62" s="272"/>
    </row>
    <row r="63">
      <c r="A63" s="272" t="s">
        <v>615</v>
      </c>
      <c r="B63" s="271" t="s">
        <v>618</v>
      </c>
      <c r="C63" s="272">
        <v>4</v>
      </c>
      <c r="D63" s="272">
        <v>6782.699999999999</v>
      </c>
      <c r="E63" s="272">
        <v>4890.000000000002</v>
      </c>
      <c r="F63" s="272">
        <v>6</v>
      </c>
      <c r="G63" s="273">
        <f t="shared" si="68"/>
      </c>
      <c r="H63" s="273">
        <f t="shared" si="37"/>
      </c>
      <c r="I63" s="273">
        <f t="shared" si="6"/>
      </c>
      <c r="J63" s="272">
        <f t="shared" si="99"/>
      </c>
      <c r="K63" s="272"/>
    </row>
    <row r="64">
      <c r="A64" s="272" t="s">
        <v>634</v>
      </c>
      <c r="B64" s="271" t="s">
        <v>620</v>
      </c>
      <c r="C64" s="272">
        <v>4</v>
      </c>
      <c r="D64" s="272">
        <v>9730.52</v>
      </c>
      <c r="E64" s="272">
        <v>7046.399999999998</v>
      </c>
      <c r="F64" s="272">
        <v>5</v>
      </c>
      <c r="G64" s="273">
        <f t="shared" si="68"/>
      </c>
      <c r="H64" s="273">
        <f t="shared" si="37"/>
      </c>
      <c r="I64" s="273">
        <f t="shared" si="6"/>
      </c>
      <c r="J64" s="272">
        <f t="shared" si="99"/>
      </c>
      <c r="K64" s="272"/>
    </row>
    <row r="65">
      <c r="A65" s="272" t="s">
        <v>643</v>
      </c>
      <c r="B65" s="271" t="s">
        <v>638</v>
      </c>
      <c r="C65" s="272">
        <v>4</v>
      </c>
      <c r="D65" s="272">
        <v>9414.550000000003</v>
      </c>
      <c r="E65" s="272">
        <v>15303.2</v>
      </c>
      <c r="F65" s="272">
        <v>13</v>
      </c>
      <c r="G65" s="273">
        <f t="shared" si="68"/>
      </c>
      <c r="H65" s="273">
        <f t="shared" si="37"/>
      </c>
      <c r="I65" s="273">
        <f t="shared" si="6"/>
      </c>
      <c r="J65" s="272">
        <f t="shared" si="99"/>
      </c>
      <c r="K65" s="272"/>
    </row>
    <row r="66">
      <c r="A66" s="269" t="s">
        <v>621</v>
      </c>
      <c r="B66" s="269"/>
      <c r="C66" s="269">
        <f>SUM(C62:C65)</f>
      </c>
      <c r="D66" s="269">
        <f>SUM(D62:D65)</f>
      </c>
      <c r="E66" s="269">
        <f>SUM(E62:E65)</f>
      </c>
      <c r="F66" s="269">
        <f>SUM(F62:F65)</f>
      </c>
      <c r="G66" s="274">
        <f t="shared" si="68"/>
      </c>
      <c r="H66" s="274">
        <f t="shared" si="37"/>
      </c>
      <c r="I66" s="274">
        <f t="shared" si="6"/>
      </c>
      <c r="J66" s="269">
        <f t="shared" si="99"/>
      </c>
      <c r="K66" s="269"/>
    </row>
    <row r="67">
      <c r="A67" s="275" t="s">
        <v>622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</row>
    <row r="68">
      <c r="A68" s="276" t="s">
        <v>608</v>
      </c>
      <c r="B68" s="276" t="s">
        <v>623</v>
      </c>
      <c r="C68" s="276" t="s">
        <v>624</v>
      </c>
      <c r="D68" s="276" t="s">
        <v>625</v>
      </c>
      <c r="E68" s="276" t="s">
        <v>626</v>
      </c>
      <c r="F68" s="276" t="s">
        <v>627</v>
      </c>
      <c r="G68" s="276" t="s">
        <v>628</v>
      </c>
      <c r="H68" s="277" t="s">
        <v>629</v>
      </c>
      <c r="I68" s="277" t="s">
        <v>630</v>
      </c>
      <c r="J68" s="277" t="s">
        <v>631</v>
      </c>
      <c r="K68" s="277" t="s">
        <v>607</v>
      </c>
    </row>
    <row r="69">
      <c r="A69" s="278">
        <f>SUM(D62:D65)</f>
      </c>
      <c r="B69" s="278">
        <f>SUM(E62:E65)</f>
      </c>
      <c r="C69" s="279">
        <f>B69/((K69*300)+A69)</f>
      </c>
      <c r="D69" s="280">
        <f>A69/J69</f>
      </c>
      <c r="E69" s="279">
        <f>B69/J69</f>
      </c>
      <c r="F69" s="281">
        <f>J69/I69</f>
      </c>
      <c r="G69" s="281">
        <f>H69/J69</f>
      </c>
      <c r="H69" s="283">
        <v>5</v>
      </c>
      <c r="I69" s="283">
        <v>55</v>
      </c>
      <c r="J69" s="283">
        <f>F66</f>
      </c>
      <c r="K69" s="283">
        <f>C66</f>
      </c>
    </row>
    <row r="70">
      <c r="A70" s="285" t="s">
        <v>646</v>
      </c>
      <c r="B70" s="285"/>
      <c r="C70" s="285"/>
      <c r="D70" s="285"/>
      <c r="E70" s="285"/>
      <c r="F70" s="285"/>
      <c r="G70" s="285"/>
      <c r="H70" s="285"/>
      <c r="I70" s="285"/>
      <c r="J70" s="285"/>
      <c r="K70" s="285"/>
    </row>
    <row r="71">
      <c r="A71" s="269" t="s">
        <v>605</v>
      </c>
      <c r="B71" s="269" t="s">
        <v>606</v>
      </c>
      <c r="C71" s="269" t="s">
        <v>607</v>
      </c>
      <c r="D71" s="269" t="s">
        <v>608</v>
      </c>
      <c r="E71" s="269" t="s">
        <v>609</v>
      </c>
      <c r="F71" s="269" t="s">
        <v>610</v>
      </c>
      <c r="G71" s="269" t="s">
        <v>611</v>
      </c>
      <c r="H71" s="269" t="s">
        <v>612</v>
      </c>
      <c r="I71" s="269" t="s">
        <v>613</v>
      </c>
      <c r="J71" s="269" t="s">
        <v>614</v>
      </c>
      <c r="K71" s="269"/>
    </row>
    <row r="72">
      <c r="A72" s="272" t="s">
        <v>615</v>
      </c>
      <c r="B72" s="271" t="s">
        <v>616</v>
      </c>
      <c r="C72" s="272">
        <v>4</v>
      </c>
      <c r="D72" s="272">
        <v>12543.16</v>
      </c>
      <c r="E72" s="272">
        <v>16281.6</v>
      </c>
      <c r="F72" s="272">
        <v>15</v>
      </c>
      <c r="G72" s="273">
        <f t="shared" ref="G72:G76" si="69">E72/F72</f>
      </c>
      <c r="H72" s="273">
        <f t="shared" ref="H72:H76" si="38">D72/F72</f>
      </c>
      <c r="I72" s="273">
        <f t="shared" ref="I72:I76" si="7">E72/D72</f>
      </c>
      <c r="J72" s="272">
        <f t="shared" ref="J72:J76" si="100">D72/C72</f>
      </c>
      <c r="K72" s="272"/>
    </row>
    <row r="73">
      <c r="A73" s="272" t="s">
        <v>634</v>
      </c>
      <c r="B73" s="271" t="s">
        <v>618</v>
      </c>
      <c r="C73" s="272">
        <v>4</v>
      </c>
      <c r="D73" s="272">
        <v>12073.27</v>
      </c>
      <c r="E73" s="272">
        <v>14523.799999999997</v>
      </c>
      <c r="F73" s="272">
        <v>12</v>
      </c>
      <c r="G73" s="273">
        <f t="shared" si="69"/>
      </c>
      <c r="H73" s="273">
        <f t="shared" si="38"/>
      </c>
      <c r="I73" s="273">
        <f t="shared" si="7"/>
      </c>
      <c r="J73" s="272">
        <f t="shared" si="100"/>
      </c>
      <c r="K73" s="272"/>
    </row>
    <row r="74">
      <c r="A74" s="272" t="s">
        <v>643</v>
      </c>
      <c r="B74" s="271" t="s">
        <v>620</v>
      </c>
      <c r="C74" s="272">
        <v>4</v>
      </c>
      <c r="D74" s="272">
        <v>7793.309999999998</v>
      </c>
      <c r="E74" s="272">
        <v>4696.799999999999</v>
      </c>
      <c r="F74" s="272">
        <v>5</v>
      </c>
      <c r="G74" s="273">
        <f t="shared" si="69"/>
      </c>
      <c r="H74" s="273">
        <f t="shared" si="38"/>
      </c>
      <c r="I74" s="273">
        <f t="shared" si="7"/>
      </c>
      <c r="J74" s="272">
        <f t="shared" si="100"/>
      </c>
      <c r="K74" s="272"/>
    </row>
    <row r="75">
      <c r="A75" s="272" t="s">
        <v>617</v>
      </c>
      <c r="B75" s="271" t="s">
        <v>638</v>
      </c>
      <c r="C75" s="272">
        <v>4</v>
      </c>
      <c r="D75" s="272">
        <v>10292.669999999991</v>
      </c>
      <c r="E75" s="272">
        <v>11221.600000000006</v>
      </c>
      <c r="F75" s="272">
        <v>9</v>
      </c>
      <c r="G75" s="273">
        <f t="shared" si="69"/>
      </c>
      <c r="H75" s="273">
        <f t="shared" si="38"/>
      </c>
      <c r="I75" s="273">
        <f t="shared" si="7"/>
      </c>
      <c r="J75" s="272">
        <f t="shared" si="100"/>
      </c>
      <c r="K75" s="272"/>
    </row>
    <row r="76">
      <c r="A76" s="269" t="s">
        <v>621</v>
      </c>
      <c r="B76" s="269"/>
      <c r="C76" s="269">
        <f>SUM(C72:C75)</f>
      </c>
      <c r="D76" s="269">
        <f>SUM(D72:D75)</f>
      </c>
      <c r="E76" s="269">
        <f>SUM(E72:E75)</f>
      </c>
      <c r="F76" s="269">
        <f>SUM(F72:F75)</f>
      </c>
      <c r="G76" s="274">
        <f t="shared" si="69"/>
      </c>
      <c r="H76" s="274">
        <f t="shared" si="38"/>
      </c>
      <c r="I76" s="274">
        <f t="shared" si="7"/>
      </c>
      <c r="J76" s="269">
        <f t="shared" si="100"/>
      </c>
      <c r="K76" s="269"/>
    </row>
    <row r="77">
      <c r="A77" s="275" t="s">
        <v>622</v>
      </c>
      <c r="B77" s="275"/>
      <c r="C77" s="275"/>
      <c r="D77" s="275"/>
      <c r="E77" s="275"/>
      <c r="F77" s="275"/>
      <c r="G77" s="275"/>
      <c r="H77" s="275"/>
      <c r="I77" s="275"/>
      <c r="J77" s="275"/>
      <c r="K77" s="275"/>
    </row>
    <row r="78">
      <c r="A78" s="276" t="s">
        <v>608</v>
      </c>
      <c r="B78" s="276" t="s">
        <v>623</v>
      </c>
      <c r="C78" s="276" t="s">
        <v>624</v>
      </c>
      <c r="D78" s="276" t="s">
        <v>625</v>
      </c>
      <c r="E78" s="276" t="s">
        <v>626</v>
      </c>
      <c r="F78" s="276" t="s">
        <v>627</v>
      </c>
      <c r="G78" s="276" t="s">
        <v>628</v>
      </c>
      <c r="H78" s="277" t="s">
        <v>629</v>
      </c>
      <c r="I78" s="277" t="s">
        <v>630</v>
      </c>
      <c r="J78" s="277" t="s">
        <v>631</v>
      </c>
      <c r="K78" s="277" t="s">
        <v>607</v>
      </c>
    </row>
    <row r="79">
      <c r="A79" s="278">
        <f>SUM(D72:D75)</f>
      </c>
      <c r="B79" s="278">
        <f>SUM(E72:E75)</f>
      </c>
      <c r="C79" s="279">
        <f>B79/((K79*300)+A79)</f>
      </c>
      <c r="D79" s="280">
        <f>A79/J79</f>
      </c>
      <c r="E79" s="279">
        <f>B79/J79</f>
      </c>
      <c r="F79" s="281">
        <f>J79/I79</f>
      </c>
      <c r="G79" s="281">
        <f>H79/J79</f>
      </c>
      <c r="H79" s="283">
        <v>5</v>
      </c>
      <c r="I79" s="283">
        <v>82</v>
      </c>
      <c r="J79" s="283">
        <f>F76</f>
      </c>
      <c r="K79" s="283">
        <f>C76</f>
      </c>
    </row>
    <row r="80">
      <c r="A80" s="268" t="s">
        <v>647</v>
      </c>
      <c r="B80" s="268"/>
      <c r="C80" s="268"/>
      <c r="D80" s="268"/>
      <c r="E80" s="268"/>
      <c r="F80" s="268"/>
      <c r="G80" s="268"/>
      <c r="H80" s="268"/>
      <c r="I80" s="268"/>
      <c r="J80" s="268"/>
      <c r="K80" s="268"/>
    </row>
    <row r="81">
      <c r="A81" s="269" t="s">
        <v>605</v>
      </c>
      <c r="B81" s="269" t="s">
        <v>606</v>
      </c>
      <c r="C81" s="269" t="s">
        <v>607</v>
      </c>
      <c r="D81" s="269" t="s">
        <v>608</v>
      </c>
      <c r="E81" s="269" t="s">
        <v>609</v>
      </c>
      <c r="F81" s="269" t="s">
        <v>610</v>
      </c>
      <c r="G81" s="269" t="s">
        <v>611</v>
      </c>
      <c r="H81" s="269" t="s">
        <v>612</v>
      </c>
      <c r="I81" s="269" t="s">
        <v>613</v>
      </c>
      <c r="J81" s="269" t="s">
        <v>614</v>
      </c>
      <c r="K81" s="269"/>
    </row>
    <row r="82">
      <c r="A82" s="270" t="s">
        <v>615</v>
      </c>
      <c r="B82" s="271" t="s">
        <v>648</v>
      </c>
      <c r="C82" s="270">
        <v>4.5</v>
      </c>
      <c r="D82" s="270">
        <v>11622.18</v>
      </c>
      <c r="E82" s="270">
        <v>16252.6</v>
      </c>
      <c r="F82" s="270">
        <v>13</v>
      </c>
      <c r="G82" s="273">
        <f t="shared" ref="G82:G86" si="70">E82/F82</f>
      </c>
      <c r="H82" s="273">
        <f t="shared" ref="H82:H86" si="39">D82/F82</f>
      </c>
      <c r="I82" s="273">
        <f t="shared" ref="I82:I86" si="8">E82/D82</f>
      </c>
      <c r="J82" s="272">
        <f t="shared" ref="J82:J86" si="101">D82/C82</f>
      </c>
      <c r="K82" s="272"/>
    </row>
    <row r="83">
      <c r="A83" s="270" t="s">
        <v>643</v>
      </c>
      <c r="B83" s="271" t="s">
        <v>649</v>
      </c>
      <c r="C83" s="270">
        <v>3.5</v>
      </c>
      <c r="D83" s="270">
        <v>11020.09</v>
      </c>
      <c r="E83" s="270">
        <v>7911.4</v>
      </c>
      <c r="F83" s="270">
        <v>7</v>
      </c>
      <c r="G83" s="273">
        <f t="shared" si="70"/>
      </c>
      <c r="H83" s="273">
        <f t="shared" si="39"/>
      </c>
      <c r="I83" s="273">
        <f t="shared" si="8"/>
      </c>
      <c r="J83" s="272">
        <f t="shared" si="101"/>
      </c>
      <c r="K83" s="272"/>
    </row>
    <row r="84">
      <c r="A84" s="270" t="s">
        <v>634</v>
      </c>
      <c r="B84" s="271" t="s">
        <v>620</v>
      </c>
      <c r="C84" s="272">
        <v>4</v>
      </c>
      <c r="D84" s="270">
        <v>4823.829999999998</v>
      </c>
      <c r="E84" s="270">
        <v>4176.799999999996</v>
      </c>
      <c r="F84" s="270">
        <v>4</v>
      </c>
      <c r="G84" s="273">
        <f t="shared" si="70"/>
      </c>
      <c r="H84" s="273">
        <f t="shared" si="39"/>
      </c>
      <c r="I84" s="273">
        <f t="shared" si="8"/>
      </c>
      <c r="J84" s="272">
        <f t="shared" si="101"/>
      </c>
      <c r="K84" s="272"/>
    </row>
    <row r="85">
      <c r="A85" s="270" t="s">
        <v>617</v>
      </c>
      <c r="B85" s="271" t="s">
        <v>638</v>
      </c>
      <c r="C85" s="272">
        <v>4</v>
      </c>
      <c r="D85" s="270">
        <v>8121.5</v>
      </c>
      <c r="E85" s="270">
        <v>15193.600000000006</v>
      </c>
      <c r="F85" s="270">
        <v>10</v>
      </c>
      <c r="G85" s="273">
        <f t="shared" si="70"/>
      </c>
      <c r="H85" s="273">
        <f t="shared" si="39"/>
      </c>
      <c r="I85" s="273">
        <f t="shared" si="8"/>
      </c>
      <c r="J85" s="272">
        <f t="shared" si="101"/>
      </c>
      <c r="K85" s="272"/>
    </row>
    <row r="86">
      <c r="A86" s="269" t="s">
        <v>621</v>
      </c>
      <c r="B86" s="269"/>
      <c r="C86" s="269">
        <f>SUM(C82:C85)</f>
      </c>
      <c r="D86" s="269">
        <f>SUM(D82:D85)</f>
      </c>
      <c r="E86" s="269">
        <f>SUM(E82:E85)</f>
      </c>
      <c r="F86" s="269">
        <f>SUM(F82:F85)</f>
      </c>
      <c r="G86" s="274">
        <f t="shared" si="70"/>
      </c>
      <c r="H86" s="274">
        <f t="shared" si="39"/>
      </c>
      <c r="I86" s="274">
        <f t="shared" si="8"/>
      </c>
      <c r="J86" s="269">
        <f t="shared" si="101"/>
      </c>
      <c r="K86" s="269"/>
    </row>
    <row r="87">
      <c r="A87" s="275" t="s">
        <v>622</v>
      </c>
      <c r="B87" s="275"/>
      <c r="C87" s="275"/>
      <c r="D87" s="275"/>
      <c r="E87" s="275"/>
      <c r="F87" s="275"/>
      <c r="G87" s="275"/>
      <c r="H87" s="275"/>
      <c r="I87" s="275"/>
      <c r="J87" s="275"/>
      <c r="K87" s="275"/>
    </row>
    <row r="88">
      <c r="A88" s="276" t="s">
        <v>608</v>
      </c>
      <c r="B88" s="276" t="s">
        <v>623</v>
      </c>
      <c r="C88" s="276" t="s">
        <v>624</v>
      </c>
      <c r="D88" s="276" t="s">
        <v>625</v>
      </c>
      <c r="E88" s="276" t="s">
        <v>626</v>
      </c>
      <c r="F88" s="276" t="s">
        <v>627</v>
      </c>
      <c r="G88" s="276" t="s">
        <v>628</v>
      </c>
      <c r="H88" s="277" t="s">
        <v>629</v>
      </c>
      <c r="I88" s="277" t="s">
        <v>630</v>
      </c>
      <c r="J88" s="277" t="s">
        <v>631</v>
      </c>
      <c r="K88" s="277" t="s">
        <v>607</v>
      </c>
    </row>
    <row r="89">
      <c r="A89" s="278">
        <f>SUM(D82:D85)</f>
      </c>
      <c r="B89" s="278">
        <f>SUM(E82:E85)</f>
      </c>
      <c r="C89" s="279">
        <f>B89/((K89*300)+A89)</f>
      </c>
      <c r="D89" s="280">
        <f>A89/J89</f>
      </c>
      <c r="E89" s="279">
        <f>B89/J89</f>
      </c>
      <c r="F89" s="281">
        <f>J89/I89</f>
      </c>
      <c r="G89" s="281">
        <f>H89/J89</f>
      </c>
      <c r="H89" s="282">
        <v>3</v>
      </c>
      <c r="I89" s="282">
        <v>64</v>
      </c>
      <c r="J89" s="282">
        <f>F86</f>
      </c>
      <c r="K89" s="283">
        <f>C86</f>
      </c>
    </row>
    <row r="90">
      <c r="A90" s="268" t="s">
        <v>650</v>
      </c>
      <c r="B90" s="268"/>
      <c r="C90" s="268"/>
      <c r="D90" s="268"/>
      <c r="E90" s="268"/>
      <c r="F90" s="268"/>
      <c r="G90" s="268"/>
      <c r="H90" s="268"/>
      <c r="I90" s="268"/>
      <c r="J90" s="268"/>
      <c r="K90" s="268"/>
    </row>
    <row r="91">
      <c r="A91" s="269" t="s">
        <v>605</v>
      </c>
      <c r="B91" s="269" t="s">
        <v>606</v>
      </c>
      <c r="C91" s="269" t="s">
        <v>607</v>
      </c>
      <c r="D91" s="269" t="s">
        <v>608</v>
      </c>
      <c r="E91" s="269" t="s">
        <v>609</v>
      </c>
      <c r="F91" s="269" t="s">
        <v>610</v>
      </c>
      <c r="G91" s="269" t="s">
        <v>611</v>
      </c>
      <c r="H91" s="269" t="s">
        <v>612</v>
      </c>
      <c r="I91" s="269" t="s">
        <v>613</v>
      </c>
      <c r="J91" s="269" t="s">
        <v>614</v>
      </c>
      <c r="K91" s="269"/>
    </row>
    <row r="92">
      <c r="A92" s="270" t="s">
        <v>619</v>
      </c>
      <c r="B92" s="271" t="s">
        <v>616</v>
      </c>
      <c r="C92" s="272">
        <v>4</v>
      </c>
      <c r="D92" s="270">
        <v>7976.35</v>
      </c>
      <c r="E92" s="270">
        <v>4340.2</v>
      </c>
      <c r="F92" s="270">
        <v>3</v>
      </c>
      <c r="G92" s="273">
        <f t="shared" ref="G92:G96" si="71">E92/F92</f>
      </c>
      <c r="H92" s="273">
        <f t="shared" ref="H92:H96" si="40">D92/F92</f>
      </c>
      <c r="I92" s="273">
        <f t="shared" ref="I92:I96" si="9">E92/D92</f>
      </c>
      <c r="J92" s="272">
        <f t="shared" ref="J92:J96" si="102">D92/C92</f>
      </c>
      <c r="K92" s="272"/>
    </row>
    <row r="93">
      <c r="A93" s="270" t="s">
        <v>617</v>
      </c>
      <c r="B93" s="271" t="s">
        <v>618</v>
      </c>
      <c r="C93" s="270">
        <v>4</v>
      </c>
      <c r="D93" s="270">
        <v>4636.060000000001</v>
      </c>
      <c r="E93" s="270">
        <v>4828.7</v>
      </c>
      <c r="F93" s="270">
        <v>5</v>
      </c>
      <c r="G93" s="273">
        <f t="shared" si="71"/>
      </c>
      <c r="H93" s="273">
        <f t="shared" si="40"/>
      </c>
      <c r="I93" s="273">
        <f t="shared" si="9"/>
      </c>
      <c r="J93" s="272">
        <f t="shared" si="102"/>
      </c>
      <c r="K93" s="272"/>
    </row>
    <row r="94">
      <c r="A94" s="270" t="s">
        <v>643</v>
      </c>
      <c r="B94" s="284" t="s">
        <v>620</v>
      </c>
      <c r="C94" s="270">
        <v>4</v>
      </c>
      <c r="D94" s="270">
        <v>4394.74</v>
      </c>
      <c r="E94" s="270">
        <v>2088</v>
      </c>
      <c r="F94" s="270">
        <v>2</v>
      </c>
      <c r="G94" s="273">
        <f t="shared" si="71"/>
      </c>
      <c r="H94" s="273">
        <f t="shared" si="40"/>
      </c>
      <c r="I94" s="273">
        <f t="shared" si="9"/>
      </c>
      <c r="J94" s="272">
        <f t="shared" si="102"/>
      </c>
      <c r="K94" s="272"/>
    </row>
    <row r="95">
      <c r="A95" s="270" t="s">
        <v>634</v>
      </c>
      <c r="B95" s="284" t="s">
        <v>638</v>
      </c>
      <c r="C95" s="270">
        <v>4</v>
      </c>
      <c r="D95" s="270">
        <v>6459.369999999999</v>
      </c>
      <c r="E95" s="270">
        <v>6333.4</v>
      </c>
      <c r="F95" s="270">
        <v>4</v>
      </c>
      <c r="G95" s="273">
        <f t="shared" si="71"/>
      </c>
      <c r="H95" s="273">
        <f t="shared" si="40"/>
      </c>
      <c r="I95" s="273">
        <f t="shared" si="9"/>
      </c>
      <c r="J95" s="272">
        <f t="shared" si="102"/>
      </c>
      <c r="K95" s="272"/>
    </row>
    <row r="96">
      <c r="A96" s="269" t="s">
        <v>621</v>
      </c>
      <c r="B96" s="269"/>
      <c r="C96" s="269">
        <f>SUM(C92:C95)</f>
      </c>
      <c r="D96" s="269">
        <f>SUM(D92:D95)</f>
      </c>
      <c r="E96" s="269">
        <f>SUM(E92:E95)</f>
      </c>
      <c r="F96" s="269">
        <f>SUM(F92:F95)</f>
      </c>
      <c r="G96" s="274">
        <f t="shared" si="71"/>
      </c>
      <c r="H96" s="274">
        <f t="shared" si="40"/>
      </c>
      <c r="I96" s="274">
        <f t="shared" si="9"/>
      </c>
      <c r="J96" s="269">
        <f t="shared" si="102"/>
      </c>
      <c r="K96" s="269"/>
    </row>
    <row r="97">
      <c r="A97" s="275" t="s">
        <v>622</v>
      </c>
      <c r="B97" s="275"/>
      <c r="C97" s="275"/>
      <c r="D97" s="275"/>
      <c r="E97" s="275"/>
      <c r="F97" s="275"/>
      <c r="G97" s="275"/>
      <c r="H97" s="275"/>
      <c r="I97" s="275"/>
      <c r="J97" s="275"/>
      <c r="K97" s="275"/>
    </row>
    <row r="98">
      <c r="A98" s="276" t="s">
        <v>608</v>
      </c>
      <c r="B98" s="276" t="s">
        <v>623</v>
      </c>
      <c r="C98" s="276" t="s">
        <v>624</v>
      </c>
      <c r="D98" s="276" t="s">
        <v>625</v>
      </c>
      <c r="E98" s="276" t="s">
        <v>626</v>
      </c>
      <c r="F98" s="276" t="s">
        <v>627</v>
      </c>
      <c r="G98" s="276" t="s">
        <v>628</v>
      </c>
      <c r="H98" s="277" t="s">
        <v>629</v>
      </c>
      <c r="I98" s="277" t="s">
        <v>630</v>
      </c>
      <c r="J98" s="277" t="s">
        <v>631</v>
      </c>
      <c r="K98" s="277" t="s">
        <v>607</v>
      </c>
    </row>
    <row r="99">
      <c r="A99" s="278">
        <f>SUM(D92:D95)</f>
      </c>
      <c r="B99" s="278">
        <f>SUM(E92:E95)</f>
      </c>
      <c r="C99" s="279">
        <f>B99/((K99*300)+A99)</f>
      </c>
      <c r="D99" s="280">
        <f>A99/J99</f>
      </c>
      <c r="E99" s="279">
        <f>B99/J99</f>
      </c>
      <c r="F99" s="281">
        <f>J99/I99</f>
      </c>
      <c r="G99" s="281">
        <f>H99/J99</f>
      </c>
      <c r="H99" s="282">
        <v>1</v>
      </c>
      <c r="I99" s="282">
        <v>42</v>
      </c>
      <c r="J99" s="282">
        <f>F96</f>
      </c>
      <c r="K99" s="283">
        <f>C96</f>
      </c>
    </row>
    <row r="100">
      <c r="A100" s="268" t="s">
        <v>651</v>
      </c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</row>
    <row r="101">
      <c r="A101" s="269" t="s">
        <v>605</v>
      </c>
      <c r="B101" s="269" t="s">
        <v>606</v>
      </c>
      <c r="C101" s="269" t="s">
        <v>607</v>
      </c>
      <c r="D101" s="269" t="s">
        <v>608</v>
      </c>
      <c r="E101" s="269" t="s">
        <v>609</v>
      </c>
      <c r="F101" s="269" t="s">
        <v>610</v>
      </c>
      <c r="G101" s="269" t="s">
        <v>611</v>
      </c>
      <c r="H101" s="269" t="s">
        <v>612</v>
      </c>
      <c r="I101" s="269" t="s">
        <v>613</v>
      </c>
      <c r="J101" s="269" t="s">
        <v>614</v>
      </c>
      <c r="K101" s="269"/>
    </row>
    <row r="102">
      <c r="A102" s="270" t="s">
        <v>615</v>
      </c>
      <c r="B102" s="271" t="s">
        <v>616</v>
      </c>
      <c r="C102" s="272">
        <v>4</v>
      </c>
      <c r="D102" s="270">
        <v>7182.53</v>
      </c>
      <c r="E102" s="270">
        <v>12179.4</v>
      </c>
      <c r="F102" s="270">
        <v>11</v>
      </c>
      <c r="G102" s="273">
        <f t="shared" ref="G102:G106" si="72">E102/F102</f>
      </c>
      <c r="H102" s="273">
        <f t="shared" ref="H102:H106" si="41">D102/F102</f>
      </c>
      <c r="I102" s="273">
        <f t="shared" ref="I102:I106" si="10">E102/D102</f>
      </c>
      <c r="J102" s="272">
        <f t="shared" ref="J102:J106" si="103">D102/C102</f>
      </c>
      <c r="K102" s="272"/>
    </row>
    <row r="103">
      <c r="A103" s="270" t="s">
        <v>643</v>
      </c>
      <c r="B103" s="271" t="s">
        <v>618</v>
      </c>
      <c r="C103" s="270">
        <v>4</v>
      </c>
      <c r="D103" s="270">
        <v>3949.68</v>
      </c>
      <c r="E103" s="270">
        <v>6297.6</v>
      </c>
      <c r="F103" s="270">
        <v>5</v>
      </c>
      <c r="G103" s="273">
        <f t="shared" si="72"/>
      </c>
      <c r="H103" s="273">
        <f t="shared" si="41"/>
      </c>
      <c r="I103" s="273">
        <f t="shared" si="10"/>
      </c>
      <c r="J103" s="272">
        <f t="shared" si="103"/>
      </c>
      <c r="K103" s="272"/>
    </row>
    <row r="104">
      <c r="A104" s="270" t="s">
        <v>617</v>
      </c>
      <c r="B104" s="284" t="s">
        <v>620</v>
      </c>
      <c r="C104" s="270">
        <v>4</v>
      </c>
      <c r="D104" s="270">
        <v>4551.530000000001</v>
      </c>
      <c r="E104" s="270">
        <v>13318.799999999996</v>
      </c>
      <c r="F104" s="270">
        <v>8</v>
      </c>
      <c r="G104" s="273">
        <f t="shared" si="72"/>
      </c>
      <c r="H104" s="273">
        <f t="shared" si="41"/>
      </c>
      <c r="I104" s="273">
        <f t="shared" si="10"/>
      </c>
      <c r="J104" s="272">
        <f t="shared" si="103"/>
      </c>
      <c r="K104" s="272"/>
    </row>
    <row r="105">
      <c r="A105" s="270" t="s">
        <v>634</v>
      </c>
      <c r="B105" s="284" t="s">
        <v>638</v>
      </c>
      <c r="C105" s="270">
        <v>4</v>
      </c>
      <c r="D105" s="270">
        <v>7640.680000000002</v>
      </c>
      <c r="E105" s="270">
        <v>7951.200000000004</v>
      </c>
      <c r="F105" s="270">
        <v>6</v>
      </c>
      <c r="G105" s="273">
        <f t="shared" si="72"/>
      </c>
      <c r="H105" s="273">
        <f t="shared" si="41"/>
      </c>
      <c r="I105" s="273">
        <f t="shared" si="10"/>
      </c>
      <c r="J105" s="272">
        <f t="shared" si="103"/>
      </c>
      <c r="K105" s="272"/>
    </row>
    <row r="106">
      <c r="A106" s="269" t="s">
        <v>621</v>
      </c>
      <c r="B106" s="269"/>
      <c r="C106" s="269">
        <f>SUM(C102:C105)</f>
      </c>
      <c r="D106" s="269">
        <f>SUM(D102:D105)</f>
      </c>
      <c r="E106" s="269">
        <f>SUM(E102:E105)</f>
      </c>
      <c r="F106" s="269">
        <f>SUM(F102:F105)</f>
      </c>
      <c r="G106" s="274">
        <f t="shared" si="72"/>
      </c>
      <c r="H106" s="274">
        <f t="shared" si="41"/>
      </c>
      <c r="I106" s="274">
        <f t="shared" si="10"/>
      </c>
      <c r="J106" s="269">
        <f t="shared" si="103"/>
      </c>
      <c r="K106" s="269"/>
    </row>
    <row r="107">
      <c r="A107" s="275" t="s">
        <v>622</v>
      </c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</row>
    <row r="108">
      <c r="A108" s="276" t="s">
        <v>608</v>
      </c>
      <c r="B108" s="276" t="s">
        <v>623</v>
      </c>
      <c r="C108" s="276" t="s">
        <v>624</v>
      </c>
      <c r="D108" s="276" t="s">
        <v>625</v>
      </c>
      <c r="E108" s="276" t="s">
        <v>626</v>
      </c>
      <c r="F108" s="276" t="s">
        <v>627</v>
      </c>
      <c r="G108" s="276" t="s">
        <v>628</v>
      </c>
      <c r="H108" s="277" t="s">
        <v>629</v>
      </c>
      <c r="I108" s="277" t="s">
        <v>630</v>
      </c>
      <c r="J108" s="277" t="s">
        <v>631</v>
      </c>
      <c r="K108" s="277" t="s">
        <v>607</v>
      </c>
    </row>
    <row r="109">
      <c r="A109" s="278">
        <f>SUM(D102:D105)</f>
      </c>
      <c r="B109" s="278">
        <f>SUM(E102:E105)</f>
      </c>
      <c r="C109" s="279">
        <f>B109/((K109*300)+A109)</f>
      </c>
      <c r="D109" s="280">
        <f>A109/J109</f>
      </c>
      <c r="E109" s="279">
        <f>B109/J109</f>
      </c>
      <c r="F109" s="281">
        <f>J109/I109</f>
      </c>
      <c r="G109" s="281">
        <f>H109/J109</f>
      </c>
      <c r="H109" s="282">
        <v>4</v>
      </c>
      <c r="I109" s="282">
        <v>49</v>
      </c>
      <c r="J109" s="282">
        <f>F106</f>
      </c>
      <c r="K109" s="283">
        <f>C106</f>
      </c>
    </row>
    <row r="110">
      <c r="A110" s="268" t="s">
        <v>652</v>
      </c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</row>
    <row r="111">
      <c r="A111" s="269" t="s">
        <v>605</v>
      </c>
      <c r="B111" s="269" t="s">
        <v>606</v>
      </c>
      <c r="C111" s="269" t="s">
        <v>607</v>
      </c>
      <c r="D111" s="269" t="s">
        <v>608</v>
      </c>
      <c r="E111" s="269" t="s">
        <v>609</v>
      </c>
      <c r="F111" s="269" t="s">
        <v>610</v>
      </c>
      <c r="G111" s="269" t="s">
        <v>611</v>
      </c>
      <c r="H111" s="269" t="s">
        <v>612</v>
      </c>
      <c r="I111" s="269" t="s">
        <v>613</v>
      </c>
      <c r="J111" s="269" t="s">
        <v>614</v>
      </c>
      <c r="K111" s="269"/>
    </row>
    <row r="112">
      <c r="A112" s="270" t="s">
        <v>643</v>
      </c>
      <c r="B112" s="271" t="s">
        <v>616</v>
      </c>
      <c r="C112" s="272">
        <v>4</v>
      </c>
      <c r="D112" s="270">
        <v>5403.85</v>
      </c>
      <c r="E112" s="270">
        <v>7112.6</v>
      </c>
      <c r="F112" s="270">
        <v>4</v>
      </c>
      <c r="G112" s="273">
        <f t="shared" ref="G112:G116" si="73">E112/F112</f>
      </c>
      <c r="H112" s="273">
        <f t="shared" ref="H112:H116" si="42">D112/F112</f>
      </c>
      <c r="I112" s="273">
        <f t="shared" ref="I112:I116" si="11">E112/D112</f>
      </c>
      <c r="J112" s="272">
        <f t="shared" ref="J112:J116" si="104">D112/C112</f>
      </c>
      <c r="K112" s="272"/>
    </row>
    <row r="113">
      <c r="A113" s="270" t="s">
        <v>615</v>
      </c>
      <c r="B113" s="271" t="s">
        <v>618</v>
      </c>
      <c r="C113" s="270">
        <v>4</v>
      </c>
      <c r="D113" s="270">
        <v>5038.980000000001</v>
      </c>
      <c r="E113" s="270">
        <v>8493.599999999997</v>
      </c>
      <c r="F113" s="270">
        <v>7</v>
      </c>
      <c r="G113" s="273">
        <f t="shared" si="73"/>
      </c>
      <c r="H113" s="273">
        <f t="shared" si="42"/>
      </c>
      <c r="I113" s="273">
        <f t="shared" si="11"/>
      </c>
      <c r="J113" s="272">
        <f t="shared" si="104"/>
      </c>
      <c r="K113" s="272"/>
    </row>
    <row r="114">
      <c r="A114" s="270" t="s">
        <v>619</v>
      </c>
      <c r="B114" s="284" t="s">
        <v>620</v>
      </c>
      <c r="C114" s="270">
        <v>4</v>
      </c>
      <c r="D114" s="270">
        <v>4069.4799999999996</v>
      </c>
      <c r="E114" s="270">
        <v>4040.4000000000015</v>
      </c>
      <c r="F114" s="270">
        <v>3</v>
      </c>
      <c r="G114" s="273">
        <f t="shared" si="73"/>
      </c>
      <c r="H114" s="273">
        <f t="shared" si="42"/>
      </c>
      <c r="I114" s="273">
        <f t="shared" si="11"/>
      </c>
      <c r="J114" s="272">
        <f t="shared" si="104"/>
      </c>
      <c r="K114" s="272"/>
    </row>
    <row r="115">
      <c r="A115" s="270" t="s">
        <v>617</v>
      </c>
      <c r="B115" s="284" t="s">
        <v>638</v>
      </c>
      <c r="C115" s="270">
        <v>4</v>
      </c>
      <c r="D115" s="270">
        <v>9062.749999999996</v>
      </c>
      <c r="E115" s="270">
        <v>8585.900000000001</v>
      </c>
      <c r="F115" s="270">
        <v>8</v>
      </c>
      <c r="G115" s="273">
        <f t="shared" si="73"/>
      </c>
      <c r="H115" s="273">
        <f t="shared" si="42"/>
      </c>
      <c r="I115" s="273">
        <f t="shared" si="11"/>
      </c>
      <c r="J115" s="272">
        <f t="shared" si="104"/>
      </c>
      <c r="K115" s="272"/>
    </row>
    <row r="116">
      <c r="A116" s="269" t="s">
        <v>621</v>
      </c>
      <c r="B116" s="269"/>
      <c r="C116" s="269">
        <f>SUM(C112:C115)</f>
      </c>
      <c r="D116" s="269">
        <f>SUM(D112:D115)</f>
      </c>
      <c r="E116" s="269">
        <f>SUM(E112:E115)</f>
      </c>
      <c r="F116" s="269">
        <f>SUM(F112:F115)</f>
      </c>
      <c r="G116" s="274">
        <f t="shared" si="73"/>
      </c>
      <c r="H116" s="274">
        <f t="shared" si="42"/>
      </c>
      <c r="I116" s="274">
        <f t="shared" si="11"/>
      </c>
      <c r="J116" s="269">
        <f t="shared" si="104"/>
      </c>
      <c r="K116" s="269"/>
    </row>
    <row r="117">
      <c r="A117" s="275" t="s">
        <v>622</v>
      </c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</row>
    <row r="118">
      <c r="A118" s="276" t="s">
        <v>608</v>
      </c>
      <c r="B118" s="276" t="s">
        <v>623</v>
      </c>
      <c r="C118" s="276" t="s">
        <v>624</v>
      </c>
      <c r="D118" s="276" t="s">
        <v>625</v>
      </c>
      <c r="E118" s="276" t="s">
        <v>626</v>
      </c>
      <c r="F118" s="276" t="s">
        <v>627</v>
      </c>
      <c r="G118" s="276" t="s">
        <v>628</v>
      </c>
      <c r="H118" s="277" t="s">
        <v>629</v>
      </c>
      <c r="I118" s="277" t="s">
        <v>630</v>
      </c>
      <c r="J118" s="277" t="s">
        <v>631</v>
      </c>
      <c r="K118" s="277" t="s">
        <v>607</v>
      </c>
    </row>
    <row r="119">
      <c r="A119" s="278">
        <f>SUM(D112:D115)</f>
      </c>
      <c r="B119" s="278">
        <f>SUM(E112:E115)</f>
      </c>
      <c r="C119" s="279">
        <f>B119/((K119*300)+A119)</f>
      </c>
      <c r="D119" s="280">
        <f>A119/J119</f>
      </c>
      <c r="E119" s="279">
        <f>B119/J119</f>
      </c>
      <c r="F119" s="281">
        <f>J119/I119</f>
      </c>
      <c r="G119" s="281">
        <f>H119/J119</f>
      </c>
      <c r="H119" s="282">
        <v>3</v>
      </c>
      <c r="I119" s="282">
        <v>43</v>
      </c>
      <c r="J119" s="282">
        <f>F116</f>
      </c>
      <c r="K119" s="283">
        <f>C116</f>
      </c>
    </row>
    <row r="120">
      <c r="A120" s="268" t="s">
        <v>653</v>
      </c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</row>
    <row r="121">
      <c r="A121" s="269" t="s">
        <v>605</v>
      </c>
      <c r="B121" s="269" t="s">
        <v>606</v>
      </c>
      <c r="C121" s="269" t="s">
        <v>607</v>
      </c>
      <c r="D121" s="269" t="s">
        <v>608</v>
      </c>
      <c r="E121" s="269" t="s">
        <v>609</v>
      </c>
      <c r="F121" s="269" t="s">
        <v>610</v>
      </c>
      <c r="G121" s="269" t="s">
        <v>611</v>
      </c>
      <c r="H121" s="269" t="s">
        <v>612</v>
      </c>
      <c r="I121" s="269" t="s">
        <v>613</v>
      </c>
      <c r="J121" s="269" t="s">
        <v>614</v>
      </c>
      <c r="K121" s="269"/>
    </row>
    <row r="122">
      <c r="A122" s="270" t="s">
        <v>615</v>
      </c>
      <c r="B122" s="271" t="s">
        <v>616</v>
      </c>
      <c r="C122" s="272">
        <v>4</v>
      </c>
      <c r="D122" s="270">
        <v>9043.36</v>
      </c>
      <c r="E122" s="270">
        <v>9400</v>
      </c>
      <c r="F122" s="270">
        <v>13</v>
      </c>
      <c r="G122" s="273">
        <f t="shared" ref="G122:G126" si="74">E122/F122</f>
      </c>
      <c r="H122" s="273">
        <f t="shared" ref="H122:H126" si="43">D122/F122</f>
      </c>
      <c r="I122" s="273">
        <f t="shared" ref="I122:I126" si="12">E122/D122</f>
      </c>
      <c r="J122" s="273">
        <f t="shared" ref="J122:J126" si="105">D122/C122</f>
      </c>
      <c r="K122" s="273"/>
    </row>
    <row r="123">
      <c r="A123" s="270" t="s">
        <v>619</v>
      </c>
      <c r="B123" s="271" t="s">
        <v>618</v>
      </c>
      <c r="C123" s="270">
        <v>4</v>
      </c>
      <c r="D123" s="270">
        <v>4682.82</v>
      </c>
      <c r="E123" s="270">
        <v>12799.2</v>
      </c>
      <c r="F123" s="270">
        <v>6</v>
      </c>
      <c r="G123" s="273">
        <f t="shared" si="74"/>
      </c>
      <c r="H123" s="273">
        <f t="shared" si="43"/>
      </c>
      <c r="I123" s="273">
        <f t="shared" si="12"/>
      </c>
      <c r="J123" s="273">
        <f t="shared" si="105"/>
      </c>
      <c r="K123" s="273"/>
    </row>
    <row r="124">
      <c r="A124" s="270" t="s">
        <v>634</v>
      </c>
      <c r="B124" s="284" t="s">
        <v>620</v>
      </c>
      <c r="C124" s="270">
        <v>4</v>
      </c>
      <c r="D124" s="270">
        <v>4768.260000000002</v>
      </c>
      <c r="E124" s="270">
        <v>1041.6</v>
      </c>
      <c r="F124" s="270">
        <v>2</v>
      </c>
      <c r="G124" s="273">
        <f t="shared" si="74"/>
      </c>
      <c r="H124" s="273">
        <f t="shared" si="43"/>
      </c>
      <c r="I124" s="273">
        <f t="shared" si="12"/>
      </c>
      <c r="J124" s="273">
        <f t="shared" si="105"/>
      </c>
      <c r="K124" s="273"/>
    </row>
    <row r="125">
      <c r="A125" s="270" t="s">
        <v>617</v>
      </c>
      <c r="B125" s="284" t="s">
        <v>638</v>
      </c>
      <c r="C125" s="270">
        <v>4</v>
      </c>
      <c r="D125" s="270">
        <v>5200.09</v>
      </c>
      <c r="E125" s="270">
        <v>13196.399999999998</v>
      </c>
      <c r="F125" s="270">
        <v>9</v>
      </c>
      <c r="G125" s="273">
        <f t="shared" si="74"/>
      </c>
      <c r="H125" s="273">
        <f t="shared" si="43"/>
      </c>
      <c r="I125" s="273">
        <f t="shared" si="12"/>
      </c>
      <c r="J125" s="273">
        <f t="shared" si="105"/>
      </c>
      <c r="K125" s="273"/>
    </row>
    <row r="126">
      <c r="A126" s="269" t="s">
        <v>621</v>
      </c>
      <c r="B126" s="269"/>
      <c r="C126" s="269">
        <f>SUM(C122:C125)</f>
      </c>
      <c r="D126" s="269">
        <f>SUM(D122:D125)</f>
      </c>
      <c r="E126" s="269">
        <f>SUM(E122:E125)</f>
      </c>
      <c r="F126" s="269">
        <f>SUM(F122:F125)</f>
      </c>
      <c r="G126" s="274">
        <f t="shared" si="74"/>
      </c>
      <c r="H126" s="274">
        <f t="shared" si="43"/>
      </c>
      <c r="I126" s="274">
        <f t="shared" si="12"/>
      </c>
      <c r="J126" s="274">
        <f t="shared" si="105"/>
      </c>
      <c r="K126" s="274"/>
    </row>
    <row r="127">
      <c r="A127" s="275" t="s">
        <v>622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</row>
    <row r="128">
      <c r="A128" s="276" t="s">
        <v>608</v>
      </c>
      <c r="B128" s="276" t="s">
        <v>623</v>
      </c>
      <c r="C128" s="276" t="s">
        <v>624</v>
      </c>
      <c r="D128" s="276" t="s">
        <v>625</v>
      </c>
      <c r="E128" s="276" t="s">
        <v>626</v>
      </c>
      <c r="F128" s="276" t="s">
        <v>627</v>
      </c>
      <c r="G128" s="276" t="s">
        <v>628</v>
      </c>
      <c r="H128" s="277" t="s">
        <v>629</v>
      </c>
      <c r="I128" s="277" t="s">
        <v>630</v>
      </c>
      <c r="J128" s="277" t="s">
        <v>631</v>
      </c>
      <c r="K128" s="277" t="s">
        <v>607</v>
      </c>
    </row>
    <row r="129">
      <c r="A129" s="278">
        <f>SUM(D122:D125)</f>
      </c>
      <c r="B129" s="278">
        <f>SUM(E122:E125)</f>
      </c>
      <c r="C129" s="279">
        <f>B129/((K129*300)+A129)</f>
      </c>
      <c r="D129" s="280">
        <f>A129/J129</f>
      </c>
      <c r="E129" s="279">
        <f>B129/J129</f>
      </c>
      <c r="F129" s="281">
        <f>J129/I129</f>
      </c>
      <c r="G129" s="281">
        <f>H129/J129</f>
      </c>
      <c r="H129" s="282">
        <v>6</v>
      </c>
      <c r="I129" s="282">
        <v>46</v>
      </c>
      <c r="J129" s="282">
        <f>F126</f>
      </c>
      <c r="K129" s="282">
        <f>C126</f>
      </c>
    </row>
    <row r="130">
      <c r="A130" s="268" t="s">
        <v>654</v>
      </c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</row>
    <row r="131">
      <c r="A131" s="269" t="s">
        <v>605</v>
      </c>
      <c r="B131" s="269" t="s">
        <v>606</v>
      </c>
      <c r="C131" s="269" t="s">
        <v>607</v>
      </c>
      <c r="D131" s="269" t="s">
        <v>608</v>
      </c>
      <c r="E131" s="269" t="s">
        <v>609</v>
      </c>
      <c r="F131" s="269" t="s">
        <v>610</v>
      </c>
      <c r="G131" s="269" t="s">
        <v>611</v>
      </c>
      <c r="H131" s="269" t="s">
        <v>612</v>
      </c>
      <c r="I131" s="269" t="s">
        <v>613</v>
      </c>
      <c r="J131" s="269" t="s">
        <v>614</v>
      </c>
      <c r="K131" s="269"/>
    </row>
    <row r="132">
      <c r="A132" s="270" t="s">
        <v>615</v>
      </c>
      <c r="B132" s="271" t="s">
        <v>616</v>
      </c>
      <c r="C132" s="272">
        <v>4</v>
      </c>
      <c r="D132" s="270">
        <v>5020.6</v>
      </c>
      <c r="E132" s="270">
        <v>12781.2</v>
      </c>
      <c r="F132" s="270">
        <v>8</v>
      </c>
      <c r="G132" s="273">
        <f t="shared" ref="G132:G136" si="75">E132/F132</f>
      </c>
      <c r="H132" s="273">
        <f t="shared" ref="H132:H136" si="44">D132/F132</f>
      </c>
      <c r="I132" s="273">
        <f t="shared" ref="I132:I136" si="13">E132/D132</f>
      </c>
      <c r="J132" s="273">
        <f t="shared" ref="J132:J136" si="106">D132/C132</f>
      </c>
      <c r="K132" s="273"/>
    </row>
    <row r="133">
      <c r="A133" s="270" t="s">
        <v>619</v>
      </c>
      <c r="B133" s="271" t="s">
        <v>618</v>
      </c>
      <c r="C133" s="270">
        <v>4</v>
      </c>
      <c r="D133" s="270">
        <v>5388.01</v>
      </c>
      <c r="E133" s="270">
        <v>4378.8</v>
      </c>
      <c r="F133" s="270">
        <v>2</v>
      </c>
      <c r="G133" s="273">
        <f t="shared" si="75"/>
      </c>
      <c r="H133" s="273">
        <f t="shared" si="44"/>
      </c>
      <c r="I133" s="273">
        <f t="shared" si="13"/>
      </c>
      <c r="J133" s="273">
        <f t="shared" si="106"/>
      </c>
      <c r="K133" s="273"/>
    </row>
    <row r="134">
      <c r="A134" s="270" t="s">
        <v>634</v>
      </c>
      <c r="B134" s="284" t="s">
        <v>620</v>
      </c>
      <c r="C134" s="270">
        <v>4</v>
      </c>
      <c r="D134" s="286">
        <v>4067.82</v>
      </c>
      <c r="E134" s="286">
        <v>1813.2</v>
      </c>
      <c r="F134" s="270">
        <v>3</v>
      </c>
      <c r="G134" s="273">
        <f t="shared" si="75"/>
      </c>
      <c r="H134" s="273">
        <f t="shared" si="44"/>
      </c>
      <c r="I134" s="273">
        <f t="shared" si="13"/>
      </c>
      <c r="J134" s="273">
        <f t="shared" si="106"/>
      </c>
      <c r="K134" s="273"/>
    </row>
    <row r="135">
      <c r="A135" s="270" t="s">
        <v>617</v>
      </c>
      <c r="B135" s="284" t="s">
        <v>638</v>
      </c>
      <c r="C135" s="270">
        <v>4</v>
      </c>
      <c r="D135" s="270">
        <v>3651.6399999999994</v>
      </c>
      <c r="E135" s="270">
        <v>9596.400000000001</v>
      </c>
      <c r="F135" s="270">
        <v>8</v>
      </c>
      <c r="G135" s="273">
        <f t="shared" si="75"/>
      </c>
      <c r="H135" s="273">
        <f t="shared" si="44"/>
      </c>
      <c r="I135" s="273">
        <f t="shared" si="13"/>
      </c>
      <c r="J135" s="273">
        <f t="shared" si="106"/>
      </c>
      <c r="K135" s="273"/>
    </row>
    <row r="136">
      <c r="A136" s="269" t="s">
        <v>621</v>
      </c>
      <c r="B136" s="269"/>
      <c r="C136" s="269">
        <f>SUM(C132:C135)</f>
      </c>
      <c r="D136" s="269">
        <f>SUM(D132:D135)</f>
      </c>
      <c r="E136" s="269">
        <f>SUM(E132:E135)</f>
      </c>
      <c r="F136" s="269">
        <f>SUM(F132:F135)</f>
      </c>
      <c r="G136" s="274">
        <f t="shared" si="75"/>
      </c>
      <c r="H136" s="274">
        <f t="shared" si="44"/>
      </c>
      <c r="I136" s="274">
        <f t="shared" si="13"/>
      </c>
      <c r="J136" s="274">
        <f t="shared" si="106"/>
      </c>
      <c r="K136" s="274"/>
    </row>
    <row r="137">
      <c r="A137" s="275" t="s">
        <v>622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</row>
    <row r="138">
      <c r="A138" s="276" t="s">
        <v>608</v>
      </c>
      <c r="B138" s="276" t="s">
        <v>623</v>
      </c>
      <c r="C138" s="276" t="s">
        <v>624</v>
      </c>
      <c r="D138" s="276" t="s">
        <v>625</v>
      </c>
      <c r="E138" s="276" t="s">
        <v>626</v>
      </c>
      <c r="F138" s="276" t="s">
        <v>627</v>
      </c>
      <c r="G138" s="276" t="s">
        <v>628</v>
      </c>
      <c r="H138" s="277" t="s">
        <v>629</v>
      </c>
      <c r="I138" s="277" t="s">
        <v>630</v>
      </c>
      <c r="J138" s="277" t="s">
        <v>631</v>
      </c>
      <c r="K138" s="277" t="s">
        <v>607</v>
      </c>
    </row>
    <row r="139">
      <c r="A139" s="278">
        <f>SUM(D132:D135)</f>
      </c>
      <c r="B139" s="278">
        <f>SUM(E132:E135)</f>
      </c>
      <c r="C139" s="279">
        <f>B139/((K139*300)+A139)</f>
      </c>
      <c r="D139" s="280">
        <f>A139/J139</f>
      </c>
      <c r="E139" s="279">
        <f>B139/J139</f>
      </c>
      <c r="F139" s="281">
        <f>J139/I139</f>
      </c>
      <c r="G139" s="281">
        <f>H139/J139</f>
      </c>
      <c r="H139" s="282">
        <v>3</v>
      </c>
      <c r="I139" s="282">
        <v>53</v>
      </c>
      <c r="J139" s="282">
        <f>F136</f>
      </c>
      <c r="K139" s="282">
        <f>C136</f>
      </c>
    </row>
    <row r="140">
      <c r="A140" s="268" t="s">
        <v>655</v>
      </c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</row>
    <row r="141">
      <c r="A141" s="269" t="s">
        <v>605</v>
      </c>
      <c r="B141" s="269" t="s">
        <v>606</v>
      </c>
      <c r="C141" s="269" t="s">
        <v>607</v>
      </c>
      <c r="D141" s="269" t="s">
        <v>608</v>
      </c>
      <c r="E141" s="269" t="s">
        <v>609</v>
      </c>
      <c r="F141" s="269" t="s">
        <v>610</v>
      </c>
      <c r="G141" s="269" t="s">
        <v>611</v>
      </c>
      <c r="H141" s="269" t="s">
        <v>612</v>
      </c>
      <c r="I141" s="269" t="s">
        <v>613</v>
      </c>
      <c r="J141" s="269" t="s">
        <v>614</v>
      </c>
      <c r="K141" s="269"/>
    </row>
    <row r="142">
      <c r="A142" s="270" t="s">
        <v>615</v>
      </c>
      <c r="B142" s="271" t="s">
        <v>616</v>
      </c>
      <c r="C142" s="272">
        <v>4</v>
      </c>
      <c r="D142" s="270">
        <v>5284.2</v>
      </c>
      <c r="E142" s="270">
        <v>7763</v>
      </c>
      <c r="F142" s="270">
        <v>4</v>
      </c>
      <c r="G142" s="273">
        <f t="shared" ref="G142:G146" si="76">E142/F142</f>
      </c>
      <c r="H142" s="273">
        <f t="shared" ref="H142:H146" si="45">D142/F142</f>
      </c>
      <c r="I142" s="273">
        <f t="shared" ref="I142:I146" si="14">E142/D142</f>
      </c>
      <c r="J142" s="273">
        <f t="shared" ref="J142:J146" si="107">D142/C142</f>
      </c>
      <c r="K142" s="273"/>
    </row>
    <row r="143">
      <c r="A143" s="270" t="s">
        <v>617</v>
      </c>
      <c r="B143" s="271" t="s">
        <v>618</v>
      </c>
      <c r="C143" s="270">
        <v>4</v>
      </c>
      <c r="D143" s="270">
        <v>6970.44</v>
      </c>
      <c r="E143" s="270">
        <v>21106</v>
      </c>
      <c r="F143" s="270">
        <v>10</v>
      </c>
      <c r="G143" s="273">
        <f t="shared" si="76"/>
      </c>
      <c r="H143" s="273">
        <f t="shared" si="45"/>
      </c>
      <c r="I143" s="273">
        <f t="shared" si="14"/>
      </c>
      <c r="J143" s="273">
        <f t="shared" si="107"/>
      </c>
      <c r="K143" s="273"/>
    </row>
    <row r="144">
      <c r="A144" s="270" t="s">
        <v>643</v>
      </c>
      <c r="B144" s="284" t="s">
        <v>620</v>
      </c>
      <c r="C144" s="270">
        <v>4</v>
      </c>
      <c r="D144" s="286">
        <v>5903.690000000002</v>
      </c>
      <c r="E144" s="286">
        <v>4638</v>
      </c>
      <c r="F144" s="270">
        <v>5</v>
      </c>
      <c r="G144" s="273">
        <f t="shared" si="76"/>
      </c>
      <c r="H144" s="273">
        <f t="shared" si="45"/>
      </c>
      <c r="I144" s="273">
        <f t="shared" si="14"/>
      </c>
      <c r="J144" s="273">
        <f t="shared" si="107"/>
      </c>
      <c r="K144" s="273"/>
    </row>
    <row r="145">
      <c r="A145" s="270" t="s">
        <v>619</v>
      </c>
      <c r="B145" s="284" t="s">
        <v>638</v>
      </c>
      <c r="C145" s="270">
        <v>4</v>
      </c>
      <c r="D145" s="270">
        <v>5684.260000000002</v>
      </c>
      <c r="E145" s="270">
        <v>6760.800000000003</v>
      </c>
      <c r="F145" s="270">
        <v>4</v>
      </c>
      <c r="G145" s="273">
        <f t="shared" si="76"/>
      </c>
      <c r="H145" s="273">
        <f t="shared" si="45"/>
      </c>
      <c r="I145" s="273">
        <f t="shared" si="14"/>
      </c>
      <c r="J145" s="273">
        <f t="shared" si="107"/>
      </c>
      <c r="K145" s="273"/>
    </row>
    <row r="146">
      <c r="A146" s="269" t="s">
        <v>621</v>
      </c>
      <c r="B146" s="269"/>
      <c r="C146" s="269">
        <f>SUM(C142:C145)</f>
      </c>
      <c r="D146" s="269">
        <f>SUM(D142:D145)</f>
      </c>
      <c r="E146" s="269">
        <f>SUM(E142:E145)</f>
      </c>
      <c r="F146" s="269">
        <f>SUM(F142:F145)</f>
      </c>
      <c r="G146" s="274">
        <f t="shared" si="76"/>
      </c>
      <c r="H146" s="274">
        <f t="shared" si="45"/>
      </c>
      <c r="I146" s="274">
        <f t="shared" si="14"/>
      </c>
      <c r="J146" s="274">
        <f t="shared" si="107"/>
      </c>
      <c r="K146" s="274"/>
    </row>
    <row r="147">
      <c r="A147" s="275" t="s">
        <v>622</v>
      </c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</row>
    <row r="148">
      <c r="A148" s="276" t="s">
        <v>608</v>
      </c>
      <c r="B148" s="276" t="s">
        <v>623</v>
      </c>
      <c r="C148" s="276" t="s">
        <v>624</v>
      </c>
      <c r="D148" s="276" t="s">
        <v>625</v>
      </c>
      <c r="E148" s="276" t="s">
        <v>626</v>
      </c>
      <c r="F148" s="276" t="s">
        <v>627</v>
      </c>
      <c r="G148" s="276" t="s">
        <v>628</v>
      </c>
      <c r="H148" s="277" t="s">
        <v>629</v>
      </c>
      <c r="I148" s="277" t="s">
        <v>630</v>
      </c>
      <c r="J148" s="277" t="s">
        <v>631</v>
      </c>
      <c r="K148" s="277" t="s">
        <v>607</v>
      </c>
    </row>
    <row r="149">
      <c r="A149" s="278">
        <f>SUM(D142:D145)</f>
      </c>
      <c r="B149" s="278">
        <f>SUM(E142:E145)</f>
      </c>
      <c r="C149" s="279">
        <f>B149/((K149*300)+A149)</f>
      </c>
      <c r="D149" s="280">
        <f>A149/J149</f>
      </c>
      <c r="E149" s="279">
        <f>B149/J149</f>
      </c>
      <c r="F149" s="281">
        <f>J149/I149</f>
      </c>
      <c r="G149" s="281">
        <f>H149/J149</f>
      </c>
      <c r="H149" s="282">
        <v>0</v>
      </c>
      <c r="I149" s="282">
        <v>55</v>
      </c>
      <c r="J149" s="282">
        <f>F146</f>
      </c>
      <c r="K149" s="282">
        <f>C146</f>
      </c>
    </row>
    <row r="150">
      <c r="A150" s="268" t="s">
        <v>656</v>
      </c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</row>
    <row r="151">
      <c r="A151" s="269" t="s">
        <v>605</v>
      </c>
      <c r="B151" s="269" t="s">
        <v>606</v>
      </c>
      <c r="C151" s="269" t="s">
        <v>607</v>
      </c>
      <c r="D151" s="269" t="s">
        <v>608</v>
      </c>
      <c r="E151" s="269" t="s">
        <v>609</v>
      </c>
      <c r="F151" s="269" t="s">
        <v>610</v>
      </c>
      <c r="G151" s="269" t="s">
        <v>611</v>
      </c>
      <c r="H151" s="269" t="s">
        <v>612</v>
      </c>
      <c r="I151" s="269" t="s">
        <v>613</v>
      </c>
      <c r="J151" s="269" t="s">
        <v>614</v>
      </c>
      <c r="K151" s="269"/>
    </row>
    <row r="152">
      <c r="A152" s="270" t="s">
        <v>615</v>
      </c>
      <c r="B152" s="271" t="s">
        <v>616</v>
      </c>
      <c r="C152" s="272">
        <v>4</v>
      </c>
      <c r="D152" s="270">
        <v>6863.17</v>
      </c>
      <c r="E152" s="270">
        <v>10196.2</v>
      </c>
      <c r="F152" s="270">
        <v>10</v>
      </c>
      <c r="G152" s="273">
        <f t="shared" ref="G152:G156" si="77">E152/F152</f>
      </c>
      <c r="H152" s="273">
        <f t="shared" ref="H152:H156" si="46">D152/F152</f>
      </c>
      <c r="I152" s="273">
        <f t="shared" ref="I152:I156" si="15">E152/D152</f>
      </c>
      <c r="J152" s="273">
        <f t="shared" ref="J152:J156" si="108">D152/C152</f>
      </c>
      <c r="K152" s="273"/>
    </row>
    <row r="153">
      <c r="A153" s="270" t="s">
        <v>617</v>
      </c>
      <c r="B153" s="271" t="s">
        <v>618</v>
      </c>
      <c r="C153" s="270">
        <v>4</v>
      </c>
      <c r="D153" s="270">
        <v>4373.51</v>
      </c>
      <c r="E153" s="270">
        <v>3062.4</v>
      </c>
      <c r="F153" s="270">
        <v>1</v>
      </c>
      <c r="G153" s="273">
        <f t="shared" si="77"/>
      </c>
      <c r="H153" s="273">
        <f t="shared" si="46"/>
      </c>
      <c r="I153" s="273">
        <f t="shared" si="15"/>
      </c>
      <c r="J153" s="273">
        <f t="shared" si="108"/>
      </c>
      <c r="K153" s="273"/>
    </row>
    <row r="154">
      <c r="A154" s="270" t="s">
        <v>619</v>
      </c>
      <c r="B154" s="284" t="s">
        <v>620</v>
      </c>
      <c r="C154" s="270">
        <v>4</v>
      </c>
      <c r="D154" s="286">
        <v>4168.560000000001</v>
      </c>
      <c r="E154" s="286">
        <v>8991.6</v>
      </c>
      <c r="F154" s="270">
        <v>6</v>
      </c>
      <c r="G154" s="273">
        <f t="shared" si="77"/>
      </c>
      <c r="H154" s="273">
        <f t="shared" si="46"/>
      </c>
      <c r="I154" s="273">
        <f t="shared" si="15"/>
      </c>
      <c r="J154" s="273">
        <f t="shared" si="108"/>
      </c>
      <c r="K154" s="273"/>
    </row>
    <row r="155">
      <c r="A155" s="270" t="s">
        <v>643</v>
      </c>
      <c r="B155" s="284" t="s">
        <v>638</v>
      </c>
      <c r="C155" s="270">
        <v>4</v>
      </c>
      <c r="D155" s="270">
        <v>2901.4300000000003</v>
      </c>
      <c r="E155" s="270">
        <v>5417.8</v>
      </c>
      <c r="F155" s="270">
        <v>5</v>
      </c>
      <c r="G155" s="273">
        <f t="shared" si="77"/>
      </c>
      <c r="H155" s="273">
        <f t="shared" si="46"/>
      </c>
      <c r="I155" s="273">
        <f t="shared" si="15"/>
      </c>
      <c r="J155" s="273">
        <f t="shared" si="108"/>
      </c>
      <c r="K155" s="273"/>
    </row>
    <row r="156">
      <c r="A156" s="269" t="s">
        <v>621</v>
      </c>
      <c r="B156" s="269"/>
      <c r="C156" s="269">
        <f>SUM(C152:C155)</f>
      </c>
      <c r="D156" s="269">
        <f>SUM(D152:D155)</f>
      </c>
      <c r="E156" s="269">
        <f>SUM(E152:E155)</f>
      </c>
      <c r="F156" s="269">
        <f>SUM(F152:F155)</f>
      </c>
      <c r="G156" s="274">
        <f t="shared" si="77"/>
      </c>
      <c r="H156" s="274">
        <f t="shared" si="46"/>
      </c>
      <c r="I156" s="274">
        <f t="shared" si="15"/>
      </c>
      <c r="J156" s="274">
        <f t="shared" si="108"/>
      </c>
      <c r="K156" s="274"/>
    </row>
    <row r="157">
      <c r="A157" s="275" t="s">
        <v>622</v>
      </c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</row>
    <row r="158">
      <c r="A158" s="276" t="s">
        <v>608</v>
      </c>
      <c r="B158" s="276" t="s">
        <v>623</v>
      </c>
      <c r="C158" s="276" t="s">
        <v>624</v>
      </c>
      <c r="D158" s="276" t="s">
        <v>625</v>
      </c>
      <c r="E158" s="276" t="s">
        <v>626</v>
      </c>
      <c r="F158" s="276" t="s">
        <v>627</v>
      </c>
      <c r="G158" s="276" t="s">
        <v>628</v>
      </c>
      <c r="H158" s="277" t="s">
        <v>629</v>
      </c>
      <c r="I158" s="277" t="s">
        <v>630</v>
      </c>
      <c r="J158" s="277" t="s">
        <v>631</v>
      </c>
      <c r="K158" s="277" t="s">
        <v>607</v>
      </c>
    </row>
    <row r="159">
      <c r="A159" s="278">
        <f>SUM(D152:D155)</f>
      </c>
      <c r="B159" s="278">
        <f>SUM(E152:E155)</f>
      </c>
      <c r="C159" s="279">
        <f>B159/((K159*300)+A159)</f>
      </c>
      <c r="D159" s="280">
        <f>A159/J159</f>
      </c>
      <c r="E159" s="279">
        <f>B159/J159</f>
      </c>
      <c r="F159" s="281">
        <f>J159/I159</f>
      </c>
      <c r="G159" s="281">
        <f>H159/J159</f>
      </c>
      <c r="H159" s="282">
        <v>3</v>
      </c>
      <c r="I159" s="282">
        <v>47</v>
      </c>
      <c r="J159" s="282">
        <f>F156</f>
      </c>
      <c r="K159" s="282">
        <f>C156</f>
      </c>
    </row>
    <row r="160">
      <c r="A160" s="268" t="s">
        <v>657</v>
      </c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</row>
    <row r="161">
      <c r="A161" s="269" t="s">
        <v>605</v>
      </c>
      <c r="B161" s="269" t="s">
        <v>606</v>
      </c>
      <c r="C161" s="269" t="s">
        <v>607</v>
      </c>
      <c r="D161" s="269" t="s">
        <v>608</v>
      </c>
      <c r="E161" s="269" t="s">
        <v>609</v>
      </c>
      <c r="F161" s="269" t="s">
        <v>610</v>
      </c>
      <c r="G161" s="269" t="s">
        <v>611</v>
      </c>
      <c r="H161" s="269" t="s">
        <v>612</v>
      </c>
      <c r="I161" s="269" t="s">
        <v>613</v>
      </c>
      <c r="J161" s="269" t="s">
        <v>614</v>
      </c>
      <c r="K161" s="269"/>
    </row>
    <row r="162">
      <c r="A162" s="270" t="s">
        <v>617</v>
      </c>
      <c r="B162" s="271" t="s">
        <v>616</v>
      </c>
      <c r="C162" s="272">
        <v>4</v>
      </c>
      <c r="D162" s="270">
        <v>3166.3500000000004</v>
      </c>
      <c r="E162" s="270">
        <v>12327</v>
      </c>
      <c r="F162" s="270">
        <v>6</v>
      </c>
      <c r="G162" s="273">
        <f t="shared" ref="G162:G166" si="78">E162/F162</f>
      </c>
      <c r="H162" s="273">
        <f t="shared" ref="H162:H166" si="47">D162/F162</f>
      </c>
      <c r="I162" s="273">
        <f t="shared" ref="I162:I166" si="16">E162/D162</f>
      </c>
      <c r="J162" s="273">
        <f t="shared" ref="J162:J166" si="109">D162/C162</f>
      </c>
      <c r="K162" s="273"/>
    </row>
    <row r="163">
      <c r="A163" s="270" t="s">
        <v>615</v>
      </c>
      <c r="B163" s="271" t="s">
        <v>618</v>
      </c>
      <c r="C163" s="270">
        <v>4</v>
      </c>
      <c r="D163" s="270">
        <v>2618.7599999999993</v>
      </c>
      <c r="E163" s="270">
        <v>7929.399999999998</v>
      </c>
      <c r="F163" s="270">
        <v>5</v>
      </c>
      <c r="G163" s="273">
        <f t="shared" si="78"/>
      </c>
      <c r="H163" s="273">
        <f t="shared" si="47"/>
      </c>
      <c r="I163" s="273">
        <f t="shared" si="16"/>
      </c>
      <c r="J163" s="273">
        <f t="shared" si="109"/>
      </c>
      <c r="K163" s="273"/>
    </row>
    <row r="164">
      <c r="A164" s="270" t="s">
        <v>643</v>
      </c>
      <c r="B164" s="284" t="s">
        <v>620</v>
      </c>
      <c r="C164" s="270">
        <v>4</v>
      </c>
      <c r="D164" s="286">
        <v>4805.210000000002</v>
      </c>
      <c r="E164" s="286">
        <v>8480.2</v>
      </c>
      <c r="F164" s="270">
        <v>6</v>
      </c>
      <c r="G164" s="273">
        <f t="shared" si="78"/>
      </c>
      <c r="H164" s="273">
        <f t="shared" si="47"/>
      </c>
      <c r="I164" s="273">
        <f t="shared" si="16"/>
      </c>
      <c r="J164" s="273">
        <f t="shared" si="109"/>
      </c>
      <c r="K164" s="273"/>
    </row>
    <row r="165">
      <c r="A165" s="270" t="s">
        <v>619</v>
      </c>
      <c r="B165" s="284" t="s">
        <v>638</v>
      </c>
      <c r="C165" s="270">
        <v>4</v>
      </c>
      <c r="D165" s="270">
        <v>7193.6</v>
      </c>
      <c r="E165" s="270">
        <v>7846.9000000000015</v>
      </c>
      <c r="F165" s="270">
        <v>6</v>
      </c>
      <c r="G165" s="273">
        <f t="shared" si="78"/>
      </c>
      <c r="H165" s="273">
        <f t="shared" si="47"/>
      </c>
      <c r="I165" s="273">
        <f t="shared" si="16"/>
      </c>
      <c r="J165" s="273">
        <f t="shared" si="109"/>
      </c>
      <c r="K165" s="273"/>
    </row>
    <row r="166">
      <c r="A166" s="269" t="s">
        <v>621</v>
      </c>
      <c r="B166" s="269"/>
      <c r="C166" s="269">
        <f>SUM(C162:C165)</f>
      </c>
      <c r="D166" s="269">
        <f>SUM(D162:D165)</f>
      </c>
      <c r="E166" s="269">
        <f>SUM(E162:E165)</f>
      </c>
      <c r="F166" s="269">
        <f>SUM(F162:F165)</f>
      </c>
      <c r="G166" s="274">
        <f t="shared" si="78"/>
      </c>
      <c r="H166" s="274">
        <f t="shared" si="47"/>
      </c>
      <c r="I166" s="274">
        <f t="shared" si="16"/>
      </c>
      <c r="J166" s="274">
        <f t="shared" si="109"/>
      </c>
      <c r="K166" s="274"/>
    </row>
    <row r="167">
      <c r="A167" s="275" t="s">
        <v>622</v>
      </c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</row>
    <row r="168">
      <c r="A168" s="276" t="s">
        <v>608</v>
      </c>
      <c r="B168" s="276" t="s">
        <v>623</v>
      </c>
      <c r="C168" s="276" t="s">
        <v>624</v>
      </c>
      <c r="D168" s="276" t="s">
        <v>625</v>
      </c>
      <c r="E168" s="276" t="s">
        <v>626</v>
      </c>
      <c r="F168" s="276" t="s">
        <v>627</v>
      </c>
      <c r="G168" s="276" t="s">
        <v>628</v>
      </c>
      <c r="H168" s="277" t="s">
        <v>629</v>
      </c>
      <c r="I168" s="277" t="s">
        <v>630</v>
      </c>
      <c r="J168" s="277" t="s">
        <v>631</v>
      </c>
      <c r="K168" s="277" t="s">
        <v>607</v>
      </c>
    </row>
    <row r="169">
      <c r="A169" s="278">
        <f>SUM(D162:D165)</f>
      </c>
      <c r="B169" s="278">
        <f>SUM(E162:E165)</f>
      </c>
      <c r="C169" s="279">
        <f>B169/((K169*300)+A169)</f>
      </c>
      <c r="D169" s="280">
        <f>A169/J169</f>
      </c>
      <c r="E169" s="279">
        <f>B169/J169</f>
      </c>
      <c r="F169" s="281">
        <f>J169/I169</f>
      </c>
      <c r="G169" s="281">
        <f>H169/J169</f>
      </c>
      <c r="H169" s="282">
        <v>3</v>
      </c>
      <c r="I169" s="282">
        <v>33</v>
      </c>
      <c r="J169" s="282">
        <f>F162+F163+F164+F165</f>
      </c>
      <c r="K169" s="282">
        <f>C166</f>
      </c>
    </row>
    <row r="170">
      <c r="A170" s="268" t="s">
        <v>658</v>
      </c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</row>
    <row r="171">
      <c r="A171" s="269" t="s">
        <v>605</v>
      </c>
      <c r="B171" s="269" t="s">
        <v>606</v>
      </c>
      <c r="C171" s="269" t="s">
        <v>607</v>
      </c>
      <c r="D171" s="269" t="s">
        <v>608</v>
      </c>
      <c r="E171" s="269" t="s">
        <v>609</v>
      </c>
      <c r="F171" s="269" t="s">
        <v>610</v>
      </c>
      <c r="G171" s="269" t="s">
        <v>611</v>
      </c>
      <c r="H171" s="287">
        <v>8</v>
      </c>
      <c r="I171" s="269" t="s">
        <v>613</v>
      </c>
      <c r="J171" s="269" t="s">
        <v>614</v>
      </c>
      <c r="K171" s="269"/>
    </row>
    <row r="172">
      <c r="A172" s="270" t="s">
        <v>615</v>
      </c>
      <c r="B172" s="271" t="s">
        <v>616</v>
      </c>
      <c r="C172" s="272">
        <v>4</v>
      </c>
      <c r="D172" s="270">
        <v>4357.879999999999</v>
      </c>
      <c r="E172" s="270">
        <v>9284.1</v>
      </c>
      <c r="F172" s="270">
        <v>8</v>
      </c>
      <c r="G172" s="273">
        <f t="shared" ref="G172:G176" si="79">E172/F172</f>
      </c>
      <c r="H172" s="273">
        <f t="shared" ref="H172:H176" si="48">D172/F172</f>
      </c>
      <c r="I172" s="273">
        <f t="shared" ref="I172:I176" si="17">E172/D172</f>
      </c>
      <c r="J172" s="273">
        <f t="shared" ref="J172:J176" si="110">D172/C172</f>
      </c>
      <c r="K172" s="273"/>
    </row>
    <row r="173">
      <c r="A173" s="270" t="s">
        <v>619</v>
      </c>
      <c r="B173" s="271" t="s">
        <v>618</v>
      </c>
      <c r="C173" s="270">
        <v>4</v>
      </c>
      <c r="D173" s="270">
        <v>5752.710000000001</v>
      </c>
      <c r="E173" s="270">
        <v>3829</v>
      </c>
      <c r="F173" s="270">
        <v>4</v>
      </c>
      <c r="G173" s="273">
        <f t="shared" si="79"/>
      </c>
      <c r="H173" s="273">
        <f t="shared" si="48"/>
      </c>
      <c r="I173" s="273">
        <f t="shared" si="17"/>
      </c>
      <c r="J173" s="273">
        <f t="shared" si="110"/>
      </c>
      <c r="K173" s="273"/>
    </row>
    <row r="174">
      <c r="A174" s="270" t="s">
        <v>643</v>
      </c>
      <c r="B174" s="284" t="s">
        <v>620</v>
      </c>
      <c r="C174" s="270">
        <v>4</v>
      </c>
      <c r="D174" s="286">
        <v>5269.369999999999</v>
      </c>
      <c r="E174" s="286">
        <v>13348.799999999997</v>
      </c>
      <c r="F174" s="270">
        <v>15</v>
      </c>
      <c r="G174" s="273">
        <f t="shared" si="79"/>
      </c>
      <c r="H174" s="273">
        <f t="shared" si="48"/>
      </c>
      <c r="I174" s="273">
        <f t="shared" si="17"/>
      </c>
      <c r="J174" s="273">
        <f t="shared" si="110"/>
      </c>
      <c r="K174" s="273"/>
    </row>
    <row r="175">
      <c r="A175" s="270" t="s">
        <v>617</v>
      </c>
      <c r="B175" s="284" t="s">
        <v>638</v>
      </c>
      <c r="C175" s="270">
        <v>4</v>
      </c>
      <c r="D175" s="270">
        <v>8700.059999999998</v>
      </c>
      <c r="E175" s="270">
        <v>11957.100000000002</v>
      </c>
      <c r="F175" s="270">
        <v>14</v>
      </c>
      <c r="G175" s="273">
        <f t="shared" si="79"/>
      </c>
      <c r="H175" s="273">
        <f t="shared" si="48"/>
      </c>
      <c r="I175" s="273">
        <f t="shared" si="17"/>
      </c>
      <c r="J175" s="273">
        <f t="shared" si="110"/>
      </c>
      <c r="K175" s="273"/>
    </row>
    <row r="176">
      <c r="A176" s="269" t="s">
        <v>621</v>
      </c>
      <c r="B176" s="269"/>
      <c r="C176" s="269">
        <f>SUM(C172:C175)</f>
      </c>
      <c r="D176" s="269">
        <f>SUM(D172:D175)</f>
      </c>
      <c r="E176" s="269">
        <f>SUM(E172:E175)</f>
      </c>
      <c r="F176" s="269">
        <f>SUM(F172:F175)</f>
      </c>
      <c r="G176" s="274">
        <f t="shared" si="79"/>
      </c>
      <c r="H176" s="274">
        <f t="shared" si="48"/>
      </c>
      <c r="I176" s="274">
        <f t="shared" si="17"/>
      </c>
      <c r="J176" s="274">
        <f t="shared" si="110"/>
      </c>
      <c r="K176" s="274"/>
    </row>
    <row r="177">
      <c r="A177" s="275" t="s">
        <v>622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</row>
    <row r="178">
      <c r="A178" s="276" t="s">
        <v>608</v>
      </c>
      <c r="B178" s="276" t="s">
        <v>623</v>
      </c>
      <c r="C178" s="276" t="s">
        <v>624</v>
      </c>
      <c r="D178" s="276" t="s">
        <v>625</v>
      </c>
      <c r="E178" s="276" t="s">
        <v>626</v>
      </c>
      <c r="F178" s="276" t="s">
        <v>627</v>
      </c>
      <c r="G178" s="276" t="s">
        <v>628</v>
      </c>
      <c r="H178" s="277" t="s">
        <v>629</v>
      </c>
      <c r="I178" s="277" t="s">
        <v>630</v>
      </c>
      <c r="J178" s="277" t="s">
        <v>631</v>
      </c>
      <c r="K178" s="277" t="s">
        <v>607</v>
      </c>
    </row>
    <row r="179">
      <c r="A179" s="278">
        <f>SUM(D172:D175)</f>
      </c>
      <c r="B179" s="278">
        <f>SUM(E172:E175)</f>
      </c>
      <c r="C179" s="279">
        <f>B179/((K179*300)+A179)</f>
      </c>
      <c r="D179" s="280">
        <f>A179/J179</f>
      </c>
      <c r="E179" s="279">
        <f>B179/J179</f>
      </c>
      <c r="F179" s="281">
        <f>J179/I179</f>
      </c>
      <c r="G179" s="281">
        <f>H179/J179</f>
      </c>
      <c r="H179" s="282">
        <v>7</v>
      </c>
      <c r="I179" s="282">
        <v>56</v>
      </c>
      <c r="J179" s="282">
        <f>F172+F173+F174+F175</f>
      </c>
      <c r="K179" s="282">
        <f>C176</f>
      </c>
    </row>
    <row r="180">
      <c r="A180" s="268" t="s">
        <v>659</v>
      </c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</row>
    <row r="181">
      <c r="A181" s="269" t="s">
        <v>605</v>
      </c>
      <c r="B181" s="269" t="s">
        <v>606</v>
      </c>
      <c r="C181" s="269" t="s">
        <v>607</v>
      </c>
      <c r="D181" s="269" t="s">
        <v>608</v>
      </c>
      <c r="E181" s="269" t="s">
        <v>609</v>
      </c>
      <c r="F181" s="269" t="s">
        <v>610</v>
      </c>
      <c r="G181" s="269" t="s">
        <v>611</v>
      </c>
      <c r="H181" s="287">
        <v>8</v>
      </c>
      <c r="I181" s="269" t="s">
        <v>613</v>
      </c>
      <c r="J181" s="269" t="s">
        <v>614</v>
      </c>
      <c r="K181" s="269"/>
    </row>
    <row r="182">
      <c r="A182" s="270" t="s">
        <v>619</v>
      </c>
      <c r="B182" s="271" t="s">
        <v>616</v>
      </c>
      <c r="C182" s="272">
        <v>4</v>
      </c>
      <c r="D182" s="270">
        <v>5597.35</v>
      </c>
      <c r="E182" s="270">
        <v>4899.6</v>
      </c>
      <c r="F182" s="270">
        <v>3</v>
      </c>
      <c r="G182" s="273">
        <f t="shared" ref="G182:G186" si="80">E182/F182</f>
      </c>
      <c r="H182" s="273">
        <f t="shared" ref="H182:H186" si="49">D182/F182</f>
      </c>
      <c r="I182" s="273">
        <f t="shared" ref="I182:I186" si="18">E182/D182</f>
      </c>
      <c r="J182" s="273">
        <f t="shared" ref="J182:J186" si="111">D182/C182</f>
      </c>
      <c r="K182" s="273"/>
    </row>
    <row r="183">
      <c r="A183" s="270" t="s">
        <v>615</v>
      </c>
      <c r="B183" s="271" t="s">
        <v>618</v>
      </c>
      <c r="C183" s="270">
        <v>4</v>
      </c>
      <c r="D183" s="270">
        <v>3745.460000000001</v>
      </c>
      <c r="E183" s="270">
        <v>6796.8</v>
      </c>
      <c r="F183" s="270">
        <v>7</v>
      </c>
      <c r="G183" s="273">
        <f t="shared" si="80"/>
      </c>
      <c r="H183" s="273">
        <f t="shared" si="49"/>
      </c>
      <c r="I183" s="273">
        <f t="shared" si="18"/>
      </c>
      <c r="J183" s="273">
        <f t="shared" si="111"/>
      </c>
      <c r="K183" s="273"/>
    </row>
    <row r="184">
      <c r="A184" s="270" t="s">
        <v>617</v>
      </c>
      <c r="B184" s="284" t="s">
        <v>620</v>
      </c>
      <c r="C184" s="270">
        <v>4</v>
      </c>
      <c r="D184" s="286">
        <v>4412.969999999999</v>
      </c>
      <c r="E184" s="286">
        <v>520.8</v>
      </c>
      <c r="F184" s="270">
        <v>1</v>
      </c>
      <c r="G184" s="273">
        <f t="shared" si="80"/>
      </c>
      <c r="H184" s="273">
        <f t="shared" si="49"/>
      </c>
      <c r="I184" s="273">
        <f t="shared" si="18"/>
      </c>
      <c r="J184" s="273">
        <f t="shared" si="111"/>
      </c>
      <c r="K184" s="273"/>
    </row>
    <row r="185">
      <c r="A185" s="270" t="s">
        <v>643</v>
      </c>
      <c r="B185" s="284" t="s">
        <v>638</v>
      </c>
      <c r="C185" s="270">
        <v>4</v>
      </c>
      <c r="D185" s="270">
        <v>6330.200000000003</v>
      </c>
      <c r="E185" s="270">
        <v>7280.6</v>
      </c>
      <c r="F185" s="270">
        <v>4</v>
      </c>
      <c r="G185" s="273">
        <f t="shared" si="80"/>
      </c>
      <c r="H185" s="273">
        <f t="shared" si="49"/>
      </c>
      <c r="I185" s="273">
        <f t="shared" si="18"/>
      </c>
      <c r="J185" s="273">
        <f t="shared" si="111"/>
      </c>
      <c r="K185" s="273"/>
    </row>
    <row r="186">
      <c r="A186" s="269" t="s">
        <v>621</v>
      </c>
      <c r="B186" s="269"/>
      <c r="C186" s="269">
        <f>SUM(C182:C185)</f>
      </c>
      <c r="D186" s="269">
        <f>SUM(D182:D185)</f>
      </c>
      <c r="E186" s="269">
        <f>SUM(E182:E185)</f>
      </c>
      <c r="F186" s="269">
        <f>SUM(F182:F185)</f>
      </c>
      <c r="G186" s="274">
        <f t="shared" si="80"/>
      </c>
      <c r="H186" s="274">
        <f t="shared" si="49"/>
      </c>
      <c r="I186" s="274">
        <f t="shared" si="18"/>
      </c>
      <c r="J186" s="274">
        <f t="shared" si="111"/>
      </c>
      <c r="K186" s="274"/>
    </row>
    <row r="187">
      <c r="A187" s="275" t="s">
        <v>622</v>
      </c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</row>
    <row r="188">
      <c r="A188" s="276" t="s">
        <v>608</v>
      </c>
      <c r="B188" s="276" t="s">
        <v>623</v>
      </c>
      <c r="C188" s="276" t="s">
        <v>624</v>
      </c>
      <c r="D188" s="276" t="s">
        <v>625</v>
      </c>
      <c r="E188" s="276" t="s">
        <v>626</v>
      </c>
      <c r="F188" s="276" t="s">
        <v>627</v>
      </c>
      <c r="G188" s="276" t="s">
        <v>628</v>
      </c>
      <c r="H188" s="277" t="s">
        <v>629</v>
      </c>
      <c r="I188" s="277" t="s">
        <v>630</v>
      </c>
      <c r="J188" s="277" t="s">
        <v>631</v>
      </c>
      <c r="K188" s="277" t="s">
        <v>607</v>
      </c>
    </row>
    <row r="189">
      <c r="A189" s="278">
        <f>SUM(D182:D185)</f>
      </c>
      <c r="B189" s="278">
        <f>SUM(E182:E185)</f>
      </c>
      <c r="C189" s="279">
        <f>B189/((K189*300)+A189)</f>
      </c>
      <c r="D189" s="280">
        <f>A189/J189</f>
      </c>
      <c r="E189" s="279">
        <f>B189/J189</f>
      </c>
      <c r="F189" s="281">
        <f>J189/I189</f>
      </c>
      <c r="G189" s="281">
        <f>H189/J189</f>
      </c>
      <c r="H189" s="282">
        <v>1</v>
      </c>
      <c r="I189" s="282">
        <v>33</v>
      </c>
      <c r="J189" s="282">
        <f>F182+F183+F184+F185</f>
      </c>
      <c r="K189" s="282">
        <f>C186</f>
      </c>
    </row>
    <row r="190">
      <c r="A190" s="268" t="s">
        <v>660</v>
      </c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</row>
    <row r="191">
      <c r="A191" s="269" t="s">
        <v>605</v>
      </c>
      <c r="B191" s="269" t="s">
        <v>606</v>
      </c>
      <c r="C191" s="269" t="s">
        <v>607</v>
      </c>
      <c r="D191" s="269" t="s">
        <v>608</v>
      </c>
      <c r="E191" s="269" t="s">
        <v>609</v>
      </c>
      <c r="F191" s="269" t="s">
        <v>610</v>
      </c>
      <c r="G191" s="269" t="s">
        <v>611</v>
      </c>
      <c r="H191" s="287">
        <v>8</v>
      </c>
      <c r="I191" s="269" t="s">
        <v>613</v>
      </c>
      <c r="J191" s="269" t="s">
        <v>614</v>
      </c>
      <c r="K191" s="269"/>
    </row>
    <row r="192">
      <c r="A192" s="270" t="s">
        <v>615</v>
      </c>
      <c r="B192" s="271" t="s">
        <v>616</v>
      </c>
      <c r="C192" s="272">
        <v>4</v>
      </c>
      <c r="D192" s="270">
        <v>3631.61</v>
      </c>
      <c r="E192" s="270">
        <v>9544.2</v>
      </c>
      <c r="F192" s="270">
        <v>8</v>
      </c>
      <c r="G192" s="273">
        <f t="shared" ref="G192:G196" si="81">E192/F192</f>
      </c>
      <c r="H192" s="273">
        <f t="shared" ref="H192:H196" si="50">D192/F192</f>
      </c>
      <c r="I192" s="273">
        <f t="shared" ref="I192:I196" si="19">E192/D192</f>
      </c>
      <c r="J192" s="273">
        <f t="shared" ref="J192:J196" si="112">D192/C192</f>
      </c>
      <c r="K192" s="273"/>
    </row>
    <row r="193">
      <c r="A193" s="270" t="s">
        <v>643</v>
      </c>
      <c r="B193" s="271" t="s">
        <v>618</v>
      </c>
      <c r="C193" s="270">
        <v>4</v>
      </c>
      <c r="D193" s="270">
        <v>3064.5499999999997</v>
      </c>
      <c r="E193" s="270">
        <v>1257.6</v>
      </c>
      <c r="F193" s="270">
        <v>1</v>
      </c>
      <c r="G193" s="273">
        <f t="shared" si="81"/>
      </c>
      <c r="H193" s="273">
        <f t="shared" si="50"/>
      </c>
      <c r="I193" s="273">
        <f t="shared" si="19"/>
      </c>
      <c r="J193" s="273">
        <f t="shared" si="112"/>
      </c>
      <c r="K193" s="273"/>
    </row>
    <row r="194">
      <c r="A194" s="270" t="s">
        <v>634</v>
      </c>
      <c r="B194" s="284" t="s">
        <v>661</v>
      </c>
      <c r="C194" s="270">
        <v>3</v>
      </c>
      <c r="D194" s="286">
        <v>2347.029999999999</v>
      </c>
      <c r="E194" s="286">
        <v>697</v>
      </c>
      <c r="F194" s="270">
        <v>1</v>
      </c>
      <c r="G194" s="273">
        <f t="shared" si="81"/>
      </c>
      <c r="H194" s="273">
        <f t="shared" si="50"/>
      </c>
      <c r="I194" s="273">
        <f t="shared" si="19"/>
      </c>
      <c r="J194" s="273">
        <f t="shared" si="112"/>
      </c>
      <c r="K194" s="273"/>
    </row>
    <row r="195">
      <c r="A195" s="270" t="s">
        <v>617</v>
      </c>
      <c r="B195" s="284" t="s">
        <v>662</v>
      </c>
      <c r="C195" s="270">
        <v>5</v>
      </c>
      <c r="D195" s="270">
        <v>6645.9400000000005</v>
      </c>
      <c r="E195" s="270">
        <v>6957.8</v>
      </c>
      <c r="F195" s="270">
        <v>8</v>
      </c>
      <c r="G195" s="273">
        <f t="shared" si="81"/>
      </c>
      <c r="H195" s="273">
        <f t="shared" si="50"/>
      </c>
      <c r="I195" s="273">
        <f t="shared" si="19"/>
      </c>
      <c r="J195" s="273">
        <f t="shared" si="112"/>
      </c>
      <c r="K195" s="273"/>
    </row>
    <row r="196">
      <c r="A196" s="269" t="s">
        <v>621</v>
      </c>
      <c r="B196" s="269"/>
      <c r="C196" s="269">
        <f>SUM(C192:C195)</f>
      </c>
      <c r="D196" s="269">
        <f>SUM(D192:D195)</f>
      </c>
      <c r="E196" s="269">
        <f>SUM(E192:E195)</f>
      </c>
      <c r="F196" s="269">
        <f>SUM(F192:F195)</f>
      </c>
      <c r="G196" s="274">
        <f t="shared" si="81"/>
      </c>
      <c r="H196" s="274">
        <f t="shared" si="50"/>
      </c>
      <c r="I196" s="274">
        <f t="shared" si="19"/>
      </c>
      <c r="J196" s="274">
        <f t="shared" si="112"/>
      </c>
      <c r="K196" s="274"/>
    </row>
    <row r="197">
      <c r="A197" s="275" t="s">
        <v>622</v>
      </c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</row>
    <row r="198">
      <c r="A198" s="276" t="s">
        <v>608</v>
      </c>
      <c r="B198" s="276" t="s">
        <v>623</v>
      </c>
      <c r="C198" s="276" t="s">
        <v>624</v>
      </c>
      <c r="D198" s="276" t="s">
        <v>625</v>
      </c>
      <c r="E198" s="276" t="s">
        <v>626</v>
      </c>
      <c r="F198" s="276" t="s">
        <v>627</v>
      </c>
      <c r="G198" s="276" t="s">
        <v>628</v>
      </c>
      <c r="H198" s="277" t="s">
        <v>629</v>
      </c>
      <c r="I198" s="277" t="s">
        <v>630</v>
      </c>
      <c r="J198" s="277" t="s">
        <v>631</v>
      </c>
      <c r="K198" s="277" t="s">
        <v>607</v>
      </c>
    </row>
    <row r="199">
      <c r="A199" s="278">
        <f>SUM(D192:D195)</f>
      </c>
      <c r="B199" s="278">
        <f>SUM(E192:E195)</f>
      </c>
      <c r="C199" s="279">
        <f>B199/((K199*300)+A199)</f>
      </c>
      <c r="D199" s="280">
        <f>A199/J199</f>
      </c>
      <c r="E199" s="279">
        <f>B199/J199</f>
      </c>
      <c r="F199" s="281">
        <f>J199/I199</f>
      </c>
      <c r="G199" s="281">
        <f>H199/J199</f>
      </c>
      <c r="H199" s="282">
        <v>1</v>
      </c>
      <c r="I199" s="282">
        <v>37</v>
      </c>
      <c r="J199" s="282">
        <f>F192+F193+F194+F195</f>
      </c>
      <c r="K199" s="282">
        <f>C196</f>
      </c>
    </row>
    <row r="200">
      <c r="A200" s="268" t="s">
        <v>663</v>
      </c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</row>
    <row r="201">
      <c r="A201" s="269" t="s">
        <v>605</v>
      </c>
      <c r="B201" s="269" t="s">
        <v>606</v>
      </c>
      <c r="C201" s="269" t="s">
        <v>607</v>
      </c>
      <c r="D201" s="269" t="s">
        <v>608</v>
      </c>
      <c r="E201" s="269" t="s">
        <v>609</v>
      </c>
      <c r="F201" s="269" t="s">
        <v>610</v>
      </c>
      <c r="G201" s="269" t="s">
        <v>611</v>
      </c>
      <c r="H201" s="287">
        <v>8</v>
      </c>
      <c r="I201" s="269" t="s">
        <v>613</v>
      </c>
      <c r="J201" s="269" t="s">
        <v>614</v>
      </c>
      <c r="K201" s="269"/>
    </row>
    <row r="202">
      <c r="A202" s="270" t="s">
        <v>615</v>
      </c>
      <c r="B202" s="284" t="s">
        <v>633</v>
      </c>
      <c r="C202" s="270">
        <v>5</v>
      </c>
      <c r="D202" s="270">
        <v>5489.2</v>
      </c>
      <c r="E202" s="270">
        <v>15542.4</v>
      </c>
      <c r="F202" s="270">
        <v>11</v>
      </c>
      <c r="G202" s="273">
        <f t="shared" ref="G202:G206" si="82">E202/F202</f>
      </c>
      <c r="H202" s="273">
        <f t="shared" ref="H202:H206" si="51">D202/F202</f>
      </c>
      <c r="I202" s="273">
        <f t="shared" ref="I202:I206" si="20">E202/D202</f>
      </c>
      <c r="J202" s="273">
        <f t="shared" ref="J202:J206" si="113">D202/C202</f>
      </c>
      <c r="K202" s="273"/>
    </row>
    <row r="203">
      <c r="A203" s="270" t="s">
        <v>634</v>
      </c>
      <c r="B203" s="284" t="s">
        <v>664</v>
      </c>
      <c r="C203" s="270">
        <v>3</v>
      </c>
      <c r="D203" s="270">
        <v>2874.4900000000007</v>
      </c>
      <c r="E203" s="270">
        <v>9114</v>
      </c>
      <c r="F203" s="270">
        <v>7</v>
      </c>
      <c r="G203" s="273">
        <f t="shared" si="82"/>
      </c>
      <c r="H203" s="273">
        <f t="shared" si="51"/>
      </c>
      <c r="I203" s="273">
        <f t="shared" si="20"/>
      </c>
      <c r="J203" s="273">
        <f t="shared" si="113"/>
      </c>
      <c r="K203" s="273"/>
    </row>
    <row r="204">
      <c r="A204" s="270" t="s">
        <v>643</v>
      </c>
      <c r="B204" s="284" t="s">
        <v>620</v>
      </c>
      <c r="C204" s="270">
        <v>4</v>
      </c>
      <c r="D204" s="286">
        <v>7826.76</v>
      </c>
      <c r="E204" s="286">
        <v>6205.8</v>
      </c>
      <c r="F204" s="270">
        <v>4</v>
      </c>
      <c r="G204" s="273">
        <f t="shared" si="82"/>
      </c>
      <c r="H204" s="273">
        <f t="shared" si="51"/>
      </c>
      <c r="I204" s="273">
        <f t="shared" si="20"/>
      </c>
      <c r="J204" s="273">
        <f t="shared" si="113"/>
      </c>
      <c r="K204" s="273"/>
    </row>
    <row r="205">
      <c r="A205" s="270" t="s">
        <v>619</v>
      </c>
      <c r="B205" s="284" t="s">
        <v>638</v>
      </c>
      <c r="C205" s="270">
        <v>4</v>
      </c>
      <c r="D205" s="270">
        <v>8182.240000000002</v>
      </c>
      <c r="E205" s="270">
        <v>14476.4</v>
      </c>
      <c r="F205" s="270">
        <v>12</v>
      </c>
      <c r="G205" s="273">
        <f t="shared" si="82"/>
      </c>
      <c r="H205" s="273">
        <f t="shared" si="51"/>
      </c>
      <c r="I205" s="273">
        <f t="shared" si="20"/>
      </c>
      <c r="J205" s="273">
        <f t="shared" si="113"/>
      </c>
      <c r="K205" s="273"/>
    </row>
    <row r="206">
      <c r="A206" s="269" t="s">
        <v>621</v>
      </c>
      <c r="B206" s="269"/>
      <c r="C206" s="269">
        <f>SUM(C202:C205)</f>
      </c>
      <c r="D206" s="269">
        <f>SUM(D202:D205)</f>
      </c>
      <c r="E206" s="269">
        <f>SUM(E202:E205)</f>
      </c>
      <c r="F206" s="269">
        <f>SUM(F202:F205)</f>
      </c>
      <c r="G206" s="274">
        <f t="shared" si="82"/>
      </c>
      <c r="H206" s="274">
        <f t="shared" si="51"/>
      </c>
      <c r="I206" s="274">
        <f t="shared" si="20"/>
      </c>
      <c r="J206" s="274">
        <f t="shared" si="113"/>
      </c>
      <c r="K206" s="274"/>
    </row>
    <row r="207">
      <c r="A207" s="275" t="s">
        <v>622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</row>
    <row r="208">
      <c r="A208" s="276" t="s">
        <v>608</v>
      </c>
      <c r="B208" s="276" t="s">
        <v>623</v>
      </c>
      <c r="C208" s="276" t="s">
        <v>624</v>
      </c>
      <c r="D208" s="276" t="s">
        <v>625</v>
      </c>
      <c r="E208" s="276" t="s">
        <v>626</v>
      </c>
      <c r="F208" s="276" t="s">
        <v>627</v>
      </c>
      <c r="G208" s="276" t="s">
        <v>628</v>
      </c>
      <c r="H208" s="277" t="s">
        <v>629</v>
      </c>
      <c r="I208" s="277" t="s">
        <v>630</v>
      </c>
      <c r="J208" s="277" t="s">
        <v>631</v>
      </c>
      <c r="K208" s="277" t="s">
        <v>607</v>
      </c>
    </row>
    <row r="209">
      <c r="A209" s="278">
        <f>SUM(D202:D205)</f>
      </c>
      <c r="B209" s="278">
        <f>SUM(E202:E205)</f>
      </c>
      <c r="C209" s="279">
        <f>B209/((K209*300)+A209)</f>
      </c>
      <c r="D209" s="280">
        <f>A209/J209</f>
      </c>
      <c r="E209" s="279">
        <f>B209/J209</f>
      </c>
      <c r="F209" s="281">
        <f>J209/I209</f>
      </c>
      <c r="G209" s="281">
        <f>H209/J209</f>
      </c>
      <c r="H209" s="282">
        <v>4</v>
      </c>
      <c r="I209" s="282">
        <v>41</v>
      </c>
      <c r="J209" s="282">
        <f>F202+F203+F204+F205</f>
      </c>
      <c r="K209" s="282">
        <f>C206</f>
      </c>
    </row>
    <row r="210">
      <c r="A210" s="268" t="s">
        <v>665</v>
      </c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</row>
    <row r="211">
      <c r="A211" s="269" t="s">
        <v>605</v>
      </c>
      <c r="B211" s="269" t="s">
        <v>606</v>
      </c>
      <c r="C211" s="269" t="s">
        <v>607</v>
      </c>
      <c r="D211" s="269" t="s">
        <v>608</v>
      </c>
      <c r="E211" s="269" t="s">
        <v>609</v>
      </c>
      <c r="F211" s="269" t="s">
        <v>610</v>
      </c>
      <c r="G211" s="269" t="s">
        <v>611</v>
      </c>
      <c r="H211" s="287">
        <v>8</v>
      </c>
      <c r="I211" s="269" t="s">
        <v>613</v>
      </c>
      <c r="J211" s="269" t="s">
        <v>614</v>
      </c>
      <c r="K211" s="269"/>
    </row>
    <row r="212">
      <c r="A212" s="270" t="s">
        <v>617</v>
      </c>
      <c r="B212" s="284" t="s">
        <v>633</v>
      </c>
      <c r="C212" s="270">
        <v>5</v>
      </c>
      <c r="D212" s="270">
        <v>4420.610000000001</v>
      </c>
      <c r="E212" s="270">
        <v>10508.2</v>
      </c>
      <c r="F212" s="270">
        <v>6</v>
      </c>
      <c r="G212" s="273">
        <f t="shared" ref="G212:G216" si="83">E212/F212</f>
      </c>
      <c r="H212" s="273">
        <f t="shared" ref="H212:H216" si="52">D212/F212</f>
      </c>
      <c r="I212" s="273">
        <f t="shared" ref="I212:I216" si="21">E212/D212</f>
      </c>
      <c r="J212" s="273">
        <f t="shared" ref="J212:J216" si="114">D212/C212</f>
      </c>
      <c r="K212" s="273"/>
    </row>
    <row r="213">
      <c r="A213" s="270" t="s">
        <v>643</v>
      </c>
      <c r="B213" s="284" t="s">
        <v>666</v>
      </c>
      <c r="C213" s="270">
        <v>4</v>
      </c>
      <c r="D213" s="270">
        <v>5025.91</v>
      </c>
      <c r="E213" s="270">
        <v>5663.6</v>
      </c>
      <c r="F213" s="270">
        <v>5</v>
      </c>
      <c r="G213" s="273">
        <f t="shared" si="83"/>
      </c>
      <c r="H213" s="273">
        <f t="shared" si="52"/>
      </c>
      <c r="I213" s="273">
        <f t="shared" si="21"/>
      </c>
      <c r="J213" s="273">
        <f t="shared" si="114"/>
      </c>
      <c r="K213" s="273"/>
    </row>
    <row r="214">
      <c r="A214" s="270" t="s">
        <v>634</v>
      </c>
      <c r="B214" s="284" t="s">
        <v>644</v>
      </c>
      <c r="C214" s="270">
        <v>3</v>
      </c>
      <c r="D214" s="286">
        <v>6100.54</v>
      </c>
      <c r="E214" s="286">
        <v>6842.4</v>
      </c>
      <c r="F214" s="270">
        <v>5</v>
      </c>
      <c r="G214" s="273">
        <f t="shared" si="83"/>
      </c>
      <c r="H214" s="273">
        <f t="shared" si="52"/>
      </c>
      <c r="I214" s="273">
        <f t="shared" si="21"/>
      </c>
      <c r="J214" s="273">
        <f t="shared" si="114"/>
      </c>
      <c r="K214" s="273"/>
    </row>
    <row r="215">
      <c r="A215" s="270" t="s">
        <v>619</v>
      </c>
      <c r="B215" s="284" t="s">
        <v>638</v>
      </c>
      <c r="C215" s="270">
        <v>4</v>
      </c>
      <c r="D215" s="270">
        <v>8748.57</v>
      </c>
      <c r="E215" s="270">
        <v>8956.2</v>
      </c>
      <c r="F215" s="270">
        <v>7</v>
      </c>
      <c r="G215" s="273">
        <f t="shared" si="83"/>
      </c>
      <c r="H215" s="273">
        <f t="shared" si="52"/>
      </c>
      <c r="I215" s="273">
        <f t="shared" si="21"/>
      </c>
      <c r="J215" s="273">
        <f t="shared" si="114"/>
      </c>
      <c r="K215" s="273"/>
    </row>
    <row r="216">
      <c r="A216" s="269" t="s">
        <v>621</v>
      </c>
      <c r="B216" s="269"/>
      <c r="C216" s="269">
        <f>SUM(C212:C215)</f>
      </c>
      <c r="D216" s="269">
        <f>SUM(D212:D215)</f>
      </c>
      <c r="E216" s="269">
        <f>SUM(E212:E215)</f>
      </c>
      <c r="F216" s="269">
        <f>SUM(F212:F215)</f>
      </c>
      <c r="G216" s="274">
        <f t="shared" si="83"/>
      </c>
      <c r="H216" s="274">
        <f t="shared" si="52"/>
      </c>
      <c r="I216" s="274">
        <f t="shared" si="21"/>
      </c>
      <c r="J216" s="274">
        <f t="shared" si="114"/>
      </c>
      <c r="K216" s="274"/>
    </row>
    <row r="217">
      <c r="A217" s="275" t="s">
        <v>622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</row>
    <row r="218">
      <c r="A218" s="276" t="s">
        <v>608</v>
      </c>
      <c r="B218" s="276" t="s">
        <v>623</v>
      </c>
      <c r="C218" s="276" t="s">
        <v>624</v>
      </c>
      <c r="D218" s="276" t="s">
        <v>625</v>
      </c>
      <c r="E218" s="276" t="s">
        <v>626</v>
      </c>
      <c r="F218" s="276" t="s">
        <v>627</v>
      </c>
      <c r="G218" s="276" t="s">
        <v>628</v>
      </c>
      <c r="H218" s="277" t="s">
        <v>629</v>
      </c>
      <c r="I218" s="277" t="s">
        <v>630</v>
      </c>
      <c r="J218" s="277" t="s">
        <v>631</v>
      </c>
      <c r="K218" s="277" t="s">
        <v>607</v>
      </c>
    </row>
    <row r="219">
      <c r="A219" s="278">
        <f>SUM(D212:D215)</f>
      </c>
      <c r="B219" s="278">
        <f>SUM(E212:E215)</f>
      </c>
      <c r="C219" s="279">
        <f>B219/((K219*300)+A219)</f>
      </c>
      <c r="D219" s="280">
        <f>A219/J219</f>
      </c>
      <c r="E219" s="279">
        <f>B219/J219</f>
      </c>
      <c r="F219" s="281">
        <f>J219/I219</f>
      </c>
      <c r="G219" s="281">
        <f>H219/J219</f>
      </c>
      <c r="H219" s="282">
        <v>2</v>
      </c>
      <c r="I219" s="282">
        <v>38</v>
      </c>
      <c r="J219" s="282">
        <f>F212+F213+F214+F215</f>
      </c>
      <c r="K219" s="282">
        <f>C216</f>
      </c>
    </row>
    <row r="220">
      <c r="A220" s="268" t="s">
        <v>667</v>
      </c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</row>
    <row r="221">
      <c r="A221" s="269" t="s">
        <v>605</v>
      </c>
      <c r="B221" s="269" t="s">
        <v>606</v>
      </c>
      <c r="C221" s="269" t="s">
        <v>607</v>
      </c>
      <c r="D221" s="269" t="s">
        <v>608</v>
      </c>
      <c r="E221" s="269" t="s">
        <v>609</v>
      </c>
      <c r="F221" s="269" t="s">
        <v>610</v>
      </c>
      <c r="G221" s="269" t="s">
        <v>611</v>
      </c>
      <c r="H221" s="287">
        <v>8</v>
      </c>
      <c r="I221" s="269" t="s">
        <v>613</v>
      </c>
      <c r="J221" s="269" t="s">
        <v>614</v>
      </c>
      <c r="K221" s="269"/>
    </row>
    <row r="222">
      <c r="A222" s="270" t="s">
        <v>615</v>
      </c>
      <c r="B222" s="284" t="s">
        <v>616</v>
      </c>
      <c r="C222" s="270">
        <v>4</v>
      </c>
      <c r="D222" s="270">
        <v>12672.35</v>
      </c>
      <c r="E222" s="270">
        <v>16312.6</v>
      </c>
      <c r="F222" s="270">
        <v>16</v>
      </c>
      <c r="G222" s="273">
        <f t="shared" ref="G222:G226" si="84">E222/F222</f>
      </c>
      <c r="H222" s="273">
        <f t="shared" ref="H222:H226" si="53">D222/F222</f>
      </c>
      <c r="I222" s="273">
        <f t="shared" ref="I222:I226" si="22">E222/D222</f>
      </c>
      <c r="J222" s="273">
        <f t="shared" ref="J222:J226" si="115">D222/C222</f>
      </c>
      <c r="K222" s="273"/>
    </row>
    <row r="223">
      <c r="A223" s="270" t="s">
        <v>617</v>
      </c>
      <c r="B223" s="284" t="s">
        <v>618</v>
      </c>
      <c r="C223" s="270">
        <v>4</v>
      </c>
      <c r="D223" s="270">
        <v>6984.02</v>
      </c>
      <c r="E223" s="270">
        <v>771.6</v>
      </c>
      <c r="F223" s="270">
        <v>1</v>
      </c>
      <c r="G223" s="273">
        <f t="shared" si="84"/>
      </c>
      <c r="H223" s="273">
        <f t="shared" si="53"/>
      </c>
      <c r="I223" s="273">
        <f t="shared" si="22"/>
      </c>
      <c r="J223" s="273">
        <f t="shared" si="115"/>
      </c>
      <c r="K223" s="273"/>
    </row>
    <row r="224">
      <c r="A224" s="270" t="s">
        <v>619</v>
      </c>
      <c r="B224" s="284" t="s">
        <v>620</v>
      </c>
      <c r="C224" s="270">
        <v>4</v>
      </c>
      <c r="D224" s="286">
        <v>4709.98</v>
      </c>
      <c r="E224" s="286">
        <v>12316.8</v>
      </c>
      <c r="F224" s="270">
        <v>7</v>
      </c>
      <c r="G224" s="273">
        <f t="shared" si="84"/>
      </c>
      <c r="H224" s="273">
        <f t="shared" si="53"/>
      </c>
      <c r="I224" s="273">
        <f t="shared" si="22"/>
      </c>
      <c r="J224" s="273">
        <f t="shared" si="115"/>
      </c>
      <c r="K224" s="273"/>
    </row>
    <row r="225">
      <c r="A225" s="270" t="s">
        <v>643</v>
      </c>
      <c r="B225" s="284" t="s">
        <v>638</v>
      </c>
      <c r="C225" s="270">
        <v>4</v>
      </c>
      <c r="D225" s="270">
        <v>4339.28</v>
      </c>
      <c r="E225" s="270">
        <v>993.6</v>
      </c>
      <c r="F225" s="270">
        <v>3</v>
      </c>
      <c r="G225" s="273">
        <f t="shared" si="84"/>
      </c>
      <c r="H225" s="273">
        <f t="shared" si="53"/>
      </c>
      <c r="I225" s="273">
        <f t="shared" si="22"/>
      </c>
      <c r="J225" s="273">
        <f t="shared" si="115"/>
      </c>
      <c r="K225" s="273"/>
    </row>
    <row r="226">
      <c r="A226" s="269" t="s">
        <v>621</v>
      </c>
      <c r="B226" s="269"/>
      <c r="C226" s="269">
        <f>SUM(C222:C225)</f>
      </c>
      <c r="D226" s="269">
        <f>SUM(D222:D225)</f>
      </c>
      <c r="E226" s="269">
        <f>SUM(E222:E225)</f>
      </c>
      <c r="F226" s="269">
        <f>SUM(F222:F225)</f>
      </c>
      <c r="G226" s="274">
        <f t="shared" si="84"/>
      </c>
      <c r="H226" s="274">
        <f t="shared" si="53"/>
      </c>
      <c r="I226" s="274">
        <f t="shared" si="22"/>
      </c>
      <c r="J226" s="274">
        <f t="shared" si="115"/>
      </c>
      <c r="K226" s="274"/>
    </row>
    <row r="227">
      <c r="A227" s="275" t="s">
        <v>622</v>
      </c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</row>
    <row r="228">
      <c r="A228" s="276" t="s">
        <v>608</v>
      </c>
      <c r="B228" s="276" t="s">
        <v>623</v>
      </c>
      <c r="C228" s="276" t="s">
        <v>624</v>
      </c>
      <c r="D228" s="276" t="s">
        <v>625</v>
      </c>
      <c r="E228" s="276" t="s">
        <v>626</v>
      </c>
      <c r="F228" s="276" t="s">
        <v>627</v>
      </c>
      <c r="G228" s="276" t="s">
        <v>628</v>
      </c>
      <c r="H228" s="277" t="s">
        <v>629</v>
      </c>
      <c r="I228" s="277" t="s">
        <v>630</v>
      </c>
      <c r="J228" s="277" t="s">
        <v>631</v>
      </c>
      <c r="K228" s="277" t="s">
        <v>607</v>
      </c>
    </row>
    <row r="229">
      <c r="A229" s="278">
        <f>SUM(D222:D225)</f>
      </c>
      <c r="B229" s="278">
        <f>SUM(E222:E225)</f>
      </c>
      <c r="C229" s="279">
        <f>B229/((K229*300)+A229)</f>
      </c>
      <c r="D229" s="280">
        <f>A229/J229</f>
      </c>
      <c r="E229" s="279">
        <f>B229/J229</f>
      </c>
      <c r="F229" s="281">
        <f>J229/I229</f>
      </c>
      <c r="G229" s="281">
        <f>H229/J229</f>
      </c>
      <c r="H229" s="282">
        <v>1</v>
      </c>
      <c r="I229" s="282">
        <v>41</v>
      </c>
      <c r="J229" s="282">
        <f>F222+F223+F224+F225</f>
      </c>
      <c r="K229" s="282">
        <f>C226</f>
      </c>
    </row>
    <row r="230">
      <c r="A230" s="268" t="s">
        <v>668</v>
      </c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</row>
    <row r="231">
      <c r="A231" s="269" t="s">
        <v>605</v>
      </c>
      <c r="B231" s="269" t="s">
        <v>606</v>
      </c>
      <c r="C231" s="269" t="s">
        <v>607</v>
      </c>
      <c r="D231" s="269" t="s">
        <v>608</v>
      </c>
      <c r="E231" s="269" t="s">
        <v>609</v>
      </c>
      <c r="F231" s="269" t="s">
        <v>610</v>
      </c>
      <c r="G231" s="269" t="s">
        <v>611</v>
      </c>
      <c r="H231" s="287">
        <v>8</v>
      </c>
      <c r="I231" s="269" t="s">
        <v>613</v>
      </c>
      <c r="J231" s="269" t="s">
        <v>614</v>
      </c>
      <c r="K231" s="269"/>
    </row>
    <row r="232">
      <c r="A232" s="270" t="s">
        <v>619</v>
      </c>
      <c r="B232" s="284" t="s">
        <v>633</v>
      </c>
      <c r="C232" s="270">
        <v>5</v>
      </c>
      <c r="D232" s="270">
        <v>7053.44</v>
      </c>
      <c r="E232" s="270">
        <v>11260.2</v>
      </c>
      <c r="F232" s="270">
        <v>5</v>
      </c>
      <c r="G232" s="273">
        <f t="shared" ref="G232:G236" si="85">E232/F232</f>
      </c>
      <c r="H232" s="273">
        <f t="shared" ref="H232:H236" si="54">D232/F232</f>
      </c>
      <c r="I232" s="273">
        <f t="shared" ref="I232:I236" si="23">E232/D232</f>
      </c>
      <c r="J232" s="273">
        <f t="shared" ref="J232:J236" si="116">D232/C232</f>
      </c>
      <c r="K232" s="273"/>
    </row>
    <row r="233">
      <c r="A233" s="270" t="s">
        <v>634</v>
      </c>
      <c r="B233" s="284" t="s">
        <v>664</v>
      </c>
      <c r="C233" s="270">
        <v>3</v>
      </c>
      <c r="D233" s="270">
        <v>4932.38</v>
      </c>
      <c r="E233" s="270">
        <v>8212.8</v>
      </c>
      <c r="F233" s="270">
        <v>4</v>
      </c>
      <c r="G233" s="273">
        <f t="shared" si="85"/>
      </c>
      <c r="H233" s="273">
        <f t="shared" si="54"/>
      </c>
      <c r="I233" s="273">
        <f t="shared" si="23"/>
      </c>
      <c r="J233" s="273">
        <f t="shared" si="116"/>
      </c>
      <c r="K233" s="273"/>
    </row>
    <row r="234">
      <c r="A234" s="270" t="s">
        <v>643</v>
      </c>
      <c r="B234" s="284" t="s">
        <v>661</v>
      </c>
      <c r="C234" s="270">
        <v>3</v>
      </c>
      <c r="D234" s="286">
        <v>3452.71</v>
      </c>
      <c r="E234" s="286">
        <v>5063.4</v>
      </c>
      <c r="F234" s="270">
        <v>5</v>
      </c>
      <c r="G234" s="273">
        <f t="shared" si="85"/>
      </c>
      <c r="H234" s="273">
        <f t="shared" si="54"/>
      </c>
      <c r="I234" s="273">
        <f t="shared" si="23"/>
      </c>
      <c r="J234" s="273">
        <f t="shared" si="116"/>
      </c>
      <c r="K234" s="273"/>
    </row>
    <row r="235">
      <c r="A235" s="270" t="s">
        <v>617</v>
      </c>
      <c r="B235" s="284" t="s">
        <v>662</v>
      </c>
      <c r="C235" s="270">
        <v>5</v>
      </c>
      <c r="D235" s="270">
        <v>7346.99</v>
      </c>
      <c r="E235" s="270">
        <v>25512.3</v>
      </c>
      <c r="F235" s="270">
        <v>21</v>
      </c>
      <c r="G235" s="273">
        <f t="shared" si="85"/>
      </c>
      <c r="H235" s="273">
        <f t="shared" si="54"/>
      </c>
      <c r="I235" s="273">
        <f t="shared" si="23"/>
      </c>
      <c r="J235" s="273">
        <f t="shared" si="116"/>
      </c>
      <c r="K235" s="273"/>
    </row>
    <row r="236">
      <c r="A236" s="269" t="s">
        <v>621</v>
      </c>
      <c r="B236" s="269"/>
      <c r="C236" s="269">
        <f>SUM(C232:C235)</f>
      </c>
      <c r="D236" s="269">
        <f>SUM(D232:D235)</f>
      </c>
      <c r="E236" s="269">
        <f>SUM(E232:E235)</f>
      </c>
      <c r="F236" s="269">
        <f>SUM(F232:F235)</f>
      </c>
      <c r="G236" s="274">
        <f t="shared" si="85"/>
      </c>
      <c r="H236" s="274">
        <f t="shared" si="54"/>
      </c>
      <c r="I236" s="274">
        <f t="shared" si="23"/>
      </c>
      <c r="J236" s="274">
        <f t="shared" si="116"/>
      </c>
      <c r="K236" s="274"/>
    </row>
    <row r="237">
      <c r="A237" s="275" t="s">
        <v>622</v>
      </c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</row>
    <row r="238">
      <c r="A238" s="276" t="s">
        <v>608</v>
      </c>
      <c r="B238" s="276" t="s">
        <v>623</v>
      </c>
      <c r="C238" s="276" t="s">
        <v>624</v>
      </c>
      <c r="D238" s="276" t="s">
        <v>625</v>
      </c>
      <c r="E238" s="276" t="s">
        <v>626</v>
      </c>
      <c r="F238" s="276" t="s">
        <v>627</v>
      </c>
      <c r="G238" s="276" t="s">
        <v>628</v>
      </c>
      <c r="H238" s="277" t="s">
        <v>629</v>
      </c>
      <c r="I238" s="277" t="s">
        <v>630</v>
      </c>
      <c r="J238" s="277" t="s">
        <v>631</v>
      </c>
      <c r="K238" s="277" t="s">
        <v>607</v>
      </c>
    </row>
    <row r="239">
      <c r="A239" s="278">
        <f>SUM(D232:D235)</f>
      </c>
      <c r="B239" s="278">
        <f>SUM(E232:E235)</f>
      </c>
      <c r="C239" s="279">
        <f>B239/((K239*300)+A239)</f>
      </c>
      <c r="D239" s="280">
        <f>A239/J239</f>
      </c>
      <c r="E239" s="279">
        <f>B239/J239</f>
      </c>
      <c r="F239" s="281">
        <f>J239/I239</f>
      </c>
      <c r="G239" s="281">
        <f>H239/J239</f>
      </c>
      <c r="H239" s="282">
        <v>8</v>
      </c>
      <c r="I239" s="282">
        <v>48</v>
      </c>
      <c r="J239" s="282">
        <f>F232+F233+F234+F235</f>
      </c>
      <c r="K239" s="282">
        <f>C236</f>
      </c>
    </row>
    <row r="240">
      <c r="A240" s="268" t="s">
        <v>669</v>
      </c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</row>
    <row r="241">
      <c r="A241" s="269" t="s">
        <v>605</v>
      </c>
      <c r="B241" s="269" t="s">
        <v>606</v>
      </c>
      <c r="C241" s="269" t="s">
        <v>607</v>
      </c>
      <c r="D241" s="269" t="s">
        <v>608</v>
      </c>
      <c r="E241" s="269" t="s">
        <v>609</v>
      </c>
      <c r="F241" s="269" t="s">
        <v>610</v>
      </c>
      <c r="G241" s="269" t="s">
        <v>611</v>
      </c>
      <c r="H241" s="287">
        <v>8</v>
      </c>
      <c r="I241" s="269" t="s">
        <v>613</v>
      </c>
      <c r="J241" s="269" t="s">
        <v>614</v>
      </c>
      <c r="K241" s="269"/>
    </row>
    <row r="242">
      <c r="A242" s="270" t="s">
        <v>615</v>
      </c>
      <c r="B242" s="284" t="s">
        <v>633</v>
      </c>
      <c r="C242" s="270">
        <v>5</v>
      </c>
      <c r="D242" s="270">
        <v>7912.1</v>
      </c>
      <c r="E242" s="270">
        <v>5600.3</v>
      </c>
      <c r="F242" s="270">
        <v>6</v>
      </c>
      <c r="G242" s="273">
        <f t="shared" ref="G242:G246" si="86">E242/F242</f>
      </c>
      <c r="H242" s="273">
        <f t="shared" ref="H242:H246" si="55">D242/F242</f>
      </c>
      <c r="I242" s="273">
        <f t="shared" ref="I242:I246" si="24">E242/D242</f>
      </c>
      <c r="J242" s="273">
        <f t="shared" ref="J242:J246" si="117">D242/C242</f>
      </c>
      <c r="K242" s="273"/>
    </row>
    <row r="243">
      <c r="A243" s="270" t="s">
        <v>634</v>
      </c>
      <c r="B243" s="284" t="s">
        <v>664</v>
      </c>
      <c r="C243" s="270">
        <v>3</v>
      </c>
      <c r="D243" s="270">
        <v>3829.31</v>
      </c>
      <c r="E243" s="270">
        <v>1717.8</v>
      </c>
      <c r="F243" s="270">
        <v>2</v>
      </c>
      <c r="G243" s="273">
        <f t="shared" si="86"/>
      </c>
      <c r="H243" s="273">
        <f t="shared" si="55"/>
      </c>
      <c r="I243" s="273">
        <f t="shared" si="24"/>
      </c>
      <c r="J243" s="273">
        <f t="shared" si="117"/>
      </c>
      <c r="K243" s="273"/>
    </row>
    <row r="244">
      <c r="A244" s="270" t="s">
        <v>643</v>
      </c>
      <c r="B244" s="284" t="s">
        <v>661</v>
      </c>
      <c r="C244" s="270">
        <v>3</v>
      </c>
      <c r="D244" s="286">
        <v>2259.02</v>
      </c>
      <c r="E244" s="286">
        <v>0</v>
      </c>
      <c r="F244" s="270">
        <v>0</v>
      </c>
      <c r="G244" s="273">
        <f t="shared" si="86"/>
      </c>
      <c r="H244" s="273">
        <f t="shared" si="55"/>
      </c>
      <c r="I244" s="273">
        <f t="shared" si="24"/>
      </c>
      <c r="J244" s="273">
        <f t="shared" si="117"/>
      </c>
      <c r="K244" s="273"/>
    </row>
    <row r="245">
      <c r="A245" s="270" t="s">
        <v>617</v>
      </c>
      <c r="B245" s="284" t="s">
        <v>662</v>
      </c>
      <c r="C245" s="270">
        <v>5</v>
      </c>
      <c r="D245" s="270">
        <v>7331.12</v>
      </c>
      <c r="E245" s="270">
        <v>20188.8</v>
      </c>
      <c r="F245" s="270">
        <v>12</v>
      </c>
      <c r="G245" s="273">
        <f t="shared" si="86"/>
      </c>
      <c r="H245" s="273">
        <f t="shared" si="55"/>
      </c>
      <c r="I245" s="273">
        <f t="shared" si="24"/>
      </c>
      <c r="J245" s="273">
        <f t="shared" si="117"/>
      </c>
      <c r="K245" s="273"/>
    </row>
    <row r="246">
      <c r="A246" s="269" t="s">
        <v>621</v>
      </c>
      <c r="B246" s="269"/>
      <c r="C246" s="269">
        <f>SUM(C242:C245)</f>
      </c>
      <c r="D246" s="269">
        <f>SUM(D242:D245)</f>
      </c>
      <c r="E246" s="269">
        <f>SUM(E242:E245)</f>
      </c>
      <c r="F246" s="269">
        <f>SUM(F242:F245)</f>
      </c>
      <c r="G246" s="274">
        <f t="shared" si="86"/>
      </c>
      <c r="H246" s="274">
        <f t="shared" si="55"/>
      </c>
      <c r="I246" s="274">
        <f t="shared" si="24"/>
      </c>
      <c r="J246" s="274">
        <f t="shared" si="117"/>
      </c>
      <c r="K246" s="274"/>
    </row>
    <row r="247">
      <c r="A247" s="275" t="s">
        <v>622</v>
      </c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</row>
    <row r="248">
      <c r="A248" s="276" t="s">
        <v>608</v>
      </c>
      <c r="B248" s="276" t="s">
        <v>623</v>
      </c>
      <c r="C248" s="276" t="s">
        <v>624</v>
      </c>
      <c r="D248" s="276" t="s">
        <v>625</v>
      </c>
      <c r="E248" s="276" t="s">
        <v>626</v>
      </c>
      <c r="F248" s="276" t="s">
        <v>627</v>
      </c>
      <c r="G248" s="276" t="s">
        <v>628</v>
      </c>
      <c r="H248" s="277" t="s">
        <v>629</v>
      </c>
      <c r="I248" s="277" t="s">
        <v>630</v>
      </c>
      <c r="J248" s="277" t="s">
        <v>631</v>
      </c>
      <c r="K248" s="277" t="s">
        <v>607</v>
      </c>
    </row>
    <row r="249">
      <c r="A249" s="278">
        <f>SUM(D242:D245)</f>
      </c>
      <c r="B249" s="278">
        <f>SUM(E242:E245)</f>
      </c>
      <c r="C249" s="279">
        <f>B249/((K249*300)+A249)</f>
      </c>
      <c r="D249" s="280">
        <f>A249/J249</f>
      </c>
      <c r="E249" s="279">
        <f>B249/J249</f>
      </c>
      <c r="F249" s="281">
        <f>J249/I249</f>
      </c>
      <c r="G249" s="281">
        <f>H249/J249</f>
      </c>
      <c r="H249" s="282">
        <v>2</v>
      </c>
      <c r="I249" s="282">
        <v>37</v>
      </c>
      <c r="J249" s="282">
        <f>F242+F243+F244+F245</f>
      </c>
      <c r="K249" s="282">
        <f>C246</f>
      </c>
    </row>
    <row r="250">
      <c r="A250" s="268" t="s">
        <v>670</v>
      </c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</row>
    <row r="251">
      <c r="A251" s="269" t="s">
        <v>605</v>
      </c>
      <c r="B251" s="269" t="s">
        <v>606</v>
      </c>
      <c r="C251" s="269" t="s">
        <v>607</v>
      </c>
      <c r="D251" s="269" t="s">
        <v>608</v>
      </c>
      <c r="E251" s="269" t="s">
        <v>609</v>
      </c>
      <c r="F251" s="269" t="s">
        <v>610</v>
      </c>
      <c r="G251" s="269" t="s">
        <v>611</v>
      </c>
      <c r="H251" s="287">
        <v>8</v>
      </c>
      <c r="I251" s="269" t="s">
        <v>613</v>
      </c>
      <c r="J251" s="269" t="s">
        <v>614</v>
      </c>
      <c r="K251" s="269"/>
    </row>
    <row r="252">
      <c r="A252" s="270" t="s">
        <v>615</v>
      </c>
      <c r="B252" s="284" t="s">
        <v>633</v>
      </c>
      <c r="C252" s="270">
        <v>5</v>
      </c>
      <c r="D252" s="270">
        <v>4618.299999999999</v>
      </c>
      <c r="E252" s="270">
        <v>0</v>
      </c>
      <c r="F252" s="270">
        <v>0</v>
      </c>
      <c r="G252" s="273">
        <f t="shared" ref="G252:G255" si="87">E252/F252</f>
      </c>
      <c r="H252" s="273">
        <f t="shared" ref="H252:H255" si="56">D252/F252</f>
      </c>
      <c r="I252" s="273">
        <f t="shared" ref="I252:I255" si="25">E252/D252</f>
      </c>
      <c r="J252" s="273">
        <f t="shared" ref="J252:J255" si="118">D252/C252</f>
      </c>
      <c r="K252" s="273"/>
    </row>
    <row r="253">
      <c r="A253" s="270" t="s">
        <v>619</v>
      </c>
      <c r="B253" s="284" t="s">
        <v>666</v>
      </c>
      <c r="C253" s="270">
        <v>4</v>
      </c>
      <c r="D253" s="270">
        <v>4955.34</v>
      </c>
      <c r="E253" s="270">
        <v>3285</v>
      </c>
      <c r="F253" s="270">
        <v>3</v>
      </c>
      <c r="G253" s="273">
        <f t="shared" si="87"/>
      </c>
      <c r="H253" s="273">
        <f t="shared" si="56"/>
      </c>
      <c r="I253" s="273">
        <f t="shared" si="25"/>
      </c>
      <c r="J253" s="273">
        <f t="shared" si="118"/>
      </c>
      <c r="K253" s="273"/>
    </row>
    <row r="254">
      <c r="A254" s="270" t="s">
        <v>634</v>
      </c>
      <c r="B254" s="284" t="s">
        <v>671</v>
      </c>
      <c r="C254" s="270">
        <v>1.5</v>
      </c>
      <c r="D254" s="286">
        <v>2118.62</v>
      </c>
      <c r="E254" s="286">
        <v>771.6</v>
      </c>
      <c r="F254" s="270">
        <v>1</v>
      </c>
      <c r="G254" s="273">
        <f t="shared" si="87"/>
      </c>
      <c r="H254" s="273">
        <f t="shared" si="56"/>
      </c>
      <c r="I254" s="273">
        <f t="shared" si="25"/>
      </c>
      <c r="J254" s="273">
        <f t="shared" si="118"/>
      </c>
      <c r="K254" s="273"/>
    </row>
    <row r="255">
      <c r="A255" s="269" t="s">
        <v>621</v>
      </c>
      <c r="B255" s="269"/>
      <c r="C255" s="269">
        <f>SUM(C252:C254)</f>
      </c>
      <c r="D255" s="269">
        <f>SUM(D252:D254)</f>
      </c>
      <c r="E255" s="269">
        <f>SUM(E252:E254)</f>
      </c>
      <c r="F255" s="269">
        <f>SUM(F252:F254)</f>
      </c>
      <c r="G255" s="274">
        <f t="shared" si="87"/>
      </c>
      <c r="H255" s="274">
        <f t="shared" si="56"/>
      </c>
      <c r="I255" s="274">
        <f t="shared" si="25"/>
      </c>
      <c r="J255" s="274">
        <f t="shared" si="118"/>
      </c>
      <c r="K255" s="274"/>
    </row>
    <row r="256">
      <c r="A256" s="275" t="s">
        <v>622</v>
      </c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</row>
    <row r="257">
      <c r="A257" s="276" t="s">
        <v>608</v>
      </c>
      <c r="B257" s="276" t="s">
        <v>623</v>
      </c>
      <c r="C257" s="276" t="s">
        <v>624</v>
      </c>
      <c r="D257" s="276" t="s">
        <v>625</v>
      </c>
      <c r="E257" s="276" t="s">
        <v>626</v>
      </c>
      <c r="F257" s="276" t="s">
        <v>627</v>
      </c>
      <c r="G257" s="276" t="s">
        <v>628</v>
      </c>
      <c r="H257" s="277" t="s">
        <v>629</v>
      </c>
      <c r="I257" s="277" t="s">
        <v>630</v>
      </c>
      <c r="J257" s="277" t="s">
        <v>631</v>
      </c>
      <c r="K257" s="277" t="s">
        <v>607</v>
      </c>
    </row>
    <row r="258">
      <c r="A258" s="278">
        <f>SUM(D252:D254)</f>
      </c>
      <c r="B258" s="278">
        <f>SUM(E252:E254)</f>
      </c>
      <c r="C258" s="279">
        <f>B258/((K258*300)+A258)</f>
      </c>
      <c r="D258" s="280">
        <f>A258/J258</f>
      </c>
      <c r="E258" s="279">
        <f>B258/J258</f>
      </c>
      <c r="F258" s="281">
        <f>J258/I258</f>
      </c>
      <c r="G258" s="281">
        <f>H258/J258</f>
      </c>
      <c r="H258" s="282">
        <v>0</v>
      </c>
      <c r="I258" s="282">
        <v>13</v>
      </c>
      <c r="J258" s="282">
        <v>4</v>
      </c>
      <c r="K258" s="282">
        <f>C255</f>
      </c>
    </row>
    <row r="259">
      <c r="A259" s="268" t="s">
        <v>672</v>
      </c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</row>
    <row r="260">
      <c r="A260" s="269" t="s">
        <v>605</v>
      </c>
      <c r="B260" s="269" t="s">
        <v>606</v>
      </c>
      <c r="C260" s="269" t="s">
        <v>607</v>
      </c>
      <c r="D260" s="269" t="s">
        <v>608</v>
      </c>
      <c r="E260" s="269" t="s">
        <v>609</v>
      </c>
      <c r="F260" s="269" t="s">
        <v>610</v>
      </c>
      <c r="G260" s="269" t="s">
        <v>611</v>
      </c>
      <c r="H260" s="287">
        <v>8</v>
      </c>
      <c r="I260" s="269" t="s">
        <v>613</v>
      </c>
      <c r="J260" s="269" t="s">
        <v>614</v>
      </c>
      <c r="K260" s="269"/>
    </row>
    <row r="261">
      <c r="A261" s="270" t="s">
        <v>615</v>
      </c>
      <c r="B261" s="284" t="s">
        <v>616</v>
      </c>
      <c r="C261" s="270">
        <v>4</v>
      </c>
      <c r="D261" s="270">
        <v>5998.32</v>
      </c>
      <c r="E261" s="270">
        <v>8612.4</v>
      </c>
      <c r="F261" s="270">
        <v>4</v>
      </c>
      <c r="G261" s="273">
        <f t="shared" ref="G261:G265" si="88">E261/F261</f>
      </c>
      <c r="H261" s="273">
        <f t="shared" ref="H261:H265" si="57">D261/F261</f>
      </c>
      <c r="I261" s="273">
        <f t="shared" ref="I261:I265" si="26">E261/D261</f>
      </c>
      <c r="J261" s="273">
        <f t="shared" ref="J261:J265" si="119">D261/C261</f>
      </c>
      <c r="K261" s="273"/>
    </row>
    <row r="262">
      <c r="A262" s="270" t="s">
        <v>617</v>
      </c>
      <c r="B262" s="284" t="s">
        <v>618</v>
      </c>
      <c r="C262" s="270">
        <v>4</v>
      </c>
      <c r="D262" s="270">
        <v>5715.59</v>
      </c>
      <c r="E262" s="270">
        <v>4890</v>
      </c>
      <c r="F262" s="270">
        <v>6</v>
      </c>
      <c r="G262" s="273">
        <f t="shared" si="88"/>
      </c>
      <c r="H262" s="273">
        <f t="shared" si="57"/>
      </c>
      <c r="I262" s="273">
        <f t="shared" si="26"/>
      </c>
      <c r="J262" s="273">
        <f t="shared" si="119"/>
      </c>
      <c r="K262" s="273"/>
    </row>
    <row r="263">
      <c r="A263" s="270" t="s">
        <v>634</v>
      </c>
      <c r="B263" s="284" t="s">
        <v>661</v>
      </c>
      <c r="C263" s="270">
        <v>3</v>
      </c>
      <c r="D263" s="286">
        <v>5206.64</v>
      </c>
      <c r="E263" s="286">
        <v>7035.6</v>
      </c>
      <c r="F263" s="270">
        <v>6</v>
      </c>
      <c r="G263" s="273">
        <f t="shared" si="88"/>
      </c>
      <c r="H263" s="273">
        <f t="shared" si="57"/>
      </c>
      <c r="I263" s="273">
        <f t="shared" si="26"/>
      </c>
      <c r="J263" s="273">
        <f t="shared" si="119"/>
      </c>
      <c r="K263" s="273"/>
    </row>
    <row r="264">
      <c r="A264" s="270" t="s">
        <v>619</v>
      </c>
      <c r="B264" s="284" t="s">
        <v>662</v>
      </c>
      <c r="C264" s="270">
        <v>5</v>
      </c>
      <c r="D264" s="270">
        <v>11151.43</v>
      </c>
      <c r="E264" s="270">
        <v>21584.4</v>
      </c>
      <c r="F264" s="270">
        <v>13</v>
      </c>
      <c r="G264" s="273">
        <f t="shared" si="88"/>
      </c>
      <c r="H264" s="273">
        <f t="shared" si="57"/>
      </c>
      <c r="I264" s="273">
        <f t="shared" si="26"/>
      </c>
      <c r="J264" s="273">
        <f t="shared" si="119"/>
      </c>
      <c r="K264" s="273"/>
    </row>
    <row r="265">
      <c r="A265" s="269" t="s">
        <v>621</v>
      </c>
      <c r="B265" s="269"/>
      <c r="C265" s="269">
        <f>SUM(C261:C264)</f>
      </c>
      <c r="D265" s="269">
        <f>SUM(D261:D264)</f>
      </c>
      <c r="E265" s="269">
        <f>SUM(E261:E264)</f>
      </c>
      <c r="F265" s="269">
        <f>SUM(F261:F264)</f>
      </c>
      <c r="G265" s="274">
        <f t="shared" si="88"/>
      </c>
      <c r="H265" s="274">
        <f t="shared" si="57"/>
      </c>
      <c r="I265" s="274">
        <f t="shared" si="26"/>
      </c>
      <c r="J265" s="274">
        <f t="shared" si="119"/>
      </c>
      <c r="K265" s="274"/>
    </row>
    <row r="266">
      <c r="A266" s="275" t="s">
        <v>622</v>
      </c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</row>
    <row r="267">
      <c r="A267" s="276" t="s">
        <v>608</v>
      </c>
      <c r="B267" s="276" t="s">
        <v>623</v>
      </c>
      <c r="C267" s="276" t="s">
        <v>624</v>
      </c>
      <c r="D267" s="276" t="s">
        <v>625</v>
      </c>
      <c r="E267" s="276" t="s">
        <v>626</v>
      </c>
      <c r="F267" s="276" t="s">
        <v>627</v>
      </c>
      <c r="G267" s="276" t="s">
        <v>628</v>
      </c>
      <c r="H267" s="277" t="s">
        <v>629</v>
      </c>
      <c r="I267" s="277" t="s">
        <v>630</v>
      </c>
      <c r="J267" s="277" t="s">
        <v>631</v>
      </c>
      <c r="K267" s="277" t="s">
        <v>607</v>
      </c>
    </row>
    <row r="268">
      <c r="A268" s="278">
        <f>SUM(D261:D264)</f>
      </c>
      <c r="B268" s="278">
        <f>SUM(E261:E264)</f>
      </c>
      <c r="C268" s="279">
        <f>B268/((K268*300)+A268)</f>
      </c>
      <c r="D268" s="280">
        <f>A268/J268</f>
      </c>
      <c r="E268" s="279">
        <f>B268/J268</f>
      </c>
      <c r="F268" s="281">
        <f>J268/I268</f>
      </c>
      <c r="G268" s="281">
        <f>H268/J268</f>
      </c>
      <c r="H268" s="282">
        <v>2</v>
      </c>
      <c r="I268" s="282">
        <v>42</v>
      </c>
      <c r="J268" s="282">
        <f>F261+F262+F263+F264</f>
      </c>
      <c r="K268" s="282">
        <f>C265</f>
      </c>
    </row>
    <row r="269">
      <c r="A269" s="268" t="s">
        <v>673</v>
      </c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</row>
    <row r="270">
      <c r="A270" s="269" t="s">
        <v>605</v>
      </c>
      <c r="B270" s="269" t="s">
        <v>606</v>
      </c>
      <c r="C270" s="269" t="s">
        <v>607</v>
      </c>
      <c r="D270" s="269" t="s">
        <v>608</v>
      </c>
      <c r="E270" s="269" t="s">
        <v>609</v>
      </c>
      <c r="F270" s="269" t="s">
        <v>610</v>
      </c>
      <c r="G270" s="269" t="s">
        <v>611</v>
      </c>
      <c r="H270" s="287">
        <v>8</v>
      </c>
      <c r="I270" s="269" t="s">
        <v>613</v>
      </c>
      <c r="J270" s="269" t="s">
        <v>614</v>
      </c>
      <c r="K270" s="269"/>
    </row>
    <row r="271">
      <c r="A271" s="270" t="s">
        <v>615</v>
      </c>
      <c r="B271" s="284" t="s">
        <v>616</v>
      </c>
      <c r="C271" s="270">
        <v>4</v>
      </c>
      <c r="D271" s="270">
        <v>3953.4</v>
      </c>
      <c r="E271" s="270">
        <v>0</v>
      </c>
      <c r="F271" s="270">
        <v>0</v>
      </c>
      <c r="G271" s="273">
        <f t="shared" ref="G271:G273" si="89">E271/F271</f>
      </c>
      <c r="H271" s="273">
        <f t="shared" ref="H271:H273" si="58">D271/F271</f>
      </c>
      <c r="I271" s="273">
        <f t="shared" ref="I271:I273" si="27">E271/D271</f>
      </c>
      <c r="J271" s="273">
        <f t="shared" ref="J271:J273" si="120">D271/C271</f>
      </c>
      <c r="K271" s="273"/>
    </row>
    <row r="272">
      <c r="A272" s="270" t="s">
        <v>617</v>
      </c>
      <c r="B272" s="284" t="s">
        <v>618</v>
      </c>
      <c r="C272" s="270">
        <v>4</v>
      </c>
      <c r="D272" s="270">
        <v>5900.53</v>
      </c>
      <c r="E272" s="270">
        <v>2608.8</v>
      </c>
      <c r="F272" s="270">
        <v>3</v>
      </c>
      <c r="G272" s="273">
        <f t="shared" si="89"/>
      </c>
      <c r="H272" s="273">
        <f t="shared" si="58"/>
      </c>
      <c r="I272" s="273">
        <f t="shared" si="27"/>
      </c>
      <c r="J272" s="273">
        <f t="shared" si="120"/>
      </c>
      <c r="K272" s="273"/>
    </row>
    <row r="273">
      <c r="A273" s="269" t="s">
        <v>621</v>
      </c>
      <c r="B273" s="269"/>
      <c r="C273" s="269">
        <f>SUM(C271:C272)</f>
      </c>
      <c r="D273" s="269">
        <f>SUM(D271:D272)</f>
      </c>
      <c r="E273" s="269">
        <f>SUM(E271:E272)</f>
      </c>
      <c r="F273" s="269">
        <f>SUM(F271:F272)</f>
      </c>
      <c r="G273" s="274">
        <f t="shared" si="89"/>
      </c>
      <c r="H273" s="274">
        <f t="shared" si="58"/>
      </c>
      <c r="I273" s="274">
        <f t="shared" si="27"/>
      </c>
      <c r="J273" s="274">
        <f t="shared" si="120"/>
      </c>
      <c r="K273" s="274"/>
    </row>
    <row r="274">
      <c r="A274" s="275" t="s">
        <v>622</v>
      </c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</row>
    <row r="275">
      <c r="A275" s="276" t="s">
        <v>608</v>
      </c>
      <c r="B275" s="276" t="s">
        <v>623</v>
      </c>
      <c r="C275" s="276" t="s">
        <v>624</v>
      </c>
      <c r="D275" s="276" t="s">
        <v>625</v>
      </c>
      <c r="E275" s="276" t="s">
        <v>626</v>
      </c>
      <c r="F275" s="276" t="s">
        <v>627</v>
      </c>
      <c r="G275" s="276" t="s">
        <v>628</v>
      </c>
      <c r="H275" s="277" t="s">
        <v>629</v>
      </c>
      <c r="I275" s="277" t="s">
        <v>630</v>
      </c>
      <c r="J275" s="277" t="s">
        <v>631</v>
      </c>
      <c r="K275" s="277" t="s">
        <v>607</v>
      </c>
    </row>
    <row r="276">
      <c r="A276" s="278">
        <f>SUM(D271:D272)</f>
      </c>
      <c r="B276" s="278">
        <f>SUM(E271:E272)</f>
      </c>
      <c r="C276" s="279">
        <f>B276/((K276*300)+A276)</f>
      </c>
      <c r="D276" s="280">
        <f>A276/J276</f>
      </c>
      <c r="E276" s="279">
        <f>B276/J276</f>
      </c>
      <c r="F276" s="281">
        <f>J276/I276</f>
      </c>
      <c r="G276" s="281">
        <f>H276/J276</f>
      </c>
      <c r="H276" s="282">
        <v>0</v>
      </c>
      <c r="I276" s="282">
        <v>6</v>
      </c>
      <c r="J276" s="282">
        <f>F271+F272</f>
      </c>
      <c r="K276" s="282">
        <f>C273</f>
      </c>
    </row>
    <row r="277">
      <c r="A277" s="268" t="s">
        <v>674</v>
      </c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</row>
    <row r="278">
      <c r="A278" s="269" t="s">
        <v>605</v>
      </c>
      <c r="B278" s="269" t="s">
        <v>606</v>
      </c>
      <c r="C278" s="269" t="s">
        <v>607</v>
      </c>
      <c r="D278" s="269" t="s">
        <v>608</v>
      </c>
      <c r="E278" s="269" t="s">
        <v>609</v>
      </c>
      <c r="F278" s="269" t="s">
        <v>610</v>
      </c>
      <c r="G278" s="269" t="s">
        <v>611</v>
      </c>
      <c r="H278" s="287">
        <v>8</v>
      </c>
      <c r="I278" s="269" t="s">
        <v>613</v>
      </c>
      <c r="J278" s="269" t="s">
        <v>614</v>
      </c>
      <c r="K278" s="269"/>
    </row>
    <row r="279">
      <c r="A279" s="270" t="s">
        <v>615</v>
      </c>
      <c r="B279" s="284" t="s">
        <v>616</v>
      </c>
      <c r="C279" s="270">
        <v>4</v>
      </c>
      <c r="D279" s="270">
        <v>5996.22</v>
      </c>
      <c r="E279" s="270">
        <v>12998</v>
      </c>
      <c r="F279" s="270">
        <v>10</v>
      </c>
      <c r="G279" s="273">
        <f t="shared" ref="G279:G282" si="90">E279/F279</f>
      </c>
      <c r="H279" s="273">
        <f t="shared" ref="H279:H282" si="59">D279/F279</f>
      </c>
      <c r="I279" s="273">
        <f t="shared" ref="I279:I282" si="28">E279/D279</f>
      </c>
      <c r="J279" s="273">
        <f t="shared" ref="J279:J282" si="121">D279/C279</f>
      </c>
      <c r="K279" s="273"/>
    </row>
    <row r="280">
      <c r="A280" s="270" t="s">
        <v>617</v>
      </c>
      <c r="B280" s="284" t="s">
        <v>618</v>
      </c>
      <c r="C280" s="270">
        <v>4</v>
      </c>
      <c r="D280" s="270">
        <v>7026.41</v>
      </c>
      <c r="E280" s="270">
        <v>24418.8</v>
      </c>
      <c r="F280" s="270">
        <v>12</v>
      </c>
      <c r="G280" s="273">
        <f t="shared" si="90"/>
      </c>
      <c r="H280" s="273">
        <f t="shared" si="59"/>
      </c>
      <c r="I280" s="273">
        <f t="shared" si="28"/>
      </c>
      <c r="J280" s="273">
        <f t="shared" si="121"/>
      </c>
      <c r="K280" s="273"/>
    </row>
    <row r="281">
      <c r="A281" s="270" t="s">
        <v>619</v>
      </c>
      <c r="B281" s="284" t="s">
        <v>620</v>
      </c>
      <c r="C281" s="270">
        <v>4</v>
      </c>
      <c r="D281" s="286">
        <v>5852.14</v>
      </c>
      <c r="E281" s="286">
        <v>1238.6</v>
      </c>
      <c r="F281" s="270">
        <v>2</v>
      </c>
      <c r="G281" s="273">
        <f t="shared" si="90"/>
      </c>
      <c r="H281" s="273">
        <f t="shared" si="59"/>
      </c>
      <c r="I281" s="273">
        <f t="shared" si="28"/>
      </c>
      <c r="J281" s="273">
        <f t="shared" si="121"/>
      </c>
      <c r="K281" s="273"/>
    </row>
    <row r="282">
      <c r="A282" s="269" t="s">
        <v>621</v>
      </c>
      <c r="B282" s="269"/>
      <c r="C282" s="269">
        <f>SUM(C279:C281)</f>
      </c>
      <c r="D282" s="269">
        <f>SUM(D279:D281)</f>
      </c>
      <c r="E282" s="269">
        <f>SUM(E279:E281)</f>
      </c>
      <c r="F282" s="269">
        <f>SUM(F279:F281)</f>
      </c>
      <c r="G282" s="274">
        <f t="shared" si="90"/>
      </c>
      <c r="H282" s="274">
        <f t="shared" si="59"/>
      </c>
      <c r="I282" s="274">
        <f t="shared" si="28"/>
      </c>
      <c r="J282" s="274">
        <f t="shared" si="121"/>
      </c>
      <c r="K282" s="274"/>
    </row>
    <row r="283">
      <c r="A283" s="275" t="s">
        <v>622</v>
      </c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</row>
    <row r="284">
      <c r="A284" s="276" t="s">
        <v>608</v>
      </c>
      <c r="B284" s="276" t="s">
        <v>623</v>
      </c>
      <c r="C284" s="276" t="s">
        <v>624</v>
      </c>
      <c r="D284" s="276" t="s">
        <v>625</v>
      </c>
      <c r="E284" s="276" t="s">
        <v>626</v>
      </c>
      <c r="F284" s="276" t="s">
        <v>627</v>
      </c>
      <c r="G284" s="276" t="s">
        <v>628</v>
      </c>
      <c r="H284" s="277" t="s">
        <v>629</v>
      </c>
      <c r="I284" s="277" t="s">
        <v>630</v>
      </c>
      <c r="J284" s="277" t="s">
        <v>631</v>
      </c>
      <c r="K284" s="277" t="s">
        <v>607</v>
      </c>
    </row>
    <row r="285">
      <c r="A285" s="278">
        <f>SUM(D279:D281)</f>
      </c>
      <c r="B285" s="278">
        <f>SUM(E279:E281)</f>
      </c>
      <c r="C285" s="279">
        <f>B285/((K285*300)+A285)</f>
      </c>
      <c r="D285" s="280">
        <f>A285/J285</f>
      </c>
      <c r="E285" s="279">
        <f>B285/J285</f>
      </c>
      <c r="F285" s="281">
        <f>J285/I285</f>
      </c>
      <c r="G285" s="281">
        <f>H285/J285</f>
      </c>
      <c r="H285" s="282">
        <v>2</v>
      </c>
      <c r="I285" s="282">
        <v>35</v>
      </c>
      <c r="J285" s="282">
        <f>F282</f>
      </c>
      <c r="K285" s="282">
        <f>C282</f>
      </c>
    </row>
    <row r="286">
      <c r="A286" s="268" t="s">
        <v>675</v>
      </c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</row>
    <row r="287">
      <c r="A287" s="269" t="s">
        <v>605</v>
      </c>
      <c r="B287" s="269" t="s">
        <v>606</v>
      </c>
      <c r="C287" s="269" t="s">
        <v>607</v>
      </c>
      <c r="D287" s="269" t="s">
        <v>608</v>
      </c>
      <c r="E287" s="269" t="s">
        <v>609</v>
      </c>
      <c r="F287" s="269" t="s">
        <v>610</v>
      </c>
      <c r="G287" s="269" t="s">
        <v>611</v>
      </c>
      <c r="H287" s="287">
        <v>8</v>
      </c>
      <c r="I287" s="269" t="s">
        <v>613</v>
      </c>
      <c r="J287" s="269" t="s">
        <v>614</v>
      </c>
      <c r="K287" s="269"/>
    </row>
    <row r="288">
      <c r="A288" s="270" t="s">
        <v>617</v>
      </c>
      <c r="B288" s="284" t="s">
        <v>616</v>
      </c>
      <c r="C288" s="270">
        <v>4</v>
      </c>
      <c r="D288" s="270">
        <v>6801.950000000001</v>
      </c>
      <c r="E288" s="270">
        <v>7453.6</v>
      </c>
      <c r="F288" s="270">
        <v>5</v>
      </c>
      <c r="G288" s="273">
        <f t="shared" ref="G288:G292" si="91">E288/F288</f>
      </c>
      <c r="H288" s="273">
        <f t="shared" ref="H288:H292" si="60">D288/F288</f>
      </c>
      <c r="I288" s="273">
        <f t="shared" ref="I288:I292" si="29">E288/D288</f>
      </c>
      <c r="J288" s="273">
        <f t="shared" ref="J288:J292" si="122">D288/C288</f>
      </c>
      <c r="K288" s="273"/>
    </row>
    <row r="289">
      <c r="A289" s="270" t="s">
        <v>615</v>
      </c>
      <c r="B289" s="284" t="s">
        <v>618</v>
      </c>
      <c r="C289" s="270">
        <v>4</v>
      </c>
      <c r="D289" s="270">
        <v>9556.78</v>
      </c>
      <c r="E289" s="270">
        <v>10882.7</v>
      </c>
      <c r="F289" s="270">
        <v>11</v>
      </c>
      <c r="G289" s="273">
        <f t="shared" si="91"/>
      </c>
      <c r="H289" s="273">
        <f t="shared" si="60"/>
      </c>
      <c r="I289" s="273">
        <f t="shared" si="29"/>
      </c>
      <c r="J289" s="273">
        <f t="shared" si="122"/>
      </c>
      <c r="K289" s="273"/>
    </row>
    <row r="290">
      <c r="A290" s="270" t="s">
        <v>643</v>
      </c>
      <c r="B290" s="284" t="s">
        <v>661</v>
      </c>
      <c r="C290" s="270">
        <v>3</v>
      </c>
      <c r="D290" s="286">
        <v>6952.72</v>
      </c>
      <c r="E290" s="286">
        <v>7759.2</v>
      </c>
      <c r="F290" s="270">
        <v>6</v>
      </c>
      <c r="G290" s="273">
        <f t="shared" si="91"/>
      </c>
      <c r="H290" s="273">
        <f t="shared" si="60"/>
      </c>
      <c r="I290" s="273">
        <f t="shared" si="29"/>
      </c>
      <c r="J290" s="273">
        <f t="shared" si="122"/>
      </c>
      <c r="K290" s="273"/>
    </row>
    <row r="291">
      <c r="A291" s="270" t="s">
        <v>619</v>
      </c>
      <c r="B291" s="284" t="s">
        <v>662</v>
      </c>
      <c r="C291" s="270">
        <v>5</v>
      </c>
      <c r="D291" s="270">
        <v>7418.98</v>
      </c>
      <c r="E291" s="270">
        <v>1041.6</v>
      </c>
      <c r="F291" s="270">
        <v>2</v>
      </c>
      <c r="G291" s="273">
        <f t="shared" si="91"/>
      </c>
      <c r="H291" s="273">
        <f t="shared" si="60"/>
      </c>
      <c r="I291" s="273">
        <f t="shared" si="29"/>
      </c>
      <c r="J291" s="273">
        <f t="shared" si="122"/>
      </c>
      <c r="K291" s="273"/>
    </row>
    <row r="292">
      <c r="A292" s="269" t="s">
        <v>621</v>
      </c>
      <c r="B292" s="269"/>
      <c r="C292" s="269">
        <f>SUM(C288:C291)</f>
      </c>
      <c r="D292" s="269">
        <f>SUM(D288:D291)</f>
      </c>
      <c r="E292" s="269">
        <f>SUM(E288:E291)</f>
      </c>
      <c r="F292" s="269">
        <f>SUM(F288:F291)</f>
      </c>
      <c r="G292" s="274">
        <f t="shared" si="91"/>
      </c>
      <c r="H292" s="274">
        <f t="shared" si="60"/>
      </c>
      <c r="I292" s="274">
        <f t="shared" si="29"/>
      </c>
      <c r="J292" s="274">
        <f t="shared" si="122"/>
      </c>
      <c r="K292" s="274"/>
    </row>
    <row r="293">
      <c r="A293" s="275" t="s">
        <v>622</v>
      </c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</row>
    <row r="294">
      <c r="A294" s="276" t="s">
        <v>608</v>
      </c>
      <c r="B294" s="276" t="s">
        <v>623</v>
      </c>
      <c r="C294" s="276" t="s">
        <v>624</v>
      </c>
      <c r="D294" s="276" t="s">
        <v>625</v>
      </c>
      <c r="E294" s="276" t="s">
        <v>626</v>
      </c>
      <c r="F294" s="276" t="s">
        <v>627</v>
      </c>
      <c r="G294" s="276" t="s">
        <v>628</v>
      </c>
      <c r="H294" s="277" t="s">
        <v>629</v>
      </c>
      <c r="I294" s="277" t="s">
        <v>630</v>
      </c>
      <c r="J294" s="277" t="s">
        <v>631</v>
      </c>
      <c r="K294" s="277" t="s">
        <v>607</v>
      </c>
    </row>
    <row r="295">
      <c r="A295" s="278">
        <f>SUM(D288:D291)</f>
      </c>
      <c r="B295" s="278">
        <f>SUM(E288:E291)</f>
      </c>
      <c r="C295" s="279">
        <f>B295/((K295*300)+A295)</f>
      </c>
      <c r="D295" s="280">
        <f>A295/J295</f>
      </c>
      <c r="E295" s="279">
        <f>B295/J295</f>
      </c>
      <c r="F295" s="281">
        <f>J295/I295</f>
      </c>
      <c r="G295" s="281">
        <f>H295/J295</f>
      </c>
      <c r="H295" s="282">
        <v>1</v>
      </c>
      <c r="I295" s="282">
        <v>51</v>
      </c>
      <c r="J295" s="282">
        <f>F288+F289+F290+F291</f>
      </c>
      <c r="K295" s="282">
        <f>C292</f>
      </c>
    </row>
    <row r="296">
      <c r="A296" s="268" t="s">
        <v>676</v>
      </c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</row>
    <row r="297">
      <c r="A297" s="269" t="s">
        <v>605</v>
      </c>
      <c r="B297" s="269" t="s">
        <v>606</v>
      </c>
      <c r="C297" s="269" t="s">
        <v>607</v>
      </c>
      <c r="D297" s="269" t="s">
        <v>608</v>
      </c>
      <c r="E297" s="269" t="s">
        <v>609</v>
      </c>
      <c r="F297" s="269" t="s">
        <v>610</v>
      </c>
      <c r="G297" s="269" t="s">
        <v>611</v>
      </c>
      <c r="H297" s="287">
        <v>8</v>
      </c>
      <c r="I297" s="269" t="s">
        <v>613</v>
      </c>
      <c r="J297" s="269" t="s">
        <v>614</v>
      </c>
      <c r="K297" s="269"/>
    </row>
    <row r="298">
      <c r="A298" s="270" t="s">
        <v>615</v>
      </c>
      <c r="B298" s="284" t="s">
        <v>616</v>
      </c>
      <c r="C298" s="270">
        <v>4</v>
      </c>
      <c r="D298" s="270">
        <v>7187.049999999999</v>
      </c>
      <c r="E298" s="270">
        <v>6046.8</v>
      </c>
      <c r="F298" s="270">
        <v>5</v>
      </c>
      <c r="G298" s="273">
        <f t="shared" ref="G298:G302" si="92">E298/F298</f>
      </c>
      <c r="H298" s="273">
        <f t="shared" ref="H298:H302" si="61">D298/F298</f>
      </c>
      <c r="I298" s="273">
        <f t="shared" ref="I298:I302" si="30">E298/D298</f>
      </c>
      <c r="J298" s="273">
        <f t="shared" ref="J298:J302" si="123">D298/C298</f>
      </c>
      <c r="K298" s="273"/>
    </row>
    <row r="299">
      <c r="A299" s="270" t="s">
        <v>617</v>
      </c>
      <c r="B299" s="284" t="s">
        <v>618</v>
      </c>
      <c r="C299" s="270">
        <v>4</v>
      </c>
      <c r="D299" s="270">
        <v>5630.1</v>
      </c>
      <c r="E299" s="270">
        <v>4671.6</v>
      </c>
      <c r="F299" s="270">
        <v>5</v>
      </c>
      <c r="G299" s="273">
        <f t="shared" si="92"/>
      </c>
      <c r="H299" s="273">
        <f t="shared" si="61"/>
      </c>
      <c r="I299" s="273">
        <f t="shared" si="30"/>
      </c>
      <c r="J299" s="273">
        <f t="shared" si="123"/>
      </c>
      <c r="K299" s="273"/>
    </row>
    <row r="300">
      <c r="A300" s="270" t="s">
        <v>634</v>
      </c>
      <c r="B300" s="284" t="s">
        <v>661</v>
      </c>
      <c r="C300" s="270">
        <v>3</v>
      </c>
      <c r="D300" s="286">
        <v>6338.16</v>
      </c>
      <c r="E300" s="286">
        <v>4354.8</v>
      </c>
      <c r="F300" s="270">
        <v>3</v>
      </c>
      <c r="G300" s="273">
        <f t="shared" si="92"/>
      </c>
      <c r="H300" s="273">
        <f t="shared" si="61"/>
      </c>
      <c r="I300" s="273">
        <f t="shared" si="30"/>
      </c>
      <c r="J300" s="273">
        <f t="shared" si="123"/>
      </c>
      <c r="K300" s="273"/>
    </row>
    <row r="301">
      <c r="A301" s="270" t="s">
        <v>619</v>
      </c>
      <c r="B301" s="284" t="s">
        <v>662</v>
      </c>
      <c r="C301" s="288">
        <v>5</v>
      </c>
      <c r="D301" s="288">
        <v>14718.47</v>
      </c>
      <c r="E301" s="288">
        <v>22810.7</v>
      </c>
      <c r="F301" s="288">
        <v>17</v>
      </c>
      <c r="G301" s="273">
        <f t="shared" si="92"/>
      </c>
      <c r="H301" s="273">
        <f t="shared" si="61"/>
      </c>
      <c r="I301" s="273">
        <f t="shared" si="30"/>
      </c>
      <c r="J301" s="273">
        <f t="shared" si="123"/>
      </c>
      <c r="K301" s="273"/>
    </row>
    <row r="302">
      <c r="A302" s="269" t="s">
        <v>621</v>
      </c>
      <c r="B302" s="269"/>
      <c r="C302" s="269">
        <f>SUM(C298:C301)</f>
      </c>
      <c r="D302" s="269">
        <f>SUM(D298:D301)</f>
      </c>
      <c r="E302" s="269">
        <f>SUM(E298:E301)</f>
      </c>
      <c r="F302" s="269">
        <f>SUM(F298:F301)</f>
      </c>
      <c r="G302" s="274">
        <f t="shared" si="92"/>
      </c>
      <c r="H302" s="274">
        <f t="shared" si="61"/>
      </c>
      <c r="I302" s="274">
        <f t="shared" si="30"/>
      </c>
      <c r="J302" s="274">
        <f t="shared" si="123"/>
      </c>
      <c r="K302" s="274"/>
    </row>
    <row r="303">
      <c r="A303" s="275" t="s">
        <v>622</v>
      </c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</row>
    <row r="304">
      <c r="A304" s="276" t="s">
        <v>608</v>
      </c>
      <c r="B304" s="276" t="s">
        <v>623</v>
      </c>
      <c r="C304" s="276" t="s">
        <v>624</v>
      </c>
      <c r="D304" s="276" t="s">
        <v>625</v>
      </c>
      <c r="E304" s="276" t="s">
        <v>626</v>
      </c>
      <c r="F304" s="276" t="s">
        <v>627</v>
      </c>
      <c r="G304" s="276" t="s">
        <v>628</v>
      </c>
      <c r="H304" s="277" t="s">
        <v>629</v>
      </c>
      <c r="I304" s="277" t="s">
        <v>630</v>
      </c>
      <c r="J304" s="277" t="s">
        <v>631</v>
      </c>
      <c r="K304" s="277" t="s">
        <v>607</v>
      </c>
    </row>
    <row r="305">
      <c r="A305" s="278">
        <f>SUM(D298:D301)</f>
      </c>
      <c r="B305" s="278">
        <f>SUM(E298:E301)</f>
      </c>
      <c r="C305" s="279">
        <f>B305/((K305*300)+A305)</f>
      </c>
      <c r="D305" s="280">
        <f>A305/J305</f>
      </c>
      <c r="E305" s="279">
        <f>B305/J305</f>
      </c>
      <c r="F305" s="281">
        <f>J305/I305</f>
      </c>
      <c r="G305" s="281">
        <f>H305/J305</f>
      </c>
      <c r="H305" s="289">
        <v>3</v>
      </c>
      <c r="I305" s="289">
        <v>48</v>
      </c>
      <c r="J305" s="282">
        <f>F298+F299+F300+F301</f>
      </c>
      <c r="K305" s="282">
        <f>C302</f>
      </c>
    </row>
    <row r="306">
      <c r="A306">
        <f>A307-A305</f>
      </c>
      <c r="B306">
        <f>B307-B305</f>
      </c>
    </row>
    <row r="307">
      <c r="A307" s="290">
        <v>33873.78</v>
      </c>
      <c r="B307" s="290">
        <v>37883.899999999994</v>
      </c>
    </row>
  </sheetData>
  <mergeCells>
    <mergeCell ref="A283:K283"/>
    <mergeCell ref="J282:K282"/>
    <mergeCell ref="J281:K281"/>
    <mergeCell ref="J280:K280"/>
    <mergeCell ref="J279:K279"/>
    <mergeCell ref="J278:K278"/>
    <mergeCell ref="A277:K277"/>
    <mergeCell ref="A256:K256"/>
    <mergeCell ref="J255:K255"/>
    <mergeCell ref="J254:K254"/>
    <mergeCell ref="J253:K253"/>
    <mergeCell ref="J252:K252"/>
    <mergeCell ref="J251:K251"/>
    <mergeCell ref="A250:K250"/>
    <mergeCell ref="A247:K247"/>
    <mergeCell ref="J246:K246"/>
    <mergeCell ref="J245:K245"/>
    <mergeCell ref="J244:K244"/>
    <mergeCell ref="J243:K243"/>
    <mergeCell ref="J242:K242"/>
    <mergeCell ref="J241:K241"/>
    <mergeCell ref="A240:K240"/>
    <mergeCell ref="A237:K237"/>
    <mergeCell ref="J236:K236"/>
    <mergeCell ref="J235:K235"/>
    <mergeCell ref="J234:K234"/>
    <mergeCell ref="J233:K233"/>
    <mergeCell ref="J232:K232"/>
    <mergeCell ref="J231:K231"/>
    <mergeCell ref="A230:K230"/>
    <mergeCell ref="A227:K227"/>
    <mergeCell ref="J226:K226"/>
    <mergeCell ref="J225:K225"/>
    <mergeCell ref="J224:K224"/>
    <mergeCell ref="J223:K223"/>
    <mergeCell ref="J222:K222"/>
    <mergeCell ref="J221:K221"/>
    <mergeCell ref="A220:K220"/>
    <mergeCell ref="A217:K217"/>
    <mergeCell ref="J216:K216"/>
    <mergeCell ref="J215:K215"/>
    <mergeCell ref="J214:K214"/>
    <mergeCell ref="J213:K213"/>
    <mergeCell ref="J212:K212"/>
    <mergeCell ref="J211:K211"/>
    <mergeCell ref="A210:K210"/>
    <mergeCell ref="A207:K207"/>
    <mergeCell ref="J206:K206"/>
    <mergeCell ref="J205:K205"/>
    <mergeCell ref="J204:K204"/>
    <mergeCell ref="J203:K203"/>
    <mergeCell ref="J202:K202"/>
    <mergeCell ref="J201:K201"/>
    <mergeCell ref="A200:K200"/>
    <mergeCell ref="A197:K197"/>
    <mergeCell ref="J196:K196"/>
    <mergeCell ref="J195:K195"/>
    <mergeCell ref="J194:K194"/>
    <mergeCell ref="J193:K193"/>
    <mergeCell ref="J192:K192"/>
    <mergeCell ref="J191:K191"/>
    <mergeCell ref="A190:K190"/>
    <mergeCell ref="A187:K187"/>
    <mergeCell ref="J186:K186"/>
    <mergeCell ref="J185:K185"/>
    <mergeCell ref="J184:K184"/>
    <mergeCell ref="J183:K183"/>
    <mergeCell ref="J182:K182"/>
    <mergeCell ref="J181:K181"/>
    <mergeCell ref="A180:K180"/>
    <mergeCell ref="A177:K177"/>
    <mergeCell ref="J176:K176"/>
    <mergeCell ref="J175:K175"/>
    <mergeCell ref="J174:K174"/>
    <mergeCell ref="J173:K173"/>
    <mergeCell ref="J172:K172"/>
    <mergeCell ref="J171:K171"/>
    <mergeCell ref="A170:K170"/>
    <mergeCell ref="A167:K167"/>
    <mergeCell ref="J166:K166"/>
    <mergeCell ref="J165:K165"/>
    <mergeCell ref="J164:K164"/>
    <mergeCell ref="J163:K163"/>
    <mergeCell ref="J162:K162"/>
    <mergeCell ref="J161:K161"/>
    <mergeCell ref="A160:K160"/>
    <mergeCell ref="A157:K157"/>
    <mergeCell ref="J156:K156"/>
    <mergeCell ref="J155:K155"/>
    <mergeCell ref="J154:K154"/>
    <mergeCell ref="J153:K153"/>
    <mergeCell ref="J152:K152"/>
    <mergeCell ref="J151:K151"/>
    <mergeCell ref="A150:K150"/>
    <mergeCell ref="A147:K147"/>
    <mergeCell ref="J146:K146"/>
    <mergeCell ref="J145:K145"/>
    <mergeCell ref="J144:K144"/>
    <mergeCell ref="J143:K143"/>
    <mergeCell ref="J142:K142"/>
    <mergeCell ref="J141:K141"/>
    <mergeCell ref="A140:K140"/>
    <mergeCell ref="A137:K137"/>
    <mergeCell ref="J136:K136"/>
    <mergeCell ref="J135:K135"/>
    <mergeCell ref="J134:K134"/>
    <mergeCell ref="J133:K133"/>
    <mergeCell ref="J132:K132"/>
    <mergeCell ref="J131:K131"/>
    <mergeCell ref="A130:K130"/>
    <mergeCell ref="A127:K127"/>
    <mergeCell ref="J126:K126"/>
    <mergeCell ref="J125:K125"/>
    <mergeCell ref="J124:K124"/>
    <mergeCell ref="J123:K123"/>
    <mergeCell ref="J122:K122"/>
    <mergeCell ref="J121:K121"/>
    <mergeCell ref="A120:K120"/>
    <mergeCell ref="A117:K117"/>
    <mergeCell ref="J116:K116"/>
    <mergeCell ref="J115:K115"/>
    <mergeCell ref="J114:K114"/>
    <mergeCell ref="J113:K113"/>
    <mergeCell ref="J112:K112"/>
    <mergeCell ref="J111:K111"/>
    <mergeCell ref="A110:K110"/>
    <mergeCell ref="A107:K107"/>
    <mergeCell ref="J106:K106"/>
    <mergeCell ref="J105:K105"/>
    <mergeCell ref="J104:K104"/>
    <mergeCell ref="J103:K103"/>
    <mergeCell ref="J102:K102"/>
    <mergeCell ref="J101:K101"/>
    <mergeCell ref="A100:K100"/>
    <mergeCell ref="A97:K97"/>
    <mergeCell ref="J96:K96"/>
    <mergeCell ref="J95:K95"/>
    <mergeCell ref="J94:K94"/>
    <mergeCell ref="J93:K93"/>
    <mergeCell ref="J92:K92"/>
    <mergeCell ref="J91:K91"/>
    <mergeCell ref="A90:K90"/>
    <mergeCell ref="A67:K67"/>
    <mergeCell ref="J66:K66"/>
    <mergeCell ref="J65:K65"/>
    <mergeCell ref="J64:K64"/>
    <mergeCell ref="J63:K63"/>
    <mergeCell ref="J62:K62"/>
    <mergeCell ref="J61:K61"/>
    <mergeCell ref="A60:K60"/>
    <mergeCell ref="A87:K87"/>
    <mergeCell ref="J86:K86"/>
    <mergeCell ref="J85:K85"/>
    <mergeCell ref="J84:K84"/>
    <mergeCell ref="J83:K83"/>
    <mergeCell ref="J82:K82"/>
    <mergeCell ref="A80:K80"/>
    <mergeCell ref="J81:K81"/>
    <mergeCell ref="A77:K77"/>
    <mergeCell ref="J76:K76"/>
    <mergeCell ref="J75:K75"/>
    <mergeCell ref="J74:K74"/>
    <mergeCell ref="J73:K73"/>
    <mergeCell ref="J72:K72"/>
    <mergeCell ref="J71:K71"/>
    <mergeCell ref="A70:K70"/>
    <mergeCell ref="A57:K57"/>
    <mergeCell ref="J56:K56"/>
    <mergeCell ref="J55:K55"/>
    <mergeCell ref="J54:K54"/>
    <mergeCell ref="J53:K53"/>
    <mergeCell ref="J52:K52"/>
    <mergeCell ref="J51:K51"/>
    <mergeCell ref="A50:K50"/>
    <mergeCell ref="A47:K47"/>
    <mergeCell ref="J46:K46"/>
    <mergeCell ref="J45:K45"/>
    <mergeCell ref="J44:K44"/>
    <mergeCell ref="J43:K43"/>
    <mergeCell ref="J42:K42"/>
    <mergeCell ref="J41:K41"/>
    <mergeCell ref="A40:K40"/>
    <mergeCell ref="A37:K37"/>
    <mergeCell ref="J36:K36"/>
    <mergeCell ref="J35:K35"/>
    <mergeCell ref="J34:K34"/>
    <mergeCell ref="J33:K33"/>
    <mergeCell ref="J32:K32"/>
    <mergeCell ref="J31:K31"/>
    <mergeCell ref="A30:K30"/>
    <mergeCell ref="A27:K27"/>
    <mergeCell ref="J26:K26"/>
    <mergeCell ref="J25:K25"/>
    <mergeCell ref="J24:K24"/>
    <mergeCell ref="J23:K23"/>
    <mergeCell ref="J22:K22"/>
    <mergeCell ref="J21:K21"/>
    <mergeCell ref="A20:K20"/>
    <mergeCell ref="A1:K1"/>
    <mergeCell ref="J2:K2"/>
    <mergeCell ref="J3:K3"/>
    <mergeCell ref="J4:K4"/>
    <mergeCell ref="J5:K5"/>
    <mergeCell ref="J6:K6"/>
    <mergeCell ref="J7:K7"/>
    <mergeCell ref="A8:K8"/>
    <mergeCell ref="A11:K11"/>
    <mergeCell ref="J12:K12"/>
    <mergeCell ref="J13:K13"/>
    <mergeCell ref="J14:K14"/>
    <mergeCell ref="J15:K15"/>
    <mergeCell ref="J16:K16"/>
    <mergeCell ref="A17:K17"/>
    <mergeCell ref="A259:K259"/>
    <mergeCell ref="J260:K260"/>
    <mergeCell ref="J261:K261"/>
    <mergeCell ref="J262:K262"/>
    <mergeCell ref="J263:K263"/>
    <mergeCell ref="J264:K264"/>
    <mergeCell ref="J265:K265"/>
    <mergeCell ref="A266:K266"/>
    <mergeCell ref="A269:K269"/>
    <mergeCell ref="J270:K270"/>
    <mergeCell ref="J271:K271"/>
    <mergeCell ref="J272:K272"/>
    <mergeCell ref="J273:K273"/>
    <mergeCell ref="A274:K274"/>
    <mergeCell ref="A286:K286"/>
    <mergeCell ref="J287:K287"/>
    <mergeCell ref="J288:K288"/>
    <mergeCell ref="J289:K289"/>
    <mergeCell ref="J290:K290"/>
    <mergeCell ref="J291:K291"/>
    <mergeCell ref="J292:K292"/>
    <mergeCell ref="A293:K293"/>
    <mergeCell ref="A296:K296"/>
    <mergeCell ref="J297:K297"/>
    <mergeCell ref="J298:K298"/>
    <mergeCell ref="J299:K299"/>
    <mergeCell ref="J300:K300"/>
    <mergeCell ref="J301:K301"/>
    <mergeCell ref="J302:K302"/>
    <mergeCell ref="A303:K303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1" xSplit="1"/>
    </sheetView>
  </sheetViews>
  <sheetFormatPr defaultRowHeight="16"/>
  <cols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</cols>
  <sheetData>
    <row r="1">
      <c r="A1" s="291" t="s">
        <v>677</v>
      </c>
      <c r="B1" s="291"/>
      <c r="C1" s="291"/>
      <c r="D1" s="292" t="s">
        <v>678</v>
      </c>
      <c r="E1" s="292"/>
      <c r="F1" s="292"/>
      <c r="G1" s="292"/>
      <c r="H1" s="292"/>
      <c r="I1" s="292"/>
      <c r="J1" s="293" t="s">
        <v>679</v>
      </c>
      <c r="K1" s="293"/>
      <c r="L1" s="293"/>
      <c r="M1" s="293"/>
      <c r="N1" s="293"/>
      <c r="O1" s="293"/>
      <c r="P1" s="293"/>
      <c r="Q1" s="293"/>
      <c r="R1" s="294" t="s">
        <v>680</v>
      </c>
      <c r="S1" s="294"/>
      <c r="T1" s="294"/>
      <c r="U1" s="294"/>
      <c r="V1" s="294"/>
      <c r="W1" s="294"/>
      <c r="X1" s="294"/>
      <c r="Y1" s="295"/>
    </row>
    <row r="2">
      <c r="A2" s="296" t="s">
        <v>681</v>
      </c>
      <c r="B2" s="296" t="s">
        <v>682</v>
      </c>
      <c r="C2" s="296" t="s">
        <v>683</v>
      </c>
      <c r="D2" s="297" t="s">
        <v>684</v>
      </c>
      <c r="E2" s="298" t="s">
        <v>685</v>
      </c>
      <c r="F2" s="297" t="s">
        <v>686</v>
      </c>
      <c r="G2" s="299" t="s">
        <v>687</v>
      </c>
      <c r="H2" s="300" t="s">
        <v>688</v>
      </c>
      <c r="I2" s="297" t="s">
        <v>689</v>
      </c>
      <c r="J2" s="301" t="s">
        <v>690</v>
      </c>
      <c r="K2" s="302" t="s">
        <v>691</v>
      </c>
      <c r="L2" s="301" t="s">
        <v>692</v>
      </c>
      <c r="M2" s="301" t="s">
        <v>693</v>
      </c>
      <c r="N2" s="303" t="s">
        <v>694</v>
      </c>
      <c r="O2" s="303" t="s">
        <v>695</v>
      </c>
      <c r="P2" s="304" t="s">
        <v>696</v>
      </c>
      <c r="Q2" s="304" t="s">
        <v>697</v>
      </c>
      <c r="R2" s="305" t="s">
        <v>698</v>
      </c>
      <c r="S2" s="305" t="s">
        <v>699</v>
      </c>
      <c r="T2" s="306" t="s">
        <v>700</v>
      </c>
      <c r="U2" s="306" t="s">
        <v>701</v>
      </c>
      <c r="V2" s="306" t="s">
        <v>702</v>
      </c>
      <c r="W2" s="306" t="s">
        <v>703</v>
      </c>
      <c r="X2" s="306" t="s">
        <v>704</v>
      </c>
      <c r="Y2" s="295"/>
    </row>
    <row r="3">
      <c r="A3" s="307" t="s">
        <v>705</v>
      </c>
      <c r="B3" s="308" t="s">
        <v>706</v>
      </c>
      <c r="C3" s="309" t="s">
        <v>707</v>
      </c>
      <c r="D3" s="310">
        <v>1318.57</v>
      </c>
      <c r="E3" s="311">
        <v>1</v>
      </c>
      <c r="F3" s="308">
        <v>402</v>
      </c>
      <c r="G3" s="312">
        <f t="shared" ref="G3:G18" si="64">F3/D3</f>
      </c>
      <c r="H3" s="312">
        <f t="shared" ref="H3:H18" si="32">D3/E3</f>
      </c>
      <c r="I3" s="312">
        <f t="shared" ref="I3:I18" si="40">F3/E3</f>
      </c>
      <c r="J3" s="313">
        <f t="shared" ref="J3:J18" si="0">S3/R3</f>
      </c>
      <c r="K3" s="314">
        <f t="shared" ref="K3:K18" si="48">D3/T3</f>
      </c>
      <c r="L3" s="315">
        <f t="shared" ref="L3:L18" si="8">U3/T3</f>
      </c>
      <c r="M3" s="315">
        <f t="shared" ref="M3:M18" si="16">E3/V3</f>
      </c>
      <c r="N3" s="315">
        <f t="shared" ref="N3:N18" si="56">W3/E3</f>
      </c>
      <c r="O3" s="316">
        <f t="shared" ref="O3:O18" si="24">(X3*1000)/D3</f>
      </c>
      <c r="P3" s="317" t="s">
        <v>708</v>
      </c>
      <c r="Q3" s="318" t="s">
        <v>709</v>
      </c>
      <c r="R3" s="319">
        <v>7121</v>
      </c>
      <c r="S3" s="306">
        <v>561</v>
      </c>
      <c r="T3" s="319">
        <v>740</v>
      </c>
      <c r="U3" s="306">
        <v>86</v>
      </c>
      <c r="V3" s="320">
        <v>2</v>
      </c>
      <c r="W3" s="320">
        <v>0</v>
      </c>
      <c r="X3" s="320">
        <v>17</v>
      </c>
      <c r="Y3" s="295"/>
    </row>
    <row r="4">
      <c r="A4" s="321"/>
      <c r="B4" s="308" t="s">
        <v>706</v>
      </c>
      <c r="C4" s="310" t="s">
        <v>710</v>
      </c>
      <c r="D4" s="310">
        <v>1013.92</v>
      </c>
      <c r="E4" s="311">
        <v>0</v>
      </c>
      <c r="F4" s="308">
        <v>0</v>
      </c>
      <c r="G4" s="312">
        <f t="shared" si="64"/>
      </c>
      <c r="H4" s="312">
        <f t="shared" si="32"/>
      </c>
      <c r="I4" s="312">
        <f t="shared" si="40"/>
      </c>
      <c r="J4" s="313">
        <f t="shared" si="0"/>
      </c>
      <c r="K4" s="314">
        <f t="shared" si="48"/>
      </c>
      <c r="L4" s="315">
        <f t="shared" si="8"/>
      </c>
      <c r="M4" s="315">
        <f t="shared" si="16"/>
      </c>
      <c r="N4" s="315">
        <f t="shared" si="56"/>
      </c>
      <c r="O4" s="316">
        <f t="shared" si="24"/>
      </c>
      <c r="P4" s="317" t="s">
        <v>708</v>
      </c>
      <c r="Q4" s="318" t="s">
        <v>709</v>
      </c>
      <c r="R4" s="319">
        <v>4219</v>
      </c>
      <c r="S4" s="306">
        <v>469</v>
      </c>
      <c r="T4" s="322">
        <v>609</v>
      </c>
      <c r="U4" s="322">
        <v>61</v>
      </c>
      <c r="V4" s="323">
        <v>0</v>
      </c>
      <c r="W4" s="323">
        <v>0</v>
      </c>
      <c r="X4" s="323">
        <v>16</v>
      </c>
      <c r="Y4" s="295"/>
    </row>
    <row r="5">
      <c r="A5" s="321"/>
      <c r="B5" s="308" t="s">
        <v>706</v>
      </c>
      <c r="C5" s="310" t="s">
        <v>711</v>
      </c>
      <c r="D5" s="310">
        <v>1955.16</v>
      </c>
      <c r="E5" s="311">
        <v>4</v>
      </c>
      <c r="F5" s="310">
        <v>3819.6000000000004</v>
      </c>
      <c r="G5" s="312">
        <f t="shared" si="64"/>
      </c>
      <c r="H5" s="312">
        <f t="shared" si="32"/>
      </c>
      <c r="I5" s="312">
        <f t="shared" si="40"/>
      </c>
      <c r="J5" s="313">
        <f t="shared" si="0"/>
      </c>
      <c r="K5" s="314">
        <f t="shared" si="48"/>
      </c>
      <c r="L5" s="315">
        <f t="shared" si="8"/>
      </c>
      <c r="M5" s="315">
        <f t="shared" si="16"/>
      </c>
      <c r="N5" s="315">
        <f t="shared" si="56"/>
      </c>
      <c r="O5" s="316">
        <f t="shared" si="24"/>
      </c>
      <c r="P5" s="317" t="s">
        <v>708</v>
      </c>
      <c r="Q5" s="318" t="s">
        <v>709</v>
      </c>
      <c r="R5" s="319">
        <v>7583</v>
      </c>
      <c r="S5" s="306">
        <v>787</v>
      </c>
      <c r="T5" s="324">
        <v>1022</v>
      </c>
      <c r="U5" s="324">
        <v>115</v>
      </c>
      <c r="V5" s="325">
        <v>6</v>
      </c>
      <c r="W5" s="325">
        <v>0</v>
      </c>
      <c r="X5" s="325">
        <v>20</v>
      </c>
      <c r="Y5" s="295"/>
    </row>
    <row r="6">
      <c r="A6" s="321"/>
      <c r="B6" s="308" t="s">
        <v>706</v>
      </c>
      <c r="C6" s="310" t="s">
        <v>712</v>
      </c>
      <c r="D6" s="308">
        <v>1784.73</v>
      </c>
      <c r="E6" s="311">
        <v>2</v>
      </c>
      <c r="F6" s="308">
        <v>1173.6</v>
      </c>
      <c r="G6" s="312">
        <f t="shared" si="64"/>
      </c>
      <c r="H6" s="312">
        <f t="shared" si="32"/>
      </c>
      <c r="I6" s="312">
        <f t="shared" si="40"/>
      </c>
      <c r="J6" s="313">
        <f t="shared" si="0"/>
      </c>
      <c r="K6" s="314">
        <f t="shared" si="48"/>
      </c>
      <c r="L6" s="315">
        <f t="shared" si="8"/>
      </c>
      <c r="M6" s="315">
        <f t="shared" si="16"/>
      </c>
      <c r="N6" s="315">
        <f t="shared" si="56"/>
      </c>
      <c r="O6" s="316">
        <f t="shared" si="24"/>
      </c>
      <c r="P6" s="317" t="s">
        <v>708</v>
      </c>
      <c r="Q6" s="318" t="s">
        <v>709</v>
      </c>
      <c r="R6" s="319">
        <v>7062</v>
      </c>
      <c r="S6" s="306">
        <v>743</v>
      </c>
      <c r="T6" s="324">
        <v>937</v>
      </c>
      <c r="U6" s="324">
        <v>111</v>
      </c>
      <c r="V6" s="325">
        <v>3</v>
      </c>
      <c r="W6" s="325">
        <v>0</v>
      </c>
      <c r="X6" s="325">
        <v>23</v>
      </c>
      <c r="Y6" s="295"/>
    </row>
    <row r="7">
      <c r="A7" s="321"/>
      <c r="B7" s="326" t="s">
        <v>713</v>
      </c>
      <c r="C7" s="326"/>
      <c r="D7" s="327">
        <f>SUM(D3:D6)</f>
      </c>
      <c r="E7" s="328">
        <f>SUM(E3:E6)</f>
      </c>
      <c r="F7" s="327">
        <f>SUM(F3:F6)</f>
      </c>
      <c r="G7" s="329">
        <f t="shared" si="64"/>
      </c>
      <c r="H7" s="330">
        <f t="shared" si="32"/>
      </c>
      <c r="I7" s="331">
        <f t="shared" si="40"/>
      </c>
      <c r="J7" s="332">
        <f t="shared" si="0"/>
      </c>
      <c r="K7" s="333">
        <f t="shared" si="48"/>
      </c>
      <c r="L7" s="332">
        <f t="shared" si="8"/>
      </c>
      <c r="M7" s="332">
        <f t="shared" si="16"/>
      </c>
      <c r="N7" s="334">
        <f t="shared" si="56"/>
      </c>
      <c r="O7" s="335">
        <f t="shared" si="24"/>
      </c>
      <c r="P7" s="333"/>
      <c r="Q7" s="333"/>
      <c r="R7" s="336">
        <f>SUM(R3:R6)</f>
      </c>
      <c r="S7" s="336">
        <f>SUM(S3:S6)</f>
      </c>
      <c r="T7" s="336">
        <f>SUM(T3:T6)</f>
      </c>
      <c r="U7" s="336">
        <f>SUM(U3:U6)</f>
      </c>
      <c r="V7" s="336">
        <f>SUM(V3:V6)</f>
      </c>
      <c r="W7" s="336">
        <f>SUM(W3:W6)</f>
      </c>
      <c r="X7" s="336">
        <f>SUM(X3:X6)</f>
      </c>
      <c r="Y7" s="295"/>
    </row>
    <row r="8">
      <c r="A8" s="321"/>
      <c r="B8" s="308" t="s">
        <v>714</v>
      </c>
      <c r="C8" s="310" t="s">
        <v>715</v>
      </c>
      <c r="D8" s="308">
        <v>1498.88</v>
      </c>
      <c r="E8" s="311">
        <v>1</v>
      </c>
      <c r="F8" s="308">
        <v>1197.6</v>
      </c>
      <c r="G8" s="312">
        <f t="shared" si="64"/>
      </c>
      <c r="H8" s="312">
        <f t="shared" si="32"/>
      </c>
      <c r="I8" s="312">
        <f t="shared" si="40"/>
      </c>
      <c r="J8" s="313">
        <f t="shared" si="0"/>
      </c>
      <c r="K8" s="314">
        <f t="shared" si="48"/>
      </c>
      <c r="L8" s="315">
        <f t="shared" si="8"/>
      </c>
      <c r="M8" s="315">
        <f t="shared" si="16"/>
      </c>
      <c r="N8" s="315">
        <f t="shared" si="56"/>
      </c>
      <c r="O8" s="316">
        <f t="shared" si="24"/>
      </c>
      <c r="P8" s="317" t="s">
        <v>716</v>
      </c>
      <c r="Q8" s="318" t="s">
        <v>717</v>
      </c>
      <c r="R8" s="324">
        <v>5465</v>
      </c>
      <c r="S8" s="324">
        <v>622</v>
      </c>
      <c r="T8" s="324">
        <v>758</v>
      </c>
      <c r="U8" s="324">
        <v>84</v>
      </c>
      <c r="V8" s="325">
        <v>2</v>
      </c>
      <c r="W8" s="325">
        <v>0</v>
      </c>
      <c r="X8" s="337">
        <v>13</v>
      </c>
      <c r="Y8" s="295"/>
    </row>
    <row r="9">
      <c r="A9" s="321"/>
      <c r="B9" s="308" t="s">
        <v>714</v>
      </c>
      <c r="C9" s="309" t="s">
        <v>718</v>
      </c>
      <c r="D9" s="308">
        <v>1512.2</v>
      </c>
      <c r="E9" s="311">
        <v>0</v>
      </c>
      <c r="F9" s="308">
        <v>0</v>
      </c>
      <c r="G9" s="312">
        <f t="shared" si="64"/>
      </c>
      <c r="H9" s="312">
        <f t="shared" si="32"/>
      </c>
      <c r="I9" s="312">
        <f t="shared" si="40"/>
      </c>
      <c r="J9" s="313">
        <f t="shared" si="0"/>
      </c>
      <c r="K9" s="314">
        <f t="shared" si="48"/>
      </c>
      <c r="L9" s="315">
        <f t="shared" si="8"/>
      </c>
      <c r="M9" s="315">
        <f t="shared" si="16"/>
      </c>
      <c r="N9" s="315">
        <f t="shared" si="56"/>
      </c>
      <c r="O9" s="316">
        <f t="shared" si="24"/>
      </c>
      <c r="P9" s="317" t="s">
        <v>716</v>
      </c>
      <c r="Q9" s="318" t="s">
        <v>717</v>
      </c>
      <c r="R9" s="324">
        <v>8830</v>
      </c>
      <c r="S9" s="324">
        <v>820</v>
      </c>
      <c r="T9" s="324">
        <v>1100</v>
      </c>
      <c r="U9" s="324">
        <v>118</v>
      </c>
      <c r="V9" s="325">
        <v>0</v>
      </c>
      <c r="W9" s="325">
        <v>0</v>
      </c>
      <c r="X9" s="337">
        <v>26</v>
      </c>
      <c r="Y9" s="295"/>
    </row>
    <row r="10">
      <c r="A10" s="321"/>
      <c r="B10" s="308" t="s">
        <v>714</v>
      </c>
      <c r="C10" s="309" t="s">
        <v>719</v>
      </c>
      <c r="D10" s="308">
        <v>1435.69</v>
      </c>
      <c r="E10" s="311">
        <v>0</v>
      </c>
      <c r="F10" s="308">
        <v>0</v>
      </c>
      <c r="G10" s="312">
        <f t="shared" si="64"/>
      </c>
      <c r="H10" s="312">
        <f t="shared" si="32"/>
      </c>
      <c r="I10" s="312">
        <f t="shared" si="40"/>
      </c>
      <c r="J10" s="313">
        <f t="shared" si="0"/>
      </c>
      <c r="K10" s="314">
        <f t="shared" si="48"/>
      </c>
      <c r="L10" s="315">
        <f t="shared" si="8"/>
      </c>
      <c r="M10" s="315">
        <f t="shared" si="16"/>
      </c>
      <c r="N10" s="315">
        <f t="shared" si="56"/>
      </c>
      <c r="O10" s="316">
        <f t="shared" si="24"/>
      </c>
      <c r="P10" s="317" t="s">
        <v>716</v>
      </c>
      <c r="Q10" s="318" t="s">
        <v>717</v>
      </c>
      <c r="R10" s="324">
        <v>10550</v>
      </c>
      <c r="S10" s="324">
        <v>697</v>
      </c>
      <c r="T10" s="324">
        <v>927</v>
      </c>
      <c r="U10" s="324">
        <v>86</v>
      </c>
      <c r="V10" s="325">
        <v>3</v>
      </c>
      <c r="W10" s="325">
        <v>0</v>
      </c>
      <c r="X10" s="337">
        <v>26</v>
      </c>
      <c r="Y10" s="295"/>
    </row>
    <row r="11">
      <c r="A11" s="321"/>
      <c r="B11" s="308" t="s">
        <v>714</v>
      </c>
      <c r="C11" s="309" t="s">
        <v>720</v>
      </c>
      <c r="D11" s="308">
        <v>2138.74</v>
      </c>
      <c r="E11" s="311">
        <v>3</v>
      </c>
      <c r="F11" s="308">
        <v>1903.6</v>
      </c>
      <c r="G11" s="312">
        <f t="shared" si="64"/>
      </c>
      <c r="H11" s="312">
        <f t="shared" si="32"/>
      </c>
      <c r="I11" s="312">
        <f t="shared" si="40"/>
      </c>
      <c r="J11" s="313">
        <f t="shared" si="0"/>
      </c>
      <c r="K11" s="314">
        <f t="shared" si="48"/>
      </c>
      <c r="L11" s="315">
        <f t="shared" si="8"/>
      </c>
      <c r="M11" s="315">
        <f t="shared" si="16"/>
      </c>
      <c r="N11" s="315">
        <f t="shared" si="56"/>
      </c>
      <c r="O11" s="316">
        <f t="shared" si="24"/>
      </c>
      <c r="P11" s="317" t="s">
        <v>716</v>
      </c>
      <c r="Q11" s="318" t="s">
        <v>717</v>
      </c>
      <c r="R11" s="324">
        <v>13698</v>
      </c>
      <c r="S11" s="324">
        <v>1178</v>
      </c>
      <c r="T11" s="324">
        <v>1465</v>
      </c>
      <c r="U11" s="324">
        <v>106</v>
      </c>
      <c r="V11" s="325">
        <v>4</v>
      </c>
      <c r="W11" s="325">
        <v>0</v>
      </c>
      <c r="X11" s="337">
        <v>46</v>
      </c>
      <c r="Y11" s="295"/>
    </row>
    <row r="12">
      <c r="A12" s="321"/>
      <c r="B12" s="326" t="s">
        <v>713</v>
      </c>
      <c r="C12" s="326"/>
      <c r="D12" s="327">
        <f>SUM(D8:D11)</f>
      </c>
      <c r="E12" s="328">
        <f>SUM(E8:E11)</f>
      </c>
      <c r="F12" s="327">
        <f>SUM(F8:F11)</f>
      </c>
      <c r="G12" s="329">
        <f t="shared" si="64"/>
      </c>
      <c r="H12" s="330">
        <f t="shared" si="32"/>
      </c>
      <c r="I12" s="331">
        <f t="shared" si="40"/>
      </c>
      <c r="J12" s="332">
        <f t="shared" si="0"/>
      </c>
      <c r="K12" s="333">
        <f t="shared" si="48"/>
      </c>
      <c r="L12" s="332">
        <f t="shared" si="8"/>
      </c>
      <c r="M12" s="332">
        <f t="shared" si="16"/>
      </c>
      <c r="N12" s="334">
        <f t="shared" si="56"/>
      </c>
      <c r="O12" s="335">
        <f t="shared" si="24"/>
      </c>
      <c r="P12" s="333"/>
      <c r="Q12" s="333"/>
      <c r="R12" s="336">
        <f>SUM(R8:R11)</f>
      </c>
      <c r="S12" s="336">
        <f>SUM(S8:S11)</f>
      </c>
      <c r="T12" s="336">
        <f>SUM(T8:T11)</f>
      </c>
      <c r="U12" s="336">
        <f>SUM(U8:U11)</f>
      </c>
      <c r="V12" s="336">
        <f>SUM(V8:V11)</f>
      </c>
      <c r="W12" s="336">
        <f>SUM(W8:W11)</f>
      </c>
      <c r="X12" s="336">
        <f>SUM(X8:X11)</f>
      </c>
      <c r="Y12" s="295"/>
    </row>
    <row r="13">
      <c r="A13" s="321"/>
      <c r="B13" s="308" t="s">
        <v>721</v>
      </c>
      <c r="C13" s="309" t="s">
        <v>722</v>
      </c>
      <c r="D13" s="310">
        <v>2272.79</v>
      </c>
      <c r="E13" s="311">
        <v>0</v>
      </c>
      <c r="F13" s="308">
        <v>0</v>
      </c>
      <c r="G13" s="312">
        <f t="shared" si="64"/>
      </c>
      <c r="H13" s="312">
        <f t="shared" si="32"/>
      </c>
      <c r="I13" s="312">
        <f t="shared" si="40"/>
      </c>
      <c r="J13" s="313">
        <f t="shared" si="0"/>
      </c>
      <c r="K13" s="314">
        <f t="shared" si="48"/>
      </c>
      <c r="L13" s="315">
        <f t="shared" si="8"/>
      </c>
      <c r="M13" s="315">
        <f t="shared" si="16"/>
      </c>
      <c r="N13" s="315">
        <f t="shared" si="56"/>
      </c>
      <c r="O13" s="316">
        <f t="shared" si="24"/>
      </c>
      <c r="P13" s="317" t="s">
        <v>716</v>
      </c>
      <c r="Q13" s="318" t="s">
        <v>717</v>
      </c>
      <c r="R13" s="324">
        <v>15719</v>
      </c>
      <c r="S13" s="324">
        <v>1409</v>
      </c>
      <c r="T13" s="324">
        <v>1728</v>
      </c>
      <c r="U13" s="324">
        <v>147</v>
      </c>
      <c r="V13" s="325">
        <v>2</v>
      </c>
      <c r="W13" s="325">
        <v>0</v>
      </c>
      <c r="X13" s="337">
        <v>19</v>
      </c>
      <c r="Y13" s="295"/>
    </row>
    <row r="14">
      <c r="A14" s="321"/>
      <c r="B14" s="308" t="s">
        <v>721</v>
      </c>
      <c r="C14" s="338" t="s">
        <v>723</v>
      </c>
      <c r="D14" s="308">
        <v>1930.6</v>
      </c>
      <c r="E14" s="311">
        <v>1</v>
      </c>
      <c r="F14" s="308">
        <v>1316.4</v>
      </c>
      <c r="G14" s="312">
        <f t="shared" si="64"/>
      </c>
      <c r="H14" s="312">
        <f t="shared" si="32"/>
      </c>
      <c r="I14" s="312">
        <f t="shared" si="40"/>
      </c>
      <c r="J14" s="313">
        <f t="shared" si="0"/>
      </c>
      <c r="K14" s="314">
        <f t="shared" si="48"/>
      </c>
      <c r="L14" s="315">
        <f t="shared" si="8"/>
      </c>
      <c r="M14" s="315">
        <f t="shared" si="16"/>
      </c>
      <c r="N14" s="315">
        <f t="shared" si="56"/>
      </c>
      <c r="O14" s="316">
        <f t="shared" si="24"/>
      </c>
      <c r="P14" s="317" t="s">
        <v>716</v>
      </c>
      <c r="Q14" s="318" t="s">
        <v>717</v>
      </c>
      <c r="R14" s="324">
        <v>14729</v>
      </c>
      <c r="S14" s="324">
        <v>1081</v>
      </c>
      <c r="T14" s="324">
        <v>1385</v>
      </c>
      <c r="U14" s="324">
        <v>109</v>
      </c>
      <c r="V14" s="325">
        <v>2</v>
      </c>
      <c r="W14" s="325">
        <v>0</v>
      </c>
      <c r="X14" s="337">
        <v>28</v>
      </c>
      <c r="Y14" s="295"/>
    </row>
    <row r="15">
      <c r="A15" s="321"/>
      <c r="B15" s="308" t="s">
        <v>721</v>
      </c>
      <c r="C15" s="338" t="s">
        <v>724</v>
      </c>
      <c r="D15" s="308">
        <v>2942.98</v>
      </c>
      <c r="E15" s="311">
        <v>5</v>
      </c>
      <c r="F15" s="308">
        <v>5894.4</v>
      </c>
      <c r="G15" s="312">
        <f t="shared" si="64"/>
      </c>
      <c r="H15" s="312">
        <f t="shared" si="32"/>
      </c>
      <c r="I15" s="312">
        <f t="shared" si="40"/>
      </c>
      <c r="J15" s="313">
        <f t="shared" si="0"/>
      </c>
      <c r="K15" s="314">
        <f t="shared" si="48"/>
      </c>
      <c r="L15" s="315">
        <f t="shared" si="8"/>
      </c>
      <c r="M15" s="315">
        <f t="shared" si="16"/>
      </c>
      <c r="N15" s="315">
        <f t="shared" si="56"/>
      </c>
      <c r="O15" s="316">
        <f t="shared" si="24"/>
      </c>
      <c r="P15" s="317" t="s">
        <v>716</v>
      </c>
      <c r="Q15" s="318" t="s">
        <v>717</v>
      </c>
      <c r="R15" s="324">
        <v>22520</v>
      </c>
      <c r="S15" s="324">
        <v>1509</v>
      </c>
      <c r="T15" s="324">
        <v>1888</v>
      </c>
      <c r="U15" s="324">
        <v>131</v>
      </c>
      <c r="V15" s="325">
        <v>6</v>
      </c>
      <c r="W15" s="325">
        <v>1</v>
      </c>
      <c r="X15" s="337">
        <v>43</v>
      </c>
      <c r="Y15" s="295"/>
    </row>
    <row r="16">
      <c r="A16" s="321"/>
      <c r="B16" s="308" t="s">
        <v>721</v>
      </c>
      <c r="C16" s="338" t="s">
        <v>725</v>
      </c>
      <c r="D16" s="308">
        <v>1511.87</v>
      </c>
      <c r="E16" s="311">
        <v>3</v>
      </c>
      <c r="F16" s="308">
        <v>1652.8</v>
      </c>
      <c r="G16" s="312">
        <f t="shared" si="64"/>
      </c>
      <c r="H16" s="312">
        <f t="shared" si="32"/>
      </c>
      <c r="I16" s="312">
        <f t="shared" si="40"/>
      </c>
      <c r="J16" s="313">
        <f t="shared" si="0"/>
      </c>
      <c r="K16" s="314">
        <f t="shared" si="48"/>
      </c>
      <c r="L16" s="315">
        <f t="shared" si="8"/>
      </c>
      <c r="M16" s="315">
        <f t="shared" si="16"/>
      </c>
      <c r="N16" s="315">
        <f t="shared" si="56"/>
      </c>
      <c r="O16" s="316">
        <f t="shared" si="24"/>
      </c>
      <c r="P16" s="317" t="s">
        <v>716</v>
      </c>
      <c r="Q16" s="318" t="s">
        <v>717</v>
      </c>
      <c r="R16" s="324">
        <v>12732</v>
      </c>
      <c r="S16" s="324">
        <v>811</v>
      </c>
      <c r="T16" s="324">
        <v>998</v>
      </c>
      <c r="U16" s="324">
        <v>65</v>
      </c>
      <c r="V16" s="325">
        <v>3</v>
      </c>
      <c r="W16" s="325">
        <v>0</v>
      </c>
      <c r="X16" s="337">
        <v>23</v>
      </c>
      <c r="Y16" s="295"/>
    </row>
    <row r="17">
      <c r="A17" s="321"/>
      <c r="B17" s="326" t="s">
        <v>713</v>
      </c>
      <c r="C17" s="326"/>
      <c r="D17" s="327">
        <f>SUM(D13:D16)</f>
      </c>
      <c r="E17" s="328">
        <f>SUM(E13:E16)</f>
      </c>
      <c r="F17" s="327">
        <f>SUM(F13:F16)</f>
      </c>
      <c r="G17" s="329">
        <f t="shared" si="64"/>
      </c>
      <c r="H17" s="330">
        <f t="shared" si="32"/>
      </c>
      <c r="I17" s="331">
        <f t="shared" si="40"/>
      </c>
      <c r="J17" s="332">
        <f t="shared" si="0"/>
      </c>
      <c r="K17" s="333">
        <f t="shared" si="48"/>
      </c>
      <c r="L17" s="332">
        <f t="shared" si="8"/>
      </c>
      <c r="M17" s="332">
        <f t="shared" si="16"/>
      </c>
      <c r="N17" s="334">
        <f t="shared" si="56"/>
      </c>
      <c r="O17" s="335">
        <f t="shared" si="24"/>
      </c>
      <c r="P17" s="333"/>
      <c r="Q17" s="333"/>
      <c r="R17" s="336">
        <f>SUM(R13:R16)</f>
      </c>
      <c r="S17" s="336">
        <f>SUM(S13:S16)</f>
      </c>
      <c r="T17" s="336">
        <f>SUM(T13:T16)</f>
      </c>
      <c r="U17" s="336">
        <f>SUM(U13:U16)</f>
      </c>
      <c r="V17" s="336">
        <f>SUM(V13:V16)</f>
      </c>
      <c r="W17" s="336">
        <f>SUM(W13:W16)</f>
      </c>
      <c r="X17" s="336">
        <f>SUM(X13:X16)</f>
      </c>
      <c r="Y17" s="295"/>
    </row>
    <row r="18">
      <c r="A18" s="321"/>
      <c r="B18" s="339" t="s">
        <v>726</v>
      </c>
      <c r="C18" s="339"/>
      <c r="D18" s="340">
        <f>D7+D12+D17</f>
      </c>
      <c r="E18" s="341">
        <f>E7+E12+E17</f>
      </c>
      <c r="F18" s="340">
        <f>F7+F12+F17</f>
      </c>
      <c r="G18" s="339">
        <f t="shared" si="64"/>
      </c>
      <c r="H18" s="339">
        <f t="shared" si="32"/>
      </c>
      <c r="I18" s="339">
        <f t="shared" si="40"/>
      </c>
      <c r="J18" s="342">
        <f t="shared" si="0"/>
      </c>
      <c r="K18" s="339">
        <f t="shared" si="48"/>
      </c>
      <c r="L18" s="342">
        <f t="shared" si="8"/>
      </c>
      <c r="M18" s="342">
        <f t="shared" si="16"/>
      </c>
      <c r="N18" s="342">
        <f t="shared" si="56"/>
      </c>
      <c r="O18" s="339">
        <f t="shared" si="24"/>
      </c>
      <c r="P18" s="343"/>
      <c r="Q18" s="343"/>
      <c r="R18" s="344">
        <f>R7+R12+R17</f>
      </c>
      <c r="S18" s="344">
        <f>S7+S12+S17</f>
      </c>
      <c r="T18" s="344">
        <f>T7+T12+T17</f>
      </c>
      <c r="U18" s="344">
        <f>U7+U12+U17</f>
      </c>
      <c r="V18" s="344">
        <f>V7+V12+V17</f>
      </c>
      <c r="W18" s="344">
        <f>W7+W12+W17</f>
      </c>
      <c r="X18" s="344">
        <f>X7+X12+X17</f>
      </c>
      <c r="Y18" s="295"/>
    </row>
    <row r="19">
      <c r="A19" s="291" t="s">
        <v>677</v>
      </c>
      <c r="B19" s="291"/>
      <c r="C19" s="291"/>
      <c r="D19" s="292" t="s">
        <v>678</v>
      </c>
      <c r="E19" s="292"/>
      <c r="F19" s="292"/>
      <c r="G19" s="292"/>
      <c r="H19" s="292"/>
      <c r="I19" s="292"/>
      <c r="J19" s="293" t="s">
        <v>679</v>
      </c>
      <c r="K19" s="293"/>
      <c r="L19" s="293"/>
      <c r="M19" s="293"/>
      <c r="N19" s="293"/>
      <c r="O19" s="293"/>
      <c r="P19" s="293"/>
      <c r="Q19" s="293"/>
      <c r="R19" s="345" t="s">
        <v>680</v>
      </c>
      <c r="S19" s="345"/>
      <c r="T19" s="345"/>
      <c r="U19" s="345"/>
      <c r="V19" s="345"/>
      <c r="W19" s="345"/>
      <c r="X19" s="345"/>
      <c r="Y19" s="295"/>
    </row>
    <row r="20">
      <c r="A20" s="296" t="s">
        <v>681</v>
      </c>
      <c r="B20" s="296" t="s">
        <v>682</v>
      </c>
      <c r="C20" s="296" t="s">
        <v>683</v>
      </c>
      <c r="D20" s="297" t="s">
        <v>684</v>
      </c>
      <c r="E20" s="298" t="s">
        <v>685</v>
      </c>
      <c r="F20" s="297" t="s">
        <v>686</v>
      </c>
      <c r="G20" s="299" t="s">
        <v>687</v>
      </c>
      <c r="H20" s="300" t="s">
        <v>688</v>
      </c>
      <c r="I20" s="297" t="s">
        <v>689</v>
      </c>
      <c r="J20" s="301" t="s">
        <v>690</v>
      </c>
      <c r="K20" s="302" t="s">
        <v>691</v>
      </c>
      <c r="L20" s="301" t="s">
        <v>692</v>
      </c>
      <c r="M20" s="301" t="s">
        <v>693</v>
      </c>
      <c r="N20" s="303" t="s">
        <v>694</v>
      </c>
      <c r="O20" s="303" t="s">
        <v>695</v>
      </c>
      <c r="P20" s="304" t="s">
        <v>696</v>
      </c>
      <c r="Q20" s="304" t="s">
        <v>697</v>
      </c>
      <c r="R20" s="346" t="s">
        <v>698</v>
      </c>
      <c r="S20" s="346" t="s">
        <v>699</v>
      </c>
      <c r="T20" s="347" t="s">
        <v>700</v>
      </c>
      <c r="U20" s="347" t="s">
        <v>701</v>
      </c>
      <c r="V20" s="347" t="s">
        <v>702</v>
      </c>
      <c r="W20" s="347" t="s">
        <v>703</v>
      </c>
      <c r="X20" s="347" t="s">
        <v>704</v>
      </c>
      <c r="Y20" s="295"/>
    </row>
    <row r="21">
      <c r="A21" s="307" t="s">
        <v>727</v>
      </c>
      <c r="B21" s="308" t="s">
        <v>706</v>
      </c>
      <c r="C21" s="309" t="s">
        <v>707</v>
      </c>
      <c r="D21" s="310">
        <v>2066.59</v>
      </c>
      <c r="E21" s="311">
        <v>1</v>
      </c>
      <c r="F21" s="308">
        <v>598</v>
      </c>
      <c r="G21" s="312">
        <f t="shared" ref="G21:G36" si="65">F21/D21</f>
      </c>
      <c r="H21" s="312">
        <f t="shared" ref="H21:H36" si="33">D21/E21</f>
      </c>
      <c r="I21" s="312">
        <f t="shared" ref="I21:I36" si="41">F21/E21</f>
      </c>
      <c r="J21" s="313">
        <f t="shared" ref="J21:J36" si="1">S21/R21</f>
      </c>
      <c r="K21" s="314">
        <f t="shared" ref="K21:K36" si="49">D21/T21</f>
      </c>
      <c r="L21" s="315">
        <f t="shared" ref="L21:L36" si="9">U21/T21</f>
      </c>
      <c r="M21" s="315">
        <f t="shared" ref="M21:M36" si="17">E21/V21</f>
      </c>
      <c r="N21" s="315">
        <f t="shared" ref="N21:N36" si="57">W21/E21</f>
      </c>
      <c r="O21" s="316">
        <f t="shared" ref="O21:O36" si="25">(X21*1000)/D21</f>
      </c>
      <c r="P21" s="317" t="s">
        <v>708</v>
      </c>
      <c r="Q21" s="318" t="s">
        <v>709</v>
      </c>
      <c r="R21" s="319">
        <v>11548</v>
      </c>
      <c r="S21" s="306">
        <v>626</v>
      </c>
      <c r="T21" s="319">
        <v>943</v>
      </c>
      <c r="U21" s="306">
        <v>122</v>
      </c>
      <c r="V21" s="320">
        <v>3</v>
      </c>
      <c r="W21" s="320">
        <v>0</v>
      </c>
      <c r="X21" s="320">
        <v>18</v>
      </c>
      <c r="Y21" s="295"/>
    </row>
    <row r="22">
      <c r="A22" s="307"/>
      <c r="B22" s="308" t="s">
        <v>706</v>
      </c>
      <c r="C22" s="310" t="s">
        <v>710</v>
      </c>
      <c r="D22" s="310">
        <v>1896.67</v>
      </c>
      <c r="E22" s="311">
        <v>1</v>
      </c>
      <c r="F22" s="308">
        <v>1197.6</v>
      </c>
      <c r="G22" s="312">
        <f t="shared" si="65"/>
      </c>
      <c r="H22" s="312">
        <f t="shared" si="33"/>
      </c>
      <c r="I22" s="312">
        <f t="shared" si="41"/>
      </c>
      <c r="J22" s="313">
        <f t="shared" si="1"/>
      </c>
      <c r="K22" s="314">
        <f t="shared" si="49"/>
      </c>
      <c r="L22" s="315">
        <f t="shared" si="9"/>
      </c>
      <c r="M22" s="315">
        <f t="shared" si="17"/>
      </c>
      <c r="N22" s="315">
        <f t="shared" si="57"/>
      </c>
      <c r="O22" s="316">
        <f t="shared" si="25"/>
      </c>
      <c r="P22" s="317" t="s">
        <v>708</v>
      </c>
      <c r="Q22" s="318" t="s">
        <v>709</v>
      </c>
      <c r="R22" s="319">
        <v>7256</v>
      </c>
      <c r="S22" s="306">
        <v>541</v>
      </c>
      <c r="T22" s="322">
        <v>824</v>
      </c>
      <c r="U22" s="322">
        <v>87</v>
      </c>
      <c r="V22" s="323">
        <v>2</v>
      </c>
      <c r="W22" s="323">
        <v>0</v>
      </c>
      <c r="X22" s="323">
        <v>13</v>
      </c>
      <c r="Y22" s="295"/>
    </row>
    <row r="23">
      <c r="A23" s="307"/>
      <c r="B23" s="308" t="s">
        <v>706</v>
      </c>
      <c r="C23" s="310" t="s">
        <v>711</v>
      </c>
      <c r="D23" s="310">
        <v>1778.7</v>
      </c>
      <c r="E23" s="311">
        <v>2</v>
      </c>
      <c r="F23" s="310">
        <v>3541.6</v>
      </c>
      <c r="G23" s="312">
        <f t="shared" si="65"/>
      </c>
      <c r="H23" s="312">
        <f t="shared" si="33"/>
      </c>
      <c r="I23" s="312">
        <f t="shared" si="41"/>
      </c>
      <c r="J23" s="313">
        <f t="shared" si="1"/>
      </c>
      <c r="K23" s="314">
        <f t="shared" si="49"/>
      </c>
      <c r="L23" s="315">
        <f t="shared" si="9"/>
      </c>
      <c r="M23" s="315">
        <f t="shared" si="17"/>
      </c>
      <c r="N23" s="315">
        <f t="shared" si="57"/>
      </c>
      <c r="O23" s="316">
        <f t="shared" si="25"/>
      </c>
      <c r="P23" s="317" t="s">
        <v>708</v>
      </c>
      <c r="Q23" s="318" t="s">
        <v>709</v>
      </c>
      <c r="R23" s="319">
        <v>4415</v>
      </c>
      <c r="S23" s="306">
        <v>564</v>
      </c>
      <c r="T23" s="324">
        <v>778</v>
      </c>
      <c r="U23" s="324">
        <v>86</v>
      </c>
      <c r="V23" s="325">
        <v>5</v>
      </c>
      <c r="W23" s="325">
        <v>0</v>
      </c>
      <c r="X23" s="325">
        <v>20</v>
      </c>
      <c r="Y23" s="295"/>
    </row>
    <row r="24">
      <c r="A24" s="307"/>
      <c r="B24" s="308" t="s">
        <v>706</v>
      </c>
      <c r="C24" s="310" t="s">
        <v>712</v>
      </c>
      <c r="D24" s="308">
        <v>2338.36</v>
      </c>
      <c r="E24" s="311">
        <v>3</v>
      </c>
      <c r="F24" s="308">
        <v>2626.8</v>
      </c>
      <c r="G24" s="312">
        <f t="shared" si="65"/>
      </c>
      <c r="H24" s="312">
        <f t="shared" si="33"/>
      </c>
      <c r="I24" s="312">
        <f t="shared" si="41"/>
      </c>
      <c r="J24" s="313">
        <f t="shared" si="1"/>
      </c>
      <c r="K24" s="314">
        <f t="shared" si="49"/>
      </c>
      <c r="L24" s="315">
        <f t="shared" si="9"/>
      </c>
      <c r="M24" s="315">
        <f t="shared" si="17"/>
      </c>
      <c r="N24" s="315">
        <f t="shared" si="57"/>
      </c>
      <c r="O24" s="316">
        <f t="shared" si="25"/>
      </c>
      <c r="P24" s="317" t="s">
        <v>708</v>
      </c>
      <c r="Q24" s="318" t="s">
        <v>709</v>
      </c>
      <c r="R24" s="319">
        <v>7294</v>
      </c>
      <c r="S24" s="306">
        <v>869</v>
      </c>
      <c r="T24" s="324">
        <v>1121</v>
      </c>
      <c r="U24" s="324">
        <v>114</v>
      </c>
      <c r="V24" s="325">
        <v>4</v>
      </c>
      <c r="W24" s="325">
        <v>0</v>
      </c>
      <c r="X24" s="325">
        <v>11</v>
      </c>
      <c r="Y24" s="295"/>
    </row>
    <row r="25">
      <c r="A25" s="307"/>
      <c r="B25" s="326" t="s">
        <v>713</v>
      </c>
      <c r="C25" s="326"/>
      <c r="D25" s="327">
        <f>SUM(D21:D24)</f>
      </c>
      <c r="E25" s="328">
        <f>SUM(E21:E24)</f>
      </c>
      <c r="F25" s="327">
        <f>SUM(F21:F24)</f>
      </c>
      <c r="G25" s="329">
        <f t="shared" si="65"/>
      </c>
      <c r="H25" s="330">
        <f t="shared" si="33"/>
      </c>
      <c r="I25" s="331">
        <f t="shared" si="41"/>
      </c>
      <c r="J25" s="332">
        <f t="shared" si="1"/>
      </c>
      <c r="K25" s="333">
        <f t="shared" si="49"/>
      </c>
      <c r="L25" s="332">
        <f t="shared" si="9"/>
      </c>
      <c r="M25" s="332">
        <f t="shared" si="17"/>
      </c>
      <c r="N25" s="334">
        <f t="shared" si="57"/>
      </c>
      <c r="O25" s="335">
        <f t="shared" si="25"/>
      </c>
      <c r="P25" s="333"/>
      <c r="Q25" s="333"/>
      <c r="R25" s="336">
        <f>SUM(R21:R24)</f>
      </c>
      <c r="S25" s="336">
        <f>SUM(S21:S24)</f>
      </c>
      <c r="T25" s="336">
        <f>SUM(T21:T24)</f>
      </c>
      <c r="U25" s="336">
        <f>SUM(U21:U24)</f>
      </c>
      <c r="V25" s="336">
        <f>SUM(V21:V24)</f>
      </c>
      <c r="W25" s="336">
        <f>SUM(W21:W24)</f>
      </c>
      <c r="X25" s="336">
        <f>SUM(X21:X24)</f>
      </c>
      <c r="Y25" s="295"/>
    </row>
    <row r="26">
      <c r="A26" s="307"/>
      <c r="B26" s="308" t="s">
        <v>714</v>
      </c>
      <c r="C26" s="310" t="s">
        <v>715</v>
      </c>
      <c r="D26" s="308">
        <v>1776.01</v>
      </c>
      <c r="E26" s="311">
        <v>2</v>
      </c>
      <c r="F26" s="308">
        <v>4141.2</v>
      </c>
      <c r="G26" s="312">
        <f t="shared" si="65"/>
      </c>
      <c r="H26" s="312">
        <f t="shared" si="33"/>
      </c>
      <c r="I26" s="312">
        <f t="shared" si="41"/>
      </c>
      <c r="J26" s="313">
        <f t="shared" si="1"/>
      </c>
      <c r="K26" s="314">
        <f t="shared" si="49"/>
      </c>
      <c r="L26" s="315">
        <f t="shared" si="9"/>
      </c>
      <c r="M26" s="315">
        <f t="shared" si="17"/>
      </c>
      <c r="N26" s="315">
        <f t="shared" si="57"/>
      </c>
      <c r="O26" s="316">
        <f t="shared" si="25"/>
      </c>
      <c r="P26" s="317" t="s">
        <v>716</v>
      </c>
      <c r="Q26" s="318" t="s">
        <v>717</v>
      </c>
      <c r="R26" s="324">
        <v>5964</v>
      </c>
      <c r="S26" s="324">
        <v>698</v>
      </c>
      <c r="T26" s="324">
        <v>970</v>
      </c>
      <c r="U26" s="324">
        <v>104</v>
      </c>
      <c r="V26" s="325">
        <v>2</v>
      </c>
      <c r="W26" s="325">
        <v>0</v>
      </c>
      <c r="X26" s="337">
        <v>23</v>
      </c>
      <c r="Y26" s="295"/>
    </row>
    <row r="27">
      <c r="A27" s="307"/>
      <c r="B27" s="308" t="s">
        <v>714</v>
      </c>
      <c r="C27" s="309" t="s">
        <v>718</v>
      </c>
      <c r="D27" s="308">
        <v>1445.08</v>
      </c>
      <c r="E27" s="311">
        <v>2</v>
      </c>
      <c r="F27" s="308">
        <v>2336.4</v>
      </c>
      <c r="G27" s="312">
        <f t="shared" si="65"/>
      </c>
      <c r="H27" s="312">
        <f t="shared" si="33"/>
      </c>
      <c r="I27" s="312">
        <f t="shared" si="41"/>
      </c>
      <c r="J27" s="313">
        <f t="shared" si="1"/>
      </c>
      <c r="K27" s="314">
        <f t="shared" si="49"/>
      </c>
      <c r="L27" s="315">
        <f t="shared" si="9"/>
      </c>
      <c r="M27" s="315">
        <f t="shared" si="17"/>
      </c>
      <c r="N27" s="315">
        <f t="shared" si="57"/>
      </c>
      <c r="O27" s="316">
        <f t="shared" si="25"/>
      </c>
      <c r="P27" s="317" t="s">
        <v>716</v>
      </c>
      <c r="Q27" s="318" t="s">
        <v>717</v>
      </c>
      <c r="R27" s="324">
        <v>5894</v>
      </c>
      <c r="S27" s="324">
        <v>645</v>
      </c>
      <c r="T27" s="324">
        <v>937</v>
      </c>
      <c r="U27" s="324">
        <v>124</v>
      </c>
      <c r="V27" s="325">
        <v>2</v>
      </c>
      <c r="W27" s="325">
        <v>1</v>
      </c>
      <c r="X27" s="337">
        <v>29</v>
      </c>
      <c r="Y27" s="295"/>
    </row>
    <row r="28">
      <c r="A28" s="307"/>
      <c r="B28" s="308" t="s">
        <v>714</v>
      </c>
      <c r="C28" s="309" t="s">
        <v>719</v>
      </c>
      <c r="D28" s="308">
        <v>1198.02</v>
      </c>
      <c r="E28" s="311">
        <v>1</v>
      </c>
      <c r="F28" s="308">
        <v>1632</v>
      </c>
      <c r="G28" s="312">
        <f t="shared" si="65"/>
      </c>
      <c r="H28" s="312">
        <f t="shared" si="33"/>
      </c>
      <c r="I28" s="312">
        <f t="shared" si="41"/>
      </c>
      <c r="J28" s="313">
        <f t="shared" si="1"/>
      </c>
      <c r="K28" s="314">
        <f t="shared" si="49"/>
      </c>
      <c r="L28" s="315">
        <f t="shared" si="9"/>
      </c>
      <c r="M28" s="315">
        <f t="shared" si="17"/>
      </c>
      <c r="N28" s="315">
        <f t="shared" si="57"/>
      </c>
      <c r="O28" s="316">
        <f t="shared" si="25"/>
      </c>
      <c r="P28" s="317" t="s">
        <v>716</v>
      </c>
      <c r="Q28" s="318" t="s">
        <v>717</v>
      </c>
      <c r="R28" s="324">
        <v>6364</v>
      </c>
      <c r="S28" s="324">
        <v>661</v>
      </c>
      <c r="T28" s="324">
        <v>926</v>
      </c>
      <c r="U28" s="324">
        <v>98</v>
      </c>
      <c r="V28" s="325">
        <v>1</v>
      </c>
      <c r="W28" s="325">
        <v>0</v>
      </c>
      <c r="X28" s="337">
        <v>31</v>
      </c>
      <c r="Y28" s="295"/>
    </row>
    <row r="29">
      <c r="A29" s="307"/>
      <c r="B29" s="308" t="s">
        <v>714</v>
      </c>
      <c r="C29" s="309" t="s">
        <v>720</v>
      </c>
      <c r="D29" s="308">
        <v>1253.53</v>
      </c>
      <c r="E29" s="311">
        <v>1</v>
      </c>
      <c r="F29" s="308">
        <v>598</v>
      </c>
      <c r="G29" s="312">
        <f t="shared" si="65"/>
      </c>
      <c r="H29" s="312">
        <f t="shared" si="33"/>
      </c>
      <c r="I29" s="312">
        <f t="shared" si="41"/>
      </c>
      <c r="J29" s="313">
        <f t="shared" si="1"/>
      </c>
      <c r="K29" s="314">
        <f t="shared" si="49"/>
      </c>
      <c r="L29" s="315">
        <f t="shared" si="9"/>
      </c>
      <c r="M29" s="315">
        <f t="shared" si="17"/>
      </c>
      <c r="N29" s="315">
        <f t="shared" si="57"/>
      </c>
      <c r="O29" s="316">
        <f t="shared" si="25"/>
      </c>
      <c r="P29" s="317" t="s">
        <v>716</v>
      </c>
      <c r="Q29" s="318" t="s">
        <v>717</v>
      </c>
      <c r="R29" s="324">
        <v>7565</v>
      </c>
      <c r="S29" s="324">
        <v>677</v>
      </c>
      <c r="T29" s="324">
        <v>974</v>
      </c>
      <c r="U29" s="324">
        <v>80</v>
      </c>
      <c r="V29" s="325">
        <v>3</v>
      </c>
      <c r="W29" s="325">
        <v>0</v>
      </c>
      <c r="X29" s="337">
        <v>24</v>
      </c>
      <c r="Y29" s="295"/>
    </row>
    <row r="30">
      <c r="A30" s="307"/>
      <c r="B30" s="326" t="s">
        <v>713</v>
      </c>
      <c r="C30" s="326"/>
      <c r="D30" s="327">
        <f>SUM(D26:D29)</f>
      </c>
      <c r="E30" s="328">
        <f>SUM(E26:E29)</f>
      </c>
      <c r="F30" s="327">
        <f>SUM(F26:F29)</f>
      </c>
      <c r="G30" s="329">
        <f t="shared" si="65"/>
      </c>
      <c r="H30" s="330">
        <f t="shared" si="33"/>
      </c>
      <c r="I30" s="331">
        <f t="shared" si="41"/>
      </c>
      <c r="J30" s="332">
        <f t="shared" si="1"/>
      </c>
      <c r="K30" s="333">
        <f t="shared" si="49"/>
      </c>
      <c r="L30" s="332">
        <f t="shared" si="9"/>
      </c>
      <c r="M30" s="332">
        <f t="shared" si="17"/>
      </c>
      <c r="N30" s="334">
        <f t="shared" si="57"/>
      </c>
      <c r="O30" s="335">
        <f t="shared" si="25"/>
      </c>
      <c r="P30" s="333"/>
      <c r="Q30" s="333"/>
      <c r="R30" s="336">
        <f>SUM(R26:R29)</f>
      </c>
      <c r="S30" s="336">
        <f>SUM(S26:S29)</f>
      </c>
      <c r="T30" s="336">
        <f>SUM(T26:T29)</f>
      </c>
      <c r="U30" s="336">
        <f>SUM(U26:U29)</f>
      </c>
      <c r="V30" s="336">
        <f>SUM(V26:V29)</f>
      </c>
      <c r="W30" s="336">
        <f>SUM(W26:W29)</f>
      </c>
      <c r="X30" s="336">
        <f>SUM(X26:X29)</f>
      </c>
      <c r="Y30" s="295"/>
    </row>
    <row r="31">
      <c r="A31" s="307"/>
      <c r="B31" s="308" t="s">
        <v>721</v>
      </c>
      <c r="C31" s="309" t="s">
        <v>722</v>
      </c>
      <c r="D31" s="308">
        <v>2138.56</v>
      </c>
      <c r="E31" s="311">
        <v>2</v>
      </c>
      <c r="F31" s="308">
        <v>2276.4</v>
      </c>
      <c r="G31" s="312">
        <f t="shared" si="65"/>
      </c>
      <c r="H31" s="312">
        <f t="shared" si="33"/>
      </c>
      <c r="I31" s="312">
        <f t="shared" si="41"/>
      </c>
      <c r="J31" s="313">
        <f t="shared" si="1"/>
      </c>
      <c r="K31" s="314">
        <f t="shared" si="49"/>
      </c>
      <c r="L31" s="315">
        <f t="shared" si="9"/>
      </c>
      <c r="M31" s="315">
        <f t="shared" si="17"/>
      </c>
      <c r="N31" s="315">
        <f t="shared" si="57"/>
      </c>
      <c r="O31" s="316">
        <f t="shared" si="25"/>
      </c>
      <c r="P31" s="317" t="s">
        <v>716</v>
      </c>
      <c r="Q31" s="318" t="s">
        <v>717</v>
      </c>
      <c r="R31" s="324">
        <v>12058</v>
      </c>
      <c r="S31" s="324">
        <v>938</v>
      </c>
      <c r="T31" s="324">
        <v>1282</v>
      </c>
      <c r="U31" s="324">
        <v>89</v>
      </c>
      <c r="V31" s="325">
        <v>2</v>
      </c>
      <c r="W31" s="325">
        <v>0</v>
      </c>
      <c r="X31" s="337">
        <v>22</v>
      </c>
      <c r="Y31" s="295"/>
    </row>
    <row r="32">
      <c r="A32" s="307"/>
      <c r="B32" s="308" t="s">
        <v>721</v>
      </c>
      <c r="C32" s="338" t="s">
        <v>723</v>
      </c>
      <c r="D32" s="308">
        <v>3514.21</v>
      </c>
      <c r="E32" s="311">
        <v>2</v>
      </c>
      <c r="F32" s="308">
        <v>2141.3</v>
      </c>
      <c r="G32" s="312">
        <f t="shared" si="65"/>
      </c>
      <c r="H32" s="312">
        <f t="shared" si="33"/>
      </c>
      <c r="I32" s="312">
        <f t="shared" si="41"/>
      </c>
      <c r="J32" s="313">
        <f t="shared" si="1"/>
      </c>
      <c r="K32" s="314">
        <f t="shared" si="49"/>
      </c>
      <c r="L32" s="315">
        <f t="shared" si="9"/>
      </c>
      <c r="M32" s="315">
        <f t="shared" si="17"/>
      </c>
      <c r="N32" s="315">
        <f t="shared" si="57"/>
      </c>
      <c r="O32" s="316">
        <f t="shared" si="25"/>
      </c>
      <c r="P32" s="317" t="s">
        <v>716</v>
      </c>
      <c r="Q32" s="318" t="s">
        <v>717</v>
      </c>
      <c r="R32" s="324">
        <v>18103</v>
      </c>
      <c r="S32" s="324">
        <v>1406</v>
      </c>
      <c r="T32" s="324">
        <v>1858</v>
      </c>
      <c r="U32" s="324">
        <v>161</v>
      </c>
      <c r="V32" s="325">
        <v>4</v>
      </c>
      <c r="W32" s="325">
        <v>1</v>
      </c>
      <c r="X32" s="337">
        <v>42</v>
      </c>
      <c r="Y32" s="295"/>
    </row>
    <row r="33">
      <c r="A33" s="307"/>
      <c r="B33" s="308" t="s">
        <v>721</v>
      </c>
      <c r="C33" s="338" t="s">
        <v>724</v>
      </c>
      <c r="D33" s="308">
        <v>2722.24</v>
      </c>
      <c r="E33" s="311">
        <v>5</v>
      </c>
      <c r="F33" s="308">
        <v>4548</v>
      </c>
      <c r="G33" s="312">
        <f t="shared" si="65"/>
      </c>
      <c r="H33" s="312">
        <f t="shared" si="33"/>
      </c>
      <c r="I33" s="312">
        <f t="shared" si="41"/>
      </c>
      <c r="J33" s="313">
        <f t="shared" si="1"/>
      </c>
      <c r="K33" s="314">
        <f t="shared" si="49"/>
      </c>
      <c r="L33" s="315">
        <f t="shared" si="9"/>
      </c>
      <c r="M33" s="315">
        <f t="shared" si="17"/>
      </c>
      <c r="N33" s="315">
        <f t="shared" si="57"/>
      </c>
      <c r="O33" s="316">
        <f t="shared" si="25"/>
      </c>
      <c r="P33" s="317" t="s">
        <v>716</v>
      </c>
      <c r="Q33" s="318" t="s">
        <v>717</v>
      </c>
      <c r="R33" s="324">
        <v>17748</v>
      </c>
      <c r="S33" s="324">
        <v>1256</v>
      </c>
      <c r="T33" s="324">
        <v>1664</v>
      </c>
      <c r="U33" s="324">
        <v>129</v>
      </c>
      <c r="V33" s="325">
        <v>7</v>
      </c>
      <c r="W33" s="325">
        <v>0</v>
      </c>
      <c r="X33" s="337">
        <v>31</v>
      </c>
      <c r="Y33" s="295"/>
    </row>
    <row r="34">
      <c r="A34" s="307"/>
      <c r="B34" s="308" t="s">
        <v>721</v>
      </c>
      <c r="C34" s="338" t="s">
        <v>725</v>
      </c>
      <c r="D34" s="308">
        <v>1438.55</v>
      </c>
      <c r="E34" s="311">
        <v>10</v>
      </c>
      <c r="F34" s="308">
        <v>12994.3</v>
      </c>
      <c r="G34" s="312">
        <f t="shared" si="65"/>
      </c>
      <c r="H34" s="312">
        <f t="shared" si="33"/>
      </c>
      <c r="I34" s="312">
        <f t="shared" si="41"/>
      </c>
      <c r="J34" s="313">
        <f t="shared" si="1"/>
      </c>
      <c r="K34" s="314">
        <f t="shared" si="49"/>
      </c>
      <c r="L34" s="315">
        <f t="shared" si="9"/>
      </c>
      <c r="M34" s="315">
        <f t="shared" si="17"/>
      </c>
      <c r="N34" s="315">
        <f t="shared" si="57"/>
      </c>
      <c r="O34" s="316">
        <f t="shared" si="25"/>
      </c>
      <c r="P34" s="317" t="s">
        <v>716</v>
      </c>
      <c r="Q34" s="318" t="s">
        <v>717</v>
      </c>
      <c r="R34" s="324">
        <v>11822</v>
      </c>
      <c r="S34" s="324">
        <v>799</v>
      </c>
      <c r="T34" s="324">
        <v>1118</v>
      </c>
      <c r="U34" s="324">
        <v>74</v>
      </c>
      <c r="V34" s="325">
        <v>13</v>
      </c>
      <c r="W34" s="325">
        <v>3</v>
      </c>
      <c r="X34" s="337">
        <v>21</v>
      </c>
      <c r="Y34" s="295"/>
    </row>
    <row r="35">
      <c r="A35" s="307"/>
      <c r="B35" s="326" t="s">
        <v>713</v>
      </c>
      <c r="C35" s="326"/>
      <c r="D35" s="327">
        <f>SUM(D31:D34)</f>
      </c>
      <c r="E35" s="328">
        <f>SUM(E31:E34)</f>
      </c>
      <c r="F35" s="327">
        <f>SUM(F31:F34)</f>
      </c>
      <c r="G35" s="329">
        <f t="shared" si="65"/>
      </c>
      <c r="H35" s="330">
        <f t="shared" si="33"/>
      </c>
      <c r="I35" s="331">
        <f t="shared" si="41"/>
      </c>
      <c r="J35" s="332">
        <f t="shared" si="1"/>
      </c>
      <c r="K35" s="333">
        <f t="shared" si="49"/>
      </c>
      <c r="L35" s="332">
        <f t="shared" si="9"/>
      </c>
      <c r="M35" s="332">
        <f t="shared" si="17"/>
      </c>
      <c r="N35" s="334">
        <f t="shared" si="57"/>
      </c>
      <c r="O35" s="335">
        <f t="shared" si="25"/>
      </c>
      <c r="P35" s="333"/>
      <c r="Q35" s="333"/>
      <c r="R35" s="336">
        <f>SUM(R31:R34)</f>
      </c>
      <c r="S35" s="336">
        <f>SUM(S31:S34)</f>
      </c>
      <c r="T35" s="336">
        <f>SUM(T31:T34)</f>
      </c>
      <c r="U35" s="336">
        <f>SUM(U31:U34)</f>
      </c>
      <c r="V35" s="336">
        <f>SUM(V31:V34)</f>
      </c>
      <c r="W35" s="336">
        <f>SUM(W31:W34)</f>
      </c>
      <c r="X35" s="336">
        <f>SUM(X31:X34)</f>
      </c>
      <c r="Y35" s="295"/>
    </row>
    <row r="36">
      <c r="A36" s="307"/>
      <c r="B36" s="339" t="s">
        <v>726</v>
      </c>
      <c r="C36" s="339"/>
      <c r="D36" s="340">
        <f>D25+D30+D35</f>
      </c>
      <c r="E36" s="341">
        <f>E25+E30+E35</f>
      </c>
      <c r="F36" s="340">
        <f>F25+F30+F35</f>
      </c>
      <c r="G36" s="339">
        <f t="shared" si="65"/>
      </c>
      <c r="H36" s="339">
        <f t="shared" si="33"/>
      </c>
      <c r="I36" s="339">
        <f t="shared" si="41"/>
      </c>
      <c r="J36" s="342">
        <f t="shared" si="1"/>
      </c>
      <c r="K36" s="339">
        <f t="shared" si="49"/>
      </c>
      <c r="L36" s="342">
        <f t="shared" si="9"/>
      </c>
      <c r="M36" s="342">
        <f t="shared" si="17"/>
      </c>
      <c r="N36" s="342">
        <f t="shared" si="57"/>
      </c>
      <c r="O36" s="339">
        <f t="shared" si="25"/>
      </c>
      <c r="P36" s="343"/>
      <c r="Q36" s="343"/>
      <c r="R36" s="344">
        <f>R25+R30+R35</f>
      </c>
      <c r="S36" s="344">
        <f>S25+S30+S35</f>
      </c>
      <c r="T36" s="344">
        <f>T25+T30+T35</f>
      </c>
      <c r="U36" s="344">
        <f>U25+U30+U35</f>
      </c>
      <c r="V36" s="344">
        <f>V25+V30+V35</f>
      </c>
      <c r="W36" s="344">
        <f>W25+W30+W35</f>
      </c>
      <c r="X36" s="344">
        <f>X25+X30+X35</f>
      </c>
      <c r="Y36" s="295"/>
    </row>
    <row r="37">
      <c r="A37" s="291" t="s">
        <v>677</v>
      </c>
      <c r="B37" s="291"/>
      <c r="C37" s="291"/>
      <c r="D37" s="292" t="s">
        <v>678</v>
      </c>
      <c r="E37" s="292"/>
      <c r="F37" s="292"/>
      <c r="G37" s="292"/>
      <c r="H37" s="292"/>
      <c r="I37" s="292"/>
      <c r="J37" s="293" t="s">
        <v>679</v>
      </c>
      <c r="K37" s="293"/>
      <c r="L37" s="293"/>
      <c r="M37" s="293"/>
      <c r="N37" s="293"/>
      <c r="O37" s="293"/>
      <c r="P37" s="293"/>
      <c r="Q37" s="293"/>
      <c r="R37" s="345" t="s">
        <v>680</v>
      </c>
      <c r="S37" s="345"/>
      <c r="T37" s="345"/>
      <c r="U37" s="345"/>
      <c r="V37" s="345"/>
      <c r="W37" s="345"/>
      <c r="X37" s="345"/>
      <c r="Y37" s="295"/>
    </row>
    <row r="38">
      <c r="A38" s="296" t="s">
        <v>681</v>
      </c>
      <c r="B38" s="296" t="s">
        <v>682</v>
      </c>
      <c r="C38" s="296" t="s">
        <v>683</v>
      </c>
      <c r="D38" s="297" t="s">
        <v>684</v>
      </c>
      <c r="E38" s="298" t="s">
        <v>685</v>
      </c>
      <c r="F38" s="297" t="s">
        <v>686</v>
      </c>
      <c r="G38" s="299" t="s">
        <v>687</v>
      </c>
      <c r="H38" s="300" t="s">
        <v>688</v>
      </c>
      <c r="I38" s="297" t="s">
        <v>689</v>
      </c>
      <c r="J38" s="301" t="s">
        <v>690</v>
      </c>
      <c r="K38" s="302" t="s">
        <v>691</v>
      </c>
      <c r="L38" s="301" t="s">
        <v>692</v>
      </c>
      <c r="M38" s="301" t="s">
        <v>693</v>
      </c>
      <c r="N38" s="303" t="s">
        <v>694</v>
      </c>
      <c r="O38" s="303" t="s">
        <v>695</v>
      </c>
      <c r="P38" s="304" t="s">
        <v>696</v>
      </c>
      <c r="Q38" s="304" t="s">
        <v>697</v>
      </c>
      <c r="R38" s="346" t="s">
        <v>698</v>
      </c>
      <c r="S38" s="346" t="s">
        <v>699</v>
      </c>
      <c r="T38" s="347" t="s">
        <v>700</v>
      </c>
      <c r="U38" s="347" t="s">
        <v>701</v>
      </c>
      <c r="V38" s="347" t="s">
        <v>702</v>
      </c>
      <c r="W38" s="347" t="s">
        <v>703</v>
      </c>
      <c r="X38" s="347" t="s">
        <v>704</v>
      </c>
      <c r="Y38" s="295"/>
    </row>
    <row r="39">
      <c r="A39" s="307" t="s">
        <v>728</v>
      </c>
      <c r="B39" s="308" t="s">
        <v>706</v>
      </c>
      <c r="C39" s="309" t="s">
        <v>707</v>
      </c>
      <c r="D39" s="348">
        <v>2076.17</v>
      </c>
      <c r="E39" s="311">
        <v>3</v>
      </c>
      <c r="F39" s="349">
        <v>2797.2</v>
      </c>
      <c r="G39" s="312">
        <f t="shared" ref="G39:G54" si="66">F39/D39</f>
      </c>
      <c r="H39" s="312">
        <f t="shared" ref="H39:H54" si="34">D39/E39</f>
      </c>
      <c r="I39" s="312">
        <f t="shared" ref="I39:I54" si="42">F39/E39</f>
      </c>
      <c r="J39" s="313">
        <f t="shared" ref="J39:J54" si="2">S39/R39</f>
      </c>
      <c r="K39" s="314">
        <f t="shared" ref="K39:K54" si="50">D39/T39</f>
      </c>
      <c r="L39" s="315">
        <f t="shared" ref="L39:L54" si="10">U39/T39</f>
      </c>
      <c r="M39" s="315">
        <f t="shared" ref="M39:M54" si="18">E39/V39</f>
      </c>
      <c r="N39" s="315">
        <f t="shared" ref="N39:N54" si="58">W39/E39</f>
      </c>
      <c r="O39" s="316">
        <f t="shared" ref="O39:O54" si="26">(X39*1000)/D39</f>
      </c>
      <c r="P39" s="317" t="s">
        <v>708</v>
      </c>
      <c r="Q39" s="318" t="s">
        <v>729</v>
      </c>
      <c r="R39" s="319">
        <v>15810</v>
      </c>
      <c r="S39" s="306">
        <v>874</v>
      </c>
      <c r="T39" s="319">
        <v>1253</v>
      </c>
      <c r="U39" s="306">
        <v>153</v>
      </c>
      <c r="V39" s="320">
        <v>6</v>
      </c>
      <c r="W39" s="320">
        <v>0</v>
      </c>
      <c r="X39" s="349">
        <v>32</v>
      </c>
      <c r="Y39" s="295"/>
    </row>
    <row r="40">
      <c r="A40" s="307"/>
      <c r="B40" s="308" t="s">
        <v>706</v>
      </c>
      <c r="C40" s="310" t="s">
        <v>710</v>
      </c>
      <c r="D40" s="348">
        <v>3176.38</v>
      </c>
      <c r="E40" s="311">
        <v>2</v>
      </c>
      <c r="F40" s="349">
        <v>3704.4</v>
      </c>
      <c r="G40" s="312">
        <f t="shared" si="66"/>
      </c>
      <c r="H40" s="312">
        <f t="shared" si="34"/>
      </c>
      <c r="I40" s="312">
        <f t="shared" si="42"/>
      </c>
      <c r="J40" s="313">
        <f t="shared" si="2"/>
      </c>
      <c r="K40" s="314">
        <f t="shared" si="50"/>
      </c>
      <c r="L40" s="315">
        <f t="shared" si="10"/>
      </c>
      <c r="M40" s="315">
        <f t="shared" si="18"/>
      </c>
      <c r="N40" s="315">
        <f t="shared" si="58"/>
      </c>
      <c r="O40" s="316">
        <f t="shared" si="26"/>
      </c>
      <c r="P40" s="317" t="s">
        <v>708</v>
      </c>
      <c r="Q40" s="318" t="s">
        <v>729</v>
      </c>
      <c r="R40" s="319">
        <v>18060</v>
      </c>
      <c r="S40" s="306">
        <v>1186</v>
      </c>
      <c r="T40" s="322">
        <v>1599</v>
      </c>
      <c r="U40" s="322">
        <v>174</v>
      </c>
      <c r="V40" s="323">
        <v>7</v>
      </c>
      <c r="W40" s="320">
        <v>0</v>
      </c>
      <c r="X40" s="349">
        <v>22</v>
      </c>
      <c r="Y40" s="295"/>
    </row>
    <row r="41">
      <c r="A41" s="307"/>
      <c r="B41" s="308" t="s">
        <v>706</v>
      </c>
      <c r="C41" s="310" t="s">
        <v>711</v>
      </c>
      <c r="D41" s="348">
        <v>2388.97</v>
      </c>
      <c r="E41" s="311">
        <v>2</v>
      </c>
      <c r="F41" s="349">
        <v>4141.2</v>
      </c>
      <c r="G41" s="312">
        <f t="shared" si="66"/>
      </c>
      <c r="H41" s="312">
        <f t="shared" si="34"/>
      </c>
      <c r="I41" s="312">
        <f t="shared" si="42"/>
      </c>
      <c r="J41" s="313">
        <f t="shared" si="2"/>
      </c>
      <c r="K41" s="314">
        <f t="shared" si="50"/>
      </c>
      <c r="L41" s="315">
        <f t="shared" si="10"/>
      </c>
      <c r="M41" s="315">
        <f t="shared" si="18"/>
      </c>
      <c r="N41" s="315">
        <f t="shared" si="58"/>
      </c>
      <c r="O41" s="316">
        <f t="shared" si="26"/>
      </c>
      <c r="P41" s="317" t="s">
        <v>708</v>
      </c>
      <c r="Q41" s="318" t="s">
        <v>729</v>
      </c>
      <c r="R41" s="319">
        <v>15036</v>
      </c>
      <c r="S41" s="306">
        <v>992</v>
      </c>
      <c r="T41" s="324">
        <v>1388</v>
      </c>
      <c r="U41" s="324">
        <v>134</v>
      </c>
      <c r="V41" s="325">
        <v>2</v>
      </c>
      <c r="W41" s="320">
        <v>0</v>
      </c>
      <c r="X41" s="349">
        <v>21</v>
      </c>
      <c r="Y41" s="295"/>
    </row>
    <row r="42">
      <c r="A42" s="307"/>
      <c r="B42" s="308" t="s">
        <v>706</v>
      </c>
      <c r="C42" s="310" t="s">
        <v>712</v>
      </c>
      <c r="D42" s="348">
        <v>2857.46</v>
      </c>
      <c r="E42" s="311">
        <v>4</v>
      </c>
      <c r="F42" s="349">
        <v>3164.4</v>
      </c>
      <c r="G42" s="312">
        <f t="shared" si="66"/>
      </c>
      <c r="H42" s="312">
        <f t="shared" si="34"/>
      </c>
      <c r="I42" s="312">
        <f t="shared" si="42"/>
      </c>
      <c r="J42" s="313">
        <f t="shared" si="2"/>
      </c>
      <c r="K42" s="314">
        <f t="shared" si="50"/>
      </c>
      <c r="L42" s="315">
        <f t="shared" si="10"/>
      </c>
      <c r="M42" s="315">
        <f t="shared" si="18"/>
      </c>
      <c r="N42" s="315">
        <f t="shared" si="58"/>
      </c>
      <c r="O42" s="316">
        <f t="shared" si="26"/>
      </c>
      <c r="P42" s="317" t="s">
        <v>708</v>
      </c>
      <c r="Q42" s="318" t="s">
        <v>729</v>
      </c>
      <c r="R42" s="319">
        <v>10952</v>
      </c>
      <c r="S42" s="306">
        <v>792</v>
      </c>
      <c r="T42" s="324">
        <v>1091</v>
      </c>
      <c r="U42" s="324">
        <v>121</v>
      </c>
      <c r="V42" s="325">
        <v>7</v>
      </c>
      <c r="W42" s="320">
        <v>0</v>
      </c>
      <c r="X42" s="349">
        <f>X28</f>
      </c>
      <c r="Y42" s="295"/>
    </row>
    <row r="43">
      <c r="A43" s="307"/>
      <c r="B43" s="326" t="s">
        <v>713</v>
      </c>
      <c r="C43" s="326"/>
      <c r="D43" s="327">
        <f>SUM(D39:D42)</f>
      </c>
      <c r="E43" s="328">
        <f>SUM(E39:E42)</f>
      </c>
      <c r="F43" s="327">
        <f>SUM(F39:F42)</f>
      </c>
      <c r="G43" s="329">
        <f t="shared" si="66"/>
      </c>
      <c r="H43" s="330">
        <f t="shared" si="34"/>
      </c>
      <c r="I43" s="331">
        <f t="shared" si="42"/>
      </c>
      <c r="J43" s="332">
        <f t="shared" si="2"/>
      </c>
      <c r="K43" s="333">
        <f t="shared" si="50"/>
      </c>
      <c r="L43" s="332">
        <f t="shared" si="10"/>
      </c>
      <c r="M43" s="332">
        <f t="shared" si="18"/>
      </c>
      <c r="N43" s="334">
        <f t="shared" si="58"/>
      </c>
      <c r="O43" s="335">
        <f t="shared" si="26"/>
      </c>
      <c r="P43" s="333"/>
      <c r="Q43" s="333"/>
      <c r="R43" s="336">
        <f>SUM(R39:R42)</f>
      </c>
      <c r="S43" s="336">
        <f>SUM(S39:S42)</f>
      </c>
      <c r="T43" s="336">
        <f>SUM(T39:T42)</f>
      </c>
      <c r="U43" s="336">
        <f>SUM(U39:U42)</f>
      </c>
      <c r="V43" s="336">
        <f>SUM(V39:V42)</f>
      </c>
      <c r="W43" s="336">
        <f>SUM(W39:W42)</f>
      </c>
      <c r="X43" s="336">
        <f>SUM(X39:X42)</f>
      </c>
      <c r="Y43" s="295"/>
    </row>
    <row r="44">
      <c r="A44" s="307"/>
      <c r="B44" s="308" t="s">
        <v>714</v>
      </c>
      <c r="C44" s="310" t="s">
        <v>715</v>
      </c>
      <c r="D44" s="308">
        <v>2541.82</v>
      </c>
      <c r="E44" s="311">
        <v>2</v>
      </c>
      <c r="F44" s="308">
        <v>2395.2</v>
      </c>
      <c r="G44" s="312">
        <f t="shared" si="66"/>
      </c>
      <c r="H44" s="312">
        <f t="shared" si="34"/>
      </c>
      <c r="I44" s="312">
        <f t="shared" si="42"/>
      </c>
      <c r="J44" s="313">
        <f t="shared" si="2"/>
      </c>
      <c r="K44" s="314">
        <f t="shared" si="50"/>
      </c>
      <c r="L44" s="315">
        <f t="shared" si="10"/>
      </c>
      <c r="M44" s="315">
        <f t="shared" si="18"/>
      </c>
      <c r="N44" s="315">
        <f t="shared" si="58"/>
      </c>
      <c r="O44" s="316">
        <f t="shared" si="26"/>
      </c>
      <c r="P44" s="317" t="s">
        <v>716</v>
      </c>
      <c r="Q44" s="318" t="s">
        <v>717</v>
      </c>
      <c r="R44" s="324">
        <v>8046</v>
      </c>
      <c r="S44" s="324">
        <v>587</v>
      </c>
      <c r="T44" s="324">
        <v>787</v>
      </c>
      <c r="U44" s="324">
        <v>99</v>
      </c>
      <c r="V44" s="325">
        <v>5</v>
      </c>
      <c r="W44" s="325">
        <v>0</v>
      </c>
      <c r="X44" s="337">
        <v>24</v>
      </c>
      <c r="Y44" s="295"/>
    </row>
    <row r="45">
      <c r="A45" s="307"/>
      <c r="B45" s="308" t="s">
        <v>714</v>
      </c>
      <c r="C45" s="309" t="s">
        <v>718</v>
      </c>
      <c r="D45" s="308">
        <v>2244.59</v>
      </c>
      <c r="E45" s="311">
        <v>3</v>
      </c>
      <c r="F45" s="308">
        <v>3534</v>
      </c>
      <c r="G45" s="312">
        <f t="shared" si="66"/>
      </c>
      <c r="H45" s="312">
        <f t="shared" si="34"/>
      </c>
      <c r="I45" s="312">
        <f t="shared" si="42"/>
      </c>
      <c r="J45" s="313">
        <f t="shared" si="2"/>
      </c>
      <c r="K45" s="314">
        <f t="shared" si="50"/>
      </c>
      <c r="L45" s="315">
        <f t="shared" si="10"/>
      </c>
      <c r="M45" s="315">
        <f t="shared" si="18"/>
      </c>
      <c r="N45" s="315">
        <f t="shared" si="58"/>
      </c>
      <c r="O45" s="316">
        <f t="shared" si="26"/>
      </c>
      <c r="P45" s="317" t="s">
        <v>716</v>
      </c>
      <c r="Q45" s="318" t="s">
        <v>717</v>
      </c>
      <c r="R45" s="324">
        <v>8010</v>
      </c>
      <c r="S45" s="324">
        <v>571</v>
      </c>
      <c r="T45" s="324">
        <v>781</v>
      </c>
      <c r="U45" s="324">
        <v>84</v>
      </c>
      <c r="V45" s="325">
        <v>8</v>
      </c>
      <c r="W45" s="325">
        <v>1</v>
      </c>
      <c r="X45" s="337">
        <v>27</v>
      </c>
      <c r="Y45" s="295"/>
    </row>
    <row r="46">
      <c r="A46" s="307"/>
      <c r="B46" s="308" t="s">
        <v>714</v>
      </c>
      <c r="C46" s="309" t="s">
        <v>719</v>
      </c>
      <c r="D46" s="308">
        <v>2512.77</v>
      </c>
      <c r="E46" s="311">
        <v>4</v>
      </c>
      <c r="F46" s="308">
        <v>3896.4</v>
      </c>
      <c r="G46" s="312">
        <f t="shared" si="66"/>
      </c>
      <c r="H46" s="312">
        <f t="shared" si="34"/>
      </c>
      <c r="I46" s="312">
        <f t="shared" si="42"/>
      </c>
      <c r="J46" s="313">
        <f t="shared" si="2"/>
      </c>
      <c r="K46" s="314">
        <f t="shared" si="50"/>
      </c>
      <c r="L46" s="315">
        <f t="shared" si="10"/>
      </c>
      <c r="M46" s="315">
        <f t="shared" si="18"/>
      </c>
      <c r="N46" s="315">
        <f t="shared" si="58"/>
      </c>
      <c r="O46" s="316">
        <f t="shared" si="26"/>
      </c>
      <c r="P46" s="317" t="s">
        <v>716</v>
      </c>
      <c r="Q46" s="318" t="s">
        <v>717</v>
      </c>
      <c r="R46" s="324">
        <v>10379</v>
      </c>
      <c r="S46" s="324">
        <v>769</v>
      </c>
      <c r="T46" s="324">
        <v>1073</v>
      </c>
      <c r="U46" s="324">
        <v>117</v>
      </c>
      <c r="V46" s="325">
        <v>5</v>
      </c>
      <c r="W46" s="325">
        <v>1</v>
      </c>
      <c r="X46" s="337">
        <v>29</v>
      </c>
      <c r="Y46" s="295"/>
    </row>
    <row r="47">
      <c r="A47" s="307"/>
      <c r="B47" s="308" t="s">
        <v>714</v>
      </c>
      <c r="C47" s="309" t="s">
        <v>720</v>
      </c>
      <c r="D47" s="308">
        <v>2678.3</v>
      </c>
      <c r="E47" s="311">
        <v>2</v>
      </c>
      <c r="F47" s="308">
        <v>1373.6</v>
      </c>
      <c r="G47" s="312">
        <f t="shared" si="66"/>
      </c>
      <c r="H47" s="312">
        <f t="shared" si="34"/>
      </c>
      <c r="I47" s="312">
        <f t="shared" si="42"/>
      </c>
      <c r="J47" s="313">
        <f t="shared" si="2"/>
      </c>
      <c r="K47" s="314">
        <f t="shared" si="50"/>
      </c>
      <c r="L47" s="315">
        <f t="shared" si="10"/>
      </c>
      <c r="M47" s="315">
        <f t="shared" si="18"/>
      </c>
      <c r="N47" s="315">
        <f t="shared" si="58"/>
      </c>
      <c r="O47" s="316">
        <f t="shared" si="26"/>
      </c>
      <c r="P47" s="317" t="s">
        <v>716</v>
      </c>
      <c r="Q47" s="318" t="s">
        <v>717</v>
      </c>
      <c r="R47" s="324">
        <v>13043</v>
      </c>
      <c r="S47" s="324">
        <v>1025</v>
      </c>
      <c r="T47" s="324">
        <v>1369</v>
      </c>
      <c r="U47" s="324">
        <v>100</v>
      </c>
      <c r="V47" s="325">
        <v>4</v>
      </c>
      <c r="W47" s="325">
        <v>0</v>
      </c>
      <c r="X47" s="337">
        <v>15</v>
      </c>
      <c r="Y47" s="295"/>
    </row>
    <row r="48">
      <c r="A48" s="307"/>
      <c r="B48" s="326" t="s">
        <v>713</v>
      </c>
      <c r="C48" s="326"/>
      <c r="D48" s="327">
        <f>SUM(D44:D47)</f>
      </c>
      <c r="E48" s="328">
        <f>SUM(E44:E47)</f>
      </c>
      <c r="F48" s="327">
        <f>SUM(F44:F47)</f>
      </c>
      <c r="G48" s="329">
        <f t="shared" si="66"/>
      </c>
      <c r="H48" s="330">
        <f t="shared" si="34"/>
      </c>
      <c r="I48" s="331">
        <f t="shared" si="42"/>
      </c>
      <c r="J48" s="332">
        <f t="shared" si="2"/>
      </c>
      <c r="K48" s="333">
        <f t="shared" si="50"/>
      </c>
      <c r="L48" s="332">
        <f t="shared" si="10"/>
      </c>
      <c r="M48" s="332">
        <f t="shared" si="18"/>
      </c>
      <c r="N48" s="334">
        <f t="shared" si="58"/>
      </c>
      <c r="O48" s="335">
        <f t="shared" si="26"/>
      </c>
      <c r="P48" s="333"/>
      <c r="Q48" s="333"/>
      <c r="R48" s="336">
        <f>SUM(R44:R47)</f>
      </c>
      <c r="S48" s="336">
        <f>SUM(S44:S47)</f>
      </c>
      <c r="T48" s="336">
        <f>SUM(T44:T47)</f>
      </c>
      <c r="U48" s="336">
        <f>SUM(U44:U47)</f>
      </c>
      <c r="V48" s="336">
        <f>SUM(V44:V47)</f>
      </c>
      <c r="W48" s="336">
        <f>SUM(W44:W47)</f>
      </c>
      <c r="X48" s="336">
        <f>SUM(X44:X47)</f>
      </c>
    </row>
    <row r="49">
      <c r="A49" s="307"/>
      <c r="B49" s="308" t="s">
        <v>721</v>
      </c>
      <c r="C49" s="309" t="s">
        <v>722</v>
      </c>
      <c r="D49" s="308">
        <v>2727.28</v>
      </c>
      <c r="E49" s="311">
        <v>4</v>
      </c>
      <c r="F49" s="308">
        <v>4245.6</v>
      </c>
      <c r="G49" s="312">
        <f t="shared" si="66"/>
      </c>
      <c r="H49" s="312">
        <f t="shared" si="34"/>
      </c>
      <c r="I49" s="312">
        <f t="shared" si="42"/>
      </c>
      <c r="J49" s="313">
        <f t="shared" si="2"/>
      </c>
      <c r="K49" s="314">
        <f t="shared" si="50"/>
      </c>
      <c r="L49" s="315">
        <f t="shared" si="10"/>
      </c>
      <c r="M49" s="315">
        <f t="shared" si="18"/>
      </c>
      <c r="N49" s="315">
        <f t="shared" si="58"/>
      </c>
      <c r="O49" s="316">
        <f t="shared" si="26"/>
      </c>
      <c r="P49" s="317" t="s">
        <v>716</v>
      </c>
      <c r="Q49" s="318" t="s">
        <v>717</v>
      </c>
      <c r="R49" s="324">
        <v>14936</v>
      </c>
      <c r="S49" s="324">
        <v>1119</v>
      </c>
      <c r="T49" s="324">
        <v>1422</v>
      </c>
      <c r="U49" s="324">
        <v>114</v>
      </c>
      <c r="V49" s="325">
        <v>6</v>
      </c>
      <c r="W49" s="325">
        <v>0</v>
      </c>
      <c r="X49" s="337">
        <v>25</v>
      </c>
    </row>
    <row r="50">
      <c r="A50" s="307"/>
      <c r="B50" s="308" t="s">
        <v>721</v>
      </c>
      <c r="C50" s="338" t="s">
        <v>723</v>
      </c>
      <c r="D50" s="308">
        <v>3013.49</v>
      </c>
      <c r="E50" s="311">
        <v>4</v>
      </c>
      <c r="F50" s="308">
        <v>4128</v>
      </c>
      <c r="G50" s="312">
        <f t="shared" si="66"/>
      </c>
      <c r="H50" s="312">
        <f t="shared" si="34"/>
      </c>
      <c r="I50" s="312">
        <f t="shared" si="42"/>
      </c>
      <c r="J50" s="313">
        <f t="shared" si="2"/>
      </c>
      <c r="K50" s="314">
        <f t="shared" si="50"/>
      </c>
      <c r="L50" s="315">
        <f t="shared" si="10"/>
      </c>
      <c r="M50" s="315">
        <f t="shared" si="18"/>
      </c>
      <c r="N50" s="315">
        <f t="shared" si="58"/>
      </c>
      <c r="O50" s="316">
        <f t="shared" si="26"/>
      </c>
      <c r="P50" s="317" t="s">
        <v>716</v>
      </c>
      <c r="Q50" s="318" t="s">
        <v>717</v>
      </c>
      <c r="R50" s="324">
        <v>21299</v>
      </c>
      <c r="S50" s="324">
        <v>1238</v>
      </c>
      <c r="T50" s="324">
        <v>1527</v>
      </c>
      <c r="U50" s="324">
        <v>96</v>
      </c>
      <c r="V50" s="325">
        <v>9</v>
      </c>
      <c r="W50" s="325">
        <v>1</v>
      </c>
      <c r="X50" s="337">
        <v>29</v>
      </c>
    </row>
    <row r="51">
      <c r="A51" s="307"/>
      <c r="B51" s="308" t="s">
        <v>721</v>
      </c>
      <c r="C51" s="338" t="s">
        <v>724</v>
      </c>
      <c r="D51" s="308">
        <v>2268.14</v>
      </c>
      <c r="E51" s="311">
        <v>1</v>
      </c>
      <c r="F51" s="308">
        <v>1197.6</v>
      </c>
      <c r="G51" s="312">
        <f t="shared" si="66"/>
      </c>
      <c r="H51" s="312">
        <f t="shared" si="34"/>
      </c>
      <c r="I51" s="312">
        <f t="shared" si="42"/>
      </c>
      <c r="J51" s="313">
        <f t="shared" si="2"/>
      </c>
      <c r="K51" s="314">
        <f t="shared" si="50"/>
      </c>
      <c r="L51" s="315">
        <f t="shared" si="10"/>
      </c>
      <c r="M51" s="315">
        <f t="shared" si="18"/>
      </c>
      <c r="N51" s="315">
        <f t="shared" si="58"/>
      </c>
      <c r="O51" s="316">
        <f t="shared" si="26"/>
      </c>
      <c r="P51" s="317" t="s">
        <v>716</v>
      </c>
      <c r="Q51" s="318" t="s">
        <v>717</v>
      </c>
      <c r="R51" s="324">
        <v>18414</v>
      </c>
      <c r="S51" s="324">
        <v>1319</v>
      </c>
      <c r="T51" s="324">
        <v>1594</v>
      </c>
      <c r="U51" s="324">
        <v>108</v>
      </c>
      <c r="V51" s="325">
        <v>2</v>
      </c>
      <c r="W51" s="325">
        <v>0</v>
      </c>
      <c r="X51" s="337">
        <v>17</v>
      </c>
    </row>
    <row r="52">
      <c r="A52" s="307"/>
      <c r="B52" s="308" t="s">
        <v>721</v>
      </c>
      <c r="C52" s="338" t="s">
        <v>725</v>
      </c>
      <c r="D52" s="308">
        <v>936.8</v>
      </c>
      <c r="E52" s="311">
        <v>2</v>
      </c>
      <c r="F52" s="308">
        <v>1599.6</v>
      </c>
      <c r="G52" s="312">
        <f t="shared" si="66"/>
      </c>
      <c r="H52" s="312">
        <f t="shared" si="34"/>
      </c>
      <c r="I52" s="312">
        <f t="shared" si="42"/>
      </c>
      <c r="J52" s="313">
        <f t="shared" si="2"/>
      </c>
      <c r="K52" s="314">
        <f t="shared" si="50"/>
      </c>
      <c r="L52" s="315">
        <f t="shared" si="10"/>
      </c>
      <c r="M52" s="315">
        <f t="shared" si="18"/>
      </c>
      <c r="N52" s="315">
        <f t="shared" si="58"/>
      </c>
      <c r="O52" s="316">
        <f t="shared" si="26"/>
      </c>
      <c r="P52" s="317" t="s">
        <v>716</v>
      </c>
      <c r="Q52" s="318" t="s">
        <v>717</v>
      </c>
      <c r="R52" s="324">
        <v>9559</v>
      </c>
      <c r="S52" s="324">
        <v>742</v>
      </c>
      <c r="T52" s="324">
        <v>938</v>
      </c>
      <c r="U52" s="324">
        <v>61</v>
      </c>
      <c r="V52" s="325">
        <v>3</v>
      </c>
      <c r="W52" s="325">
        <v>0</v>
      </c>
      <c r="X52" s="337">
        <v>15</v>
      </c>
    </row>
    <row r="53">
      <c r="A53" s="307"/>
      <c r="B53" s="326" t="s">
        <v>713</v>
      </c>
      <c r="C53" s="326"/>
      <c r="D53" s="327">
        <f>SUM(D49:D52)</f>
      </c>
      <c r="E53" s="328">
        <f>SUM(E49:E52)</f>
      </c>
      <c r="F53" s="327">
        <f>SUM(F49:F52)</f>
      </c>
      <c r="G53" s="329">
        <f t="shared" si="66"/>
      </c>
      <c r="H53" s="330">
        <f t="shared" si="34"/>
      </c>
      <c r="I53" s="331">
        <f t="shared" si="42"/>
      </c>
      <c r="J53" s="332">
        <f t="shared" si="2"/>
      </c>
      <c r="K53" s="333">
        <f t="shared" si="50"/>
      </c>
      <c r="L53" s="332">
        <f t="shared" si="10"/>
      </c>
      <c r="M53" s="332">
        <f t="shared" si="18"/>
      </c>
      <c r="N53" s="334">
        <f t="shared" si="58"/>
      </c>
      <c r="O53" s="335">
        <f t="shared" si="26"/>
      </c>
      <c r="P53" s="333"/>
      <c r="Q53" s="333"/>
      <c r="R53" s="336">
        <f>SUM(R49:R52)</f>
      </c>
      <c r="S53" s="336">
        <f>SUM(S49:S52)</f>
      </c>
      <c r="T53" s="336">
        <f>SUM(T49:T52)</f>
      </c>
      <c r="U53" s="336">
        <f>SUM(U49:U52)</f>
      </c>
      <c r="V53" s="336">
        <f>SUM(V49:V52)</f>
      </c>
      <c r="W53" s="336">
        <f>SUM(W49:W52)</f>
      </c>
      <c r="X53" s="336">
        <f>SUM(X49:X52)</f>
      </c>
    </row>
    <row r="54">
      <c r="A54" s="307"/>
      <c r="B54" s="339" t="s">
        <v>726</v>
      </c>
      <c r="C54" s="339"/>
      <c r="D54" s="340">
        <f>D43+D48+D53</f>
      </c>
      <c r="E54" s="341">
        <f>E43+E48+E53</f>
      </c>
      <c r="F54" s="340">
        <f>F43+F48+F53</f>
      </c>
      <c r="G54" s="339">
        <f t="shared" si="66"/>
      </c>
      <c r="H54" s="339">
        <f t="shared" si="34"/>
      </c>
      <c r="I54" s="339">
        <f t="shared" si="42"/>
      </c>
      <c r="J54" s="342">
        <f t="shared" si="2"/>
      </c>
      <c r="K54" s="339">
        <f t="shared" si="50"/>
      </c>
      <c r="L54" s="342">
        <f t="shared" si="10"/>
      </c>
      <c r="M54" s="342">
        <f t="shared" si="18"/>
      </c>
      <c r="N54" s="342">
        <f t="shared" si="58"/>
      </c>
      <c r="O54" s="339">
        <f t="shared" si="26"/>
      </c>
      <c r="P54" s="343"/>
      <c r="Q54" s="343"/>
      <c r="R54" s="344">
        <f>R43+R48+R53</f>
      </c>
      <c r="S54" s="344">
        <f>S43+S48+S53</f>
      </c>
      <c r="T54" s="344">
        <f>T43+T48+T53</f>
      </c>
      <c r="U54" s="344">
        <f>U43+U48+U53</f>
      </c>
      <c r="V54" s="344">
        <f>V43+V48+V53</f>
      </c>
      <c r="W54" s="344">
        <f>W43+W48+W53</f>
      </c>
      <c r="X54" s="344">
        <f>X43+X48+X53</f>
      </c>
    </row>
    <row r="55">
      <c r="A55" s="291" t="s">
        <v>677</v>
      </c>
      <c r="B55" s="291"/>
      <c r="C55" s="291"/>
      <c r="D55" s="292" t="s">
        <v>678</v>
      </c>
      <c r="E55" s="292"/>
      <c r="F55" s="292"/>
      <c r="G55" s="292"/>
      <c r="H55" s="292"/>
      <c r="I55" s="292"/>
      <c r="J55" s="293" t="s">
        <v>679</v>
      </c>
      <c r="K55" s="293"/>
      <c r="L55" s="293"/>
      <c r="M55" s="293"/>
      <c r="N55" s="293"/>
      <c r="O55" s="293"/>
      <c r="P55" s="293"/>
      <c r="Q55" s="293"/>
      <c r="R55" s="345" t="s">
        <v>680</v>
      </c>
      <c r="S55" s="345"/>
      <c r="T55" s="345"/>
      <c r="U55" s="345"/>
      <c r="V55" s="345"/>
      <c r="W55" s="345"/>
      <c r="X55" s="345"/>
      <c r="Y55" s="295"/>
    </row>
    <row r="56">
      <c r="A56" s="296" t="s">
        <v>681</v>
      </c>
      <c r="B56" s="296" t="s">
        <v>682</v>
      </c>
      <c r="C56" s="296" t="s">
        <v>683</v>
      </c>
      <c r="D56" s="297" t="s">
        <v>684</v>
      </c>
      <c r="E56" s="298" t="s">
        <v>685</v>
      </c>
      <c r="F56" s="297" t="s">
        <v>686</v>
      </c>
      <c r="G56" s="299" t="s">
        <v>687</v>
      </c>
      <c r="H56" s="300" t="s">
        <v>688</v>
      </c>
      <c r="I56" s="297" t="s">
        <v>689</v>
      </c>
      <c r="J56" s="301" t="s">
        <v>690</v>
      </c>
      <c r="K56" s="302" t="s">
        <v>691</v>
      </c>
      <c r="L56" s="301" t="s">
        <v>692</v>
      </c>
      <c r="M56" s="301" t="s">
        <v>693</v>
      </c>
      <c r="N56" s="303" t="s">
        <v>694</v>
      </c>
      <c r="O56" s="303" t="s">
        <v>695</v>
      </c>
      <c r="P56" s="304" t="s">
        <v>696</v>
      </c>
      <c r="Q56" s="304" t="s">
        <v>697</v>
      </c>
      <c r="R56" s="346" t="s">
        <v>698</v>
      </c>
      <c r="S56" s="346" t="s">
        <v>699</v>
      </c>
      <c r="T56" s="347" t="s">
        <v>700</v>
      </c>
      <c r="U56" s="347" t="s">
        <v>701</v>
      </c>
      <c r="V56" s="347" t="s">
        <v>702</v>
      </c>
      <c r="W56" s="347" t="s">
        <v>703</v>
      </c>
      <c r="X56" s="347" t="s">
        <v>704</v>
      </c>
      <c r="Y56" s="295"/>
    </row>
    <row r="57">
      <c r="A57" s="307" t="s">
        <v>730</v>
      </c>
      <c r="B57" s="308" t="s">
        <v>714</v>
      </c>
      <c r="C57" s="309" t="s">
        <v>707</v>
      </c>
      <c r="D57" s="348">
        <v>2060.02</v>
      </c>
      <c r="E57" s="311">
        <v>0</v>
      </c>
      <c r="F57" s="350">
        <v>0</v>
      </c>
      <c r="G57" s="312">
        <f t="shared" ref="G57:G72" si="67">F57/D57</f>
      </c>
      <c r="H57" s="312">
        <f t="shared" ref="H57:H72" si="35">D57/E57</f>
      </c>
      <c r="I57" s="312">
        <f t="shared" ref="I57:I72" si="43">F57/E57</f>
      </c>
      <c r="J57" s="313">
        <f t="shared" ref="J57:J72" si="3">S57/R57</f>
      </c>
      <c r="K57" s="314">
        <f t="shared" ref="K57:K72" si="51">D57/T57</f>
      </c>
      <c r="L57" s="315">
        <f t="shared" ref="L57:L72" si="11">U57/T57</f>
      </c>
      <c r="M57" s="315">
        <f t="shared" ref="M57:M72" si="19">E57/V57</f>
      </c>
      <c r="N57" s="315">
        <f t="shared" ref="N57:N72" si="59">W57/E57</f>
      </c>
      <c r="O57" s="316">
        <f t="shared" ref="O57:O72" si="27">(X57*1000)/D57</f>
      </c>
      <c r="P57" s="317" t="s">
        <v>708</v>
      </c>
      <c r="Q57" s="318" t="s">
        <v>731</v>
      </c>
      <c r="R57" s="319">
        <v>12070</v>
      </c>
      <c r="S57" s="306">
        <v>744</v>
      </c>
      <c r="T57" s="319">
        <v>996</v>
      </c>
      <c r="U57" s="306">
        <v>112</v>
      </c>
      <c r="V57" s="320">
        <v>1</v>
      </c>
      <c r="W57" s="320">
        <v>0</v>
      </c>
      <c r="X57" s="350">
        <v>19</v>
      </c>
      <c r="Y57" s="295"/>
    </row>
    <row r="58">
      <c r="A58" s="307"/>
      <c r="B58" s="308" t="s">
        <v>714</v>
      </c>
      <c r="C58" s="310" t="s">
        <v>710</v>
      </c>
      <c r="D58" s="351">
        <v>2219.06</v>
      </c>
      <c r="E58" s="311">
        <v>2</v>
      </c>
      <c r="F58" s="350">
        <v>1750.8</v>
      </c>
      <c r="G58" s="312">
        <f t="shared" si="67"/>
      </c>
      <c r="H58" s="312">
        <f t="shared" si="35"/>
      </c>
      <c r="I58" s="312">
        <f t="shared" si="43"/>
      </c>
      <c r="J58" s="313">
        <f t="shared" si="3"/>
      </c>
      <c r="K58" s="314">
        <f t="shared" si="51"/>
      </c>
      <c r="L58" s="315">
        <f t="shared" si="11"/>
      </c>
      <c r="M58" s="315">
        <f t="shared" si="19"/>
      </c>
      <c r="N58" s="315">
        <f t="shared" si="59"/>
      </c>
      <c r="O58" s="316">
        <f t="shared" si="27"/>
      </c>
      <c r="P58" s="317" t="s">
        <v>708</v>
      </c>
      <c r="Q58" s="318" t="s">
        <v>731</v>
      </c>
      <c r="R58" s="319">
        <v>10360</v>
      </c>
      <c r="S58" s="306">
        <v>905</v>
      </c>
      <c r="T58" s="322">
        <v>1188</v>
      </c>
      <c r="U58" s="322">
        <v>127</v>
      </c>
      <c r="V58" s="323">
        <v>3</v>
      </c>
      <c r="W58" s="320">
        <v>0</v>
      </c>
      <c r="X58" s="350">
        <v>19</v>
      </c>
      <c r="Y58" s="295"/>
    </row>
    <row r="59">
      <c r="A59" s="307"/>
      <c r="B59" s="308" t="s">
        <v>714</v>
      </c>
      <c r="C59" s="310" t="s">
        <v>711</v>
      </c>
      <c r="D59" s="351">
        <v>2568.14</v>
      </c>
      <c r="E59" s="311">
        <v>2</v>
      </c>
      <c r="F59" s="349">
        <v>3596.3999999999996</v>
      </c>
      <c r="G59" s="312">
        <f t="shared" si="67"/>
      </c>
      <c r="H59" s="312">
        <f t="shared" si="35"/>
      </c>
      <c r="I59" s="312">
        <f t="shared" si="43"/>
      </c>
      <c r="J59" s="313">
        <f t="shared" si="3"/>
      </c>
      <c r="K59" s="314">
        <f t="shared" si="51"/>
      </c>
      <c r="L59" s="315">
        <f t="shared" si="11"/>
      </c>
      <c r="M59" s="315">
        <f t="shared" si="19"/>
      </c>
      <c r="N59" s="315">
        <f t="shared" si="59"/>
      </c>
      <c r="O59" s="316">
        <f t="shared" si="27"/>
      </c>
      <c r="P59" s="317" t="s">
        <v>708</v>
      </c>
      <c r="Q59" s="318" t="s">
        <v>731</v>
      </c>
      <c r="R59" s="319">
        <v>9970</v>
      </c>
      <c r="S59" s="306">
        <v>836</v>
      </c>
      <c r="T59" s="324">
        <v>1102</v>
      </c>
      <c r="U59" s="324">
        <v>105</v>
      </c>
      <c r="V59" s="325">
        <v>3</v>
      </c>
      <c r="W59" s="320">
        <v>0</v>
      </c>
      <c r="X59" s="350">
        <v>15</v>
      </c>
      <c r="Y59" s="295"/>
    </row>
    <row r="60">
      <c r="A60" s="307"/>
      <c r="B60" s="308" t="s">
        <v>714</v>
      </c>
      <c r="C60" s="310" t="s">
        <v>712</v>
      </c>
      <c r="D60" s="351">
        <v>2629.84</v>
      </c>
      <c r="E60" s="311">
        <v>3</v>
      </c>
      <c r="F60" s="349">
        <v>1707.6000000000004</v>
      </c>
      <c r="G60" s="312">
        <f t="shared" si="67"/>
      </c>
      <c r="H60" s="312">
        <f t="shared" si="35"/>
      </c>
      <c r="I60" s="312">
        <f t="shared" si="43"/>
      </c>
      <c r="J60" s="313">
        <f t="shared" si="3"/>
      </c>
      <c r="K60" s="314">
        <f t="shared" si="51"/>
      </c>
      <c r="L60" s="315">
        <f t="shared" si="11"/>
      </c>
      <c r="M60" s="315">
        <f t="shared" si="19"/>
      </c>
      <c r="N60" s="315">
        <f t="shared" si="59"/>
      </c>
      <c r="O60" s="316">
        <f t="shared" si="27"/>
      </c>
      <c r="P60" s="317" t="s">
        <v>708</v>
      </c>
      <c r="Q60" s="318" t="s">
        <v>731</v>
      </c>
      <c r="R60" s="319">
        <v>8110</v>
      </c>
      <c r="S60" s="306">
        <v>745</v>
      </c>
      <c r="T60" s="324">
        <v>975</v>
      </c>
      <c r="U60" s="324">
        <v>85</v>
      </c>
      <c r="V60" s="325">
        <v>5</v>
      </c>
      <c r="W60" s="320">
        <v>0</v>
      </c>
      <c r="X60" s="350">
        <v>18</v>
      </c>
      <c r="Y60" s="295"/>
    </row>
    <row r="61">
      <c r="A61" s="307"/>
      <c r="B61" s="326" t="s">
        <v>713</v>
      </c>
      <c r="C61" s="326"/>
      <c r="D61" s="327">
        <f>SUM(D57:D60)</f>
      </c>
      <c r="E61" s="328">
        <f>SUM(E57:E60)</f>
      </c>
      <c r="F61" s="327">
        <f>SUM(F57:F60)</f>
      </c>
      <c r="G61" s="329">
        <f t="shared" si="67"/>
      </c>
      <c r="H61" s="330">
        <f t="shared" si="35"/>
      </c>
      <c r="I61" s="331">
        <f t="shared" si="43"/>
      </c>
      <c r="J61" s="332">
        <f t="shared" si="3"/>
      </c>
      <c r="K61" s="333">
        <f t="shared" si="51"/>
      </c>
      <c r="L61" s="332">
        <f t="shared" si="11"/>
      </c>
      <c r="M61" s="332">
        <f t="shared" si="19"/>
      </c>
      <c r="N61" s="334">
        <f t="shared" si="59"/>
      </c>
      <c r="O61" s="335">
        <f t="shared" si="27"/>
      </c>
      <c r="P61" s="333"/>
      <c r="Q61" s="333"/>
      <c r="R61" s="336">
        <f>SUM(R57:R60)</f>
      </c>
      <c r="S61" s="336">
        <f>SUM(S57:S60)</f>
      </c>
      <c r="T61" s="336">
        <f>SUM(T57:T60)</f>
      </c>
      <c r="U61" s="336">
        <f>SUM(U57:U60)</f>
      </c>
      <c r="V61" s="336">
        <f>SUM(V57:V60)</f>
      </c>
      <c r="W61" s="336">
        <f>SUM(W57:W60)</f>
      </c>
      <c r="X61" s="336">
        <f>SUM(X57:X60)</f>
      </c>
      <c r="Y61" s="295"/>
    </row>
    <row r="62">
      <c r="A62" s="307"/>
      <c r="B62" s="308" t="s">
        <v>721</v>
      </c>
      <c r="C62" s="310" t="s">
        <v>715</v>
      </c>
      <c r="D62" s="308">
        <v>1964.81</v>
      </c>
      <c r="E62" s="311">
        <v>4</v>
      </c>
      <c r="F62" s="308">
        <v>3895.2</v>
      </c>
      <c r="G62" s="312">
        <f t="shared" si="67"/>
      </c>
      <c r="H62" s="312">
        <f t="shared" si="35"/>
      </c>
      <c r="I62" s="312">
        <f t="shared" si="43"/>
      </c>
      <c r="J62" s="313">
        <f t="shared" si="3"/>
      </c>
      <c r="K62" s="314">
        <f t="shared" si="51"/>
      </c>
      <c r="L62" s="315">
        <f t="shared" si="11"/>
      </c>
      <c r="M62" s="315">
        <f t="shared" si="19"/>
      </c>
      <c r="N62" s="315">
        <f t="shared" si="59"/>
      </c>
      <c r="O62" s="316">
        <f t="shared" si="27"/>
      </c>
      <c r="P62" s="317" t="s">
        <v>716</v>
      </c>
      <c r="Q62" s="318" t="s">
        <v>717</v>
      </c>
      <c r="R62" s="324">
        <v>9467</v>
      </c>
      <c r="S62" s="324">
        <v>662</v>
      </c>
      <c r="T62" s="324">
        <v>843</v>
      </c>
      <c r="U62" s="324">
        <v>56</v>
      </c>
      <c r="V62" s="325">
        <v>4</v>
      </c>
      <c r="W62" s="325">
        <v>0</v>
      </c>
      <c r="X62" s="337">
        <v>40</v>
      </c>
      <c r="Y62" s="295"/>
    </row>
    <row r="63">
      <c r="A63" s="307"/>
      <c r="B63" s="308" t="s">
        <v>721</v>
      </c>
      <c r="C63" s="309" t="s">
        <v>718</v>
      </c>
      <c r="D63" s="308">
        <v>2625.04</v>
      </c>
      <c r="E63" s="311">
        <v>6</v>
      </c>
      <c r="F63" s="308">
        <v>5220</v>
      </c>
      <c r="G63" s="312">
        <f t="shared" si="67"/>
      </c>
      <c r="H63" s="312">
        <f t="shared" si="35"/>
      </c>
      <c r="I63" s="312">
        <f t="shared" si="43"/>
      </c>
      <c r="J63" s="313">
        <f t="shared" si="3"/>
      </c>
      <c r="K63" s="314">
        <f t="shared" si="51"/>
      </c>
      <c r="L63" s="315">
        <f t="shared" si="11"/>
      </c>
      <c r="M63" s="315">
        <f t="shared" si="19"/>
      </c>
      <c r="N63" s="315">
        <f t="shared" si="59"/>
      </c>
      <c r="O63" s="316">
        <f t="shared" si="27"/>
      </c>
      <c r="P63" s="317" t="s">
        <v>716</v>
      </c>
      <c r="Q63" s="318" t="s">
        <v>717</v>
      </c>
      <c r="R63" s="324">
        <v>14214</v>
      </c>
      <c r="S63" s="324">
        <v>1014</v>
      </c>
      <c r="T63" s="324">
        <v>1300</v>
      </c>
      <c r="U63" s="324">
        <v>118</v>
      </c>
      <c r="V63" s="325">
        <v>6</v>
      </c>
      <c r="W63" s="325">
        <v>0</v>
      </c>
      <c r="X63" s="337">
        <v>40</v>
      </c>
      <c r="Y63" s="295"/>
    </row>
    <row r="64">
      <c r="A64" s="307"/>
      <c r="B64" s="308" t="s">
        <v>721</v>
      </c>
      <c r="C64" s="309" t="s">
        <v>719</v>
      </c>
      <c r="D64" s="308">
        <v>2873.91</v>
      </c>
      <c r="E64" s="311">
        <v>0</v>
      </c>
      <c r="F64" s="308">
        <v>0</v>
      </c>
      <c r="G64" s="312">
        <f t="shared" si="67"/>
      </c>
      <c r="H64" s="312">
        <f t="shared" si="35"/>
      </c>
      <c r="I64" s="312">
        <f t="shared" si="43"/>
      </c>
      <c r="J64" s="313">
        <f t="shared" si="3"/>
      </c>
      <c r="K64" s="314">
        <f t="shared" si="51"/>
      </c>
      <c r="L64" s="315">
        <f t="shared" si="11"/>
      </c>
      <c r="M64" s="315">
        <f t="shared" si="19"/>
      </c>
      <c r="N64" s="315">
        <f t="shared" si="59"/>
      </c>
      <c r="O64" s="316">
        <f t="shared" si="27"/>
      </c>
      <c r="P64" s="317" t="s">
        <v>716</v>
      </c>
      <c r="Q64" s="318" t="s">
        <v>717</v>
      </c>
      <c r="R64" s="324">
        <v>15142</v>
      </c>
      <c r="S64" s="324">
        <v>1137</v>
      </c>
      <c r="T64" s="324">
        <v>1453</v>
      </c>
      <c r="U64" s="324">
        <v>112</v>
      </c>
      <c r="V64" s="325">
        <v>0</v>
      </c>
      <c r="W64" s="325">
        <v>0</v>
      </c>
      <c r="X64" s="337">
        <v>26</v>
      </c>
      <c r="Y64" s="295"/>
    </row>
    <row r="65">
      <c r="A65" s="307"/>
      <c r="B65" s="308" t="s">
        <v>721</v>
      </c>
      <c r="C65" s="309" t="s">
        <v>720</v>
      </c>
      <c r="D65" s="308">
        <v>2638</v>
      </c>
      <c r="E65" s="311">
        <v>3</v>
      </c>
      <c r="F65" s="308">
        <v>2889.6</v>
      </c>
      <c r="G65" s="312">
        <f t="shared" si="67"/>
      </c>
      <c r="H65" s="312">
        <f t="shared" si="35"/>
      </c>
      <c r="I65" s="312">
        <f t="shared" si="43"/>
      </c>
      <c r="J65" s="313">
        <f t="shared" si="3"/>
      </c>
      <c r="K65" s="314">
        <f t="shared" si="51"/>
      </c>
      <c r="L65" s="315">
        <f t="shared" si="11"/>
      </c>
      <c r="M65" s="315">
        <f t="shared" si="19"/>
      </c>
      <c r="N65" s="315">
        <f t="shared" si="59"/>
      </c>
      <c r="O65" s="316">
        <f t="shared" si="27"/>
      </c>
      <c r="P65" s="317" t="s">
        <v>716</v>
      </c>
      <c r="Q65" s="318" t="s">
        <v>717</v>
      </c>
      <c r="R65" s="324">
        <v>15354</v>
      </c>
      <c r="S65" s="324">
        <v>1097</v>
      </c>
      <c r="T65" s="324">
        <v>1430</v>
      </c>
      <c r="U65" s="324">
        <v>102</v>
      </c>
      <c r="V65" s="325">
        <v>3</v>
      </c>
      <c r="W65" s="325">
        <v>1</v>
      </c>
      <c r="X65" s="337">
        <v>35</v>
      </c>
      <c r="Y65" s="295"/>
    </row>
    <row r="66">
      <c r="A66" s="307"/>
      <c r="B66" s="326" t="s">
        <v>713</v>
      </c>
      <c r="C66" s="326"/>
      <c r="D66" s="327">
        <f>SUM(D62:D65)</f>
      </c>
      <c r="E66" s="328">
        <f>SUM(E62:E65)</f>
      </c>
      <c r="F66" s="327">
        <f>SUM(F62:F65)</f>
      </c>
      <c r="G66" s="329">
        <f t="shared" si="67"/>
      </c>
      <c r="H66" s="330">
        <f t="shared" si="35"/>
      </c>
      <c r="I66" s="331">
        <f t="shared" si="43"/>
      </c>
      <c r="J66" s="332">
        <f t="shared" si="3"/>
      </c>
      <c r="K66" s="333">
        <f t="shared" si="51"/>
      </c>
      <c r="L66" s="332">
        <f t="shared" si="11"/>
      </c>
      <c r="M66" s="332">
        <f t="shared" si="19"/>
      </c>
      <c r="N66" s="334">
        <f t="shared" si="59"/>
      </c>
      <c r="O66" s="335">
        <f t="shared" si="27"/>
      </c>
      <c r="P66" s="333"/>
      <c r="Q66" s="333"/>
      <c r="R66" s="336">
        <f>SUM(R62:R65)</f>
      </c>
      <c r="S66" s="336">
        <f>SUM(S62:S65)</f>
      </c>
      <c r="T66" s="336">
        <f>SUM(T62:T65)</f>
      </c>
      <c r="U66" s="336">
        <f>SUM(U62:U65)</f>
      </c>
      <c r="V66" s="336">
        <f>SUM(V62:V65)</f>
      </c>
      <c r="W66" s="336">
        <f>SUM(W62:W65)</f>
      </c>
      <c r="X66" s="336">
        <f>SUM(X62:X65)</f>
      </c>
    </row>
    <row r="67">
      <c r="A67" s="307"/>
      <c r="B67" s="308" t="s">
        <v>706</v>
      </c>
      <c r="C67" s="309" t="s">
        <v>722</v>
      </c>
      <c r="D67" s="308">
        <v>2905.16</v>
      </c>
      <c r="E67" s="311">
        <v>2</v>
      </c>
      <c r="F67" s="308">
        <v>3596.4</v>
      </c>
      <c r="G67" s="312">
        <f t="shared" si="67"/>
      </c>
      <c r="H67" s="312">
        <f t="shared" si="35"/>
      </c>
      <c r="I67" s="312">
        <f t="shared" si="43"/>
      </c>
      <c r="J67" s="313">
        <f t="shared" si="3"/>
      </c>
      <c r="K67" s="314">
        <f t="shared" si="51"/>
      </c>
      <c r="L67" s="315">
        <f t="shared" si="11"/>
      </c>
      <c r="M67" s="315">
        <f t="shared" si="19"/>
      </c>
      <c r="N67" s="315">
        <f t="shared" si="59"/>
      </c>
      <c r="O67" s="316">
        <f t="shared" si="27"/>
      </c>
      <c r="P67" s="317" t="s">
        <v>716</v>
      </c>
      <c r="Q67" s="318" t="s">
        <v>717</v>
      </c>
      <c r="R67" s="324">
        <v>16879</v>
      </c>
      <c r="S67" s="324">
        <v>1149</v>
      </c>
      <c r="T67" s="324">
        <v>1541</v>
      </c>
      <c r="U67" s="324">
        <v>118</v>
      </c>
      <c r="V67" s="325">
        <v>4</v>
      </c>
      <c r="W67" s="325">
        <v>0</v>
      </c>
      <c r="X67" s="337">
        <v>32</v>
      </c>
    </row>
    <row r="68">
      <c r="A68" s="307"/>
      <c r="B68" s="308" t="s">
        <v>706</v>
      </c>
      <c r="C68" s="338" t="s">
        <v>723</v>
      </c>
      <c r="D68" s="308">
        <v>3576.87</v>
      </c>
      <c r="E68" s="311">
        <v>4</v>
      </c>
      <c r="F68" s="308">
        <v>2289.6</v>
      </c>
      <c r="G68" s="312">
        <f t="shared" si="67"/>
      </c>
      <c r="H68" s="312">
        <f t="shared" si="35"/>
      </c>
      <c r="I68" s="312">
        <f t="shared" si="43"/>
      </c>
      <c r="J68" s="313">
        <f t="shared" si="3"/>
      </c>
      <c r="K68" s="314">
        <f t="shared" si="51"/>
      </c>
      <c r="L68" s="315">
        <f t="shared" si="11"/>
      </c>
      <c r="M68" s="315">
        <f t="shared" si="19"/>
      </c>
      <c r="N68" s="315">
        <f t="shared" si="59"/>
      </c>
      <c r="O68" s="316">
        <f t="shared" si="27"/>
      </c>
      <c r="P68" s="317" t="s">
        <v>716</v>
      </c>
      <c r="Q68" s="318" t="s">
        <v>717</v>
      </c>
      <c r="R68" s="324">
        <v>23683</v>
      </c>
      <c r="S68" s="324">
        <v>2000</v>
      </c>
      <c r="T68" s="324">
        <v>2462</v>
      </c>
      <c r="U68" s="324">
        <v>169</v>
      </c>
      <c r="V68" s="325">
        <v>6</v>
      </c>
      <c r="W68" s="325">
        <v>0</v>
      </c>
      <c r="X68" s="337">
        <v>40</v>
      </c>
    </row>
    <row r="69">
      <c r="A69" s="307"/>
      <c r="B69" s="308" t="s">
        <v>706</v>
      </c>
      <c r="C69" s="338" t="s">
        <v>724</v>
      </c>
      <c r="D69" s="308">
        <v>3224.33</v>
      </c>
      <c r="E69" s="311">
        <v>3</v>
      </c>
      <c r="F69" s="308">
        <v>3048</v>
      </c>
      <c r="G69" s="312">
        <f t="shared" si="67"/>
      </c>
      <c r="H69" s="312">
        <f t="shared" si="35"/>
      </c>
      <c r="I69" s="312">
        <f t="shared" si="43"/>
      </c>
      <c r="J69" s="313">
        <f t="shared" si="3"/>
      </c>
      <c r="K69" s="314">
        <f t="shared" si="51"/>
      </c>
      <c r="L69" s="315">
        <f t="shared" si="11"/>
      </c>
      <c r="M69" s="315">
        <f t="shared" si="19"/>
      </c>
      <c r="N69" s="315">
        <f t="shared" si="59"/>
      </c>
      <c r="O69" s="316">
        <f t="shared" si="27"/>
      </c>
      <c r="P69" s="317" t="s">
        <v>716</v>
      </c>
      <c r="Q69" s="318" t="s">
        <v>717</v>
      </c>
      <c r="R69" s="324">
        <v>21257</v>
      </c>
      <c r="S69" s="324">
        <v>1519</v>
      </c>
      <c r="T69" s="324">
        <v>1882</v>
      </c>
      <c r="U69" s="324">
        <v>113</v>
      </c>
      <c r="V69" s="325">
        <v>5</v>
      </c>
      <c r="W69" s="325">
        <v>0</v>
      </c>
      <c r="X69" s="337">
        <v>34</v>
      </c>
    </row>
    <row r="70">
      <c r="A70" s="307"/>
      <c r="B70" s="308" t="s">
        <v>706</v>
      </c>
      <c r="C70" s="338" t="s">
        <v>725</v>
      </c>
      <c r="D70" s="308">
        <v>2010.34</v>
      </c>
      <c r="E70" s="311">
        <v>2</v>
      </c>
      <c r="F70" s="308">
        <v>1305.6</v>
      </c>
      <c r="G70" s="312">
        <f t="shared" si="67"/>
      </c>
      <c r="H70" s="312">
        <f t="shared" si="35"/>
      </c>
      <c r="I70" s="312">
        <f t="shared" si="43"/>
      </c>
      <c r="J70" s="313">
        <f t="shared" si="3"/>
      </c>
      <c r="K70" s="314">
        <f t="shared" si="51"/>
      </c>
      <c r="L70" s="315">
        <f t="shared" si="11"/>
      </c>
      <c r="M70" s="315">
        <f t="shared" si="19"/>
      </c>
      <c r="N70" s="315">
        <f t="shared" si="59"/>
      </c>
      <c r="O70" s="316">
        <f t="shared" si="27"/>
      </c>
      <c r="P70" s="317" t="s">
        <v>716</v>
      </c>
      <c r="Q70" s="318" t="s">
        <v>717</v>
      </c>
      <c r="R70" s="324">
        <v>14846</v>
      </c>
      <c r="S70" s="324">
        <v>773</v>
      </c>
      <c r="T70" s="324">
        <v>1051</v>
      </c>
      <c r="U70" s="324">
        <v>64</v>
      </c>
      <c r="V70" s="325">
        <v>2</v>
      </c>
      <c r="W70" s="325">
        <v>0</v>
      </c>
      <c r="X70" s="337">
        <v>18</v>
      </c>
    </row>
    <row r="71">
      <c r="A71" s="307"/>
      <c r="B71" s="326" t="s">
        <v>713</v>
      </c>
      <c r="C71" s="326"/>
      <c r="D71" s="327">
        <f>SUM(D67:D70)</f>
      </c>
      <c r="E71" s="328">
        <f>SUM(E67:E70)</f>
      </c>
      <c r="F71" s="327">
        <f>SUM(F67:F70)</f>
      </c>
      <c r="G71" s="329">
        <f t="shared" si="67"/>
      </c>
      <c r="H71" s="330">
        <f t="shared" si="35"/>
      </c>
      <c r="I71" s="331">
        <f t="shared" si="43"/>
      </c>
      <c r="J71" s="332">
        <f t="shared" si="3"/>
      </c>
      <c r="K71" s="333">
        <f t="shared" si="51"/>
      </c>
      <c r="L71" s="332">
        <f t="shared" si="11"/>
      </c>
      <c r="M71" s="332">
        <f t="shared" si="19"/>
      </c>
      <c r="N71" s="334">
        <f t="shared" si="59"/>
      </c>
      <c r="O71" s="335">
        <f t="shared" si="27"/>
      </c>
      <c r="P71" s="333"/>
      <c r="Q71" s="333"/>
      <c r="R71" s="336">
        <f>SUM(R67:R70)</f>
      </c>
      <c r="S71" s="336">
        <f>SUM(S67:S70)</f>
      </c>
      <c r="T71" s="336">
        <f>SUM(T67:T70)</f>
      </c>
      <c r="U71" s="336">
        <f>SUM(U67:U70)</f>
      </c>
      <c r="V71" s="336">
        <f>SUM(V67:V70)</f>
      </c>
      <c r="W71" s="336">
        <f>SUM(W67:W70)</f>
      </c>
      <c r="X71" s="336">
        <f>SUM(X67:X70)</f>
      </c>
    </row>
    <row r="72">
      <c r="A72" s="307"/>
      <c r="B72" s="339" t="s">
        <v>726</v>
      </c>
      <c r="C72" s="339"/>
      <c r="D72" s="340">
        <f>D61+D66+D71</f>
      </c>
      <c r="E72" s="341">
        <f>E61+E66+E71</f>
      </c>
      <c r="F72" s="340">
        <f>F61+F66+F71</f>
      </c>
      <c r="G72" s="339">
        <f t="shared" si="67"/>
      </c>
      <c r="H72" s="339">
        <f t="shared" si="35"/>
      </c>
      <c r="I72" s="339">
        <f t="shared" si="43"/>
      </c>
      <c r="J72" s="342">
        <f t="shared" si="3"/>
      </c>
      <c r="K72" s="339">
        <f t="shared" si="51"/>
      </c>
      <c r="L72" s="342">
        <f t="shared" si="11"/>
      </c>
      <c r="M72" s="342">
        <f t="shared" si="19"/>
      </c>
      <c r="N72" s="342">
        <f t="shared" si="59"/>
      </c>
      <c r="O72" s="339">
        <f t="shared" si="27"/>
      </c>
      <c r="P72" s="343"/>
      <c r="Q72" s="343"/>
      <c r="R72" s="344">
        <f>R61+R66+R71</f>
      </c>
      <c r="S72" s="344">
        <f>S61+S66+S71</f>
      </c>
      <c r="T72" s="344">
        <f>T61+T66+T71</f>
      </c>
      <c r="U72" s="344">
        <f>U61+U66+U71</f>
      </c>
      <c r="V72" s="344">
        <f>V61+V66+V71</f>
      </c>
      <c r="W72" s="344">
        <f>W61+W66+W71</f>
      </c>
      <c r="X72" s="344">
        <f>X61+X66+X71</f>
      </c>
    </row>
    <row r="73">
      <c r="A73" s="291" t="s">
        <v>677</v>
      </c>
      <c r="B73" s="291"/>
      <c r="C73" s="291"/>
      <c r="D73" s="292" t="s">
        <v>678</v>
      </c>
      <c r="E73" s="292"/>
      <c r="F73" s="292"/>
      <c r="G73" s="292"/>
      <c r="H73" s="292"/>
      <c r="I73" s="292"/>
      <c r="J73" s="293" t="s">
        <v>679</v>
      </c>
      <c r="K73" s="293"/>
      <c r="L73" s="293"/>
      <c r="M73" s="293"/>
      <c r="N73" s="293"/>
      <c r="O73" s="293"/>
      <c r="P73" s="293"/>
      <c r="Q73" s="293"/>
      <c r="R73" s="345" t="s">
        <v>680</v>
      </c>
      <c r="S73" s="345"/>
      <c r="T73" s="345"/>
      <c r="U73" s="345"/>
      <c r="V73" s="345"/>
      <c r="W73" s="345"/>
      <c r="X73" s="345"/>
      <c r="Y73" s="295"/>
    </row>
    <row r="74">
      <c r="A74" s="296" t="s">
        <v>681</v>
      </c>
      <c r="B74" s="296" t="s">
        <v>682</v>
      </c>
      <c r="C74" s="296" t="s">
        <v>683</v>
      </c>
      <c r="D74" s="297" t="s">
        <v>684</v>
      </c>
      <c r="E74" s="298" t="s">
        <v>685</v>
      </c>
      <c r="F74" s="297" t="s">
        <v>686</v>
      </c>
      <c r="G74" s="299" t="s">
        <v>687</v>
      </c>
      <c r="H74" s="300" t="s">
        <v>688</v>
      </c>
      <c r="I74" s="297" t="s">
        <v>689</v>
      </c>
      <c r="J74" s="301" t="s">
        <v>690</v>
      </c>
      <c r="K74" s="302" t="s">
        <v>691</v>
      </c>
      <c r="L74" s="301" t="s">
        <v>692</v>
      </c>
      <c r="M74" s="301" t="s">
        <v>693</v>
      </c>
      <c r="N74" s="303" t="s">
        <v>694</v>
      </c>
      <c r="O74" s="303" t="s">
        <v>695</v>
      </c>
      <c r="P74" s="304" t="s">
        <v>696</v>
      </c>
      <c r="Q74" s="304" t="s">
        <v>697</v>
      </c>
      <c r="R74" s="346" t="s">
        <v>698</v>
      </c>
      <c r="S74" s="346" t="s">
        <v>699</v>
      </c>
      <c r="T74" s="347" t="s">
        <v>700</v>
      </c>
      <c r="U74" s="347" t="s">
        <v>701</v>
      </c>
      <c r="V74" s="347" t="s">
        <v>702</v>
      </c>
      <c r="W74" s="347" t="s">
        <v>703</v>
      </c>
      <c r="X74" s="347" t="s">
        <v>704</v>
      </c>
      <c r="Y74" s="295"/>
    </row>
    <row r="75">
      <c r="A75" s="307" t="s">
        <v>732</v>
      </c>
      <c r="B75" s="308" t="s">
        <v>714</v>
      </c>
      <c r="C75" s="309" t="s">
        <v>707</v>
      </c>
      <c r="D75" s="348">
        <v>2476.58</v>
      </c>
      <c r="E75" s="311">
        <v>2</v>
      </c>
      <c r="F75" s="350">
        <v>1020.8</v>
      </c>
      <c r="G75" s="312">
        <f t="shared" ref="G75:G90" si="68">F75/D75</f>
      </c>
      <c r="H75" s="312">
        <f t="shared" ref="H75:H90" si="36">D75/E75</f>
      </c>
      <c r="I75" s="312">
        <f t="shared" ref="I75:I90" si="44">F75/E75</f>
      </c>
      <c r="J75" s="313">
        <f t="shared" ref="J75:J90" si="4">S75/R75</f>
      </c>
      <c r="K75" s="314">
        <f t="shared" ref="K75:K90" si="52">D75/T75</f>
      </c>
      <c r="L75" s="315">
        <f t="shared" ref="L75:L90" si="12">U75/T75</f>
      </c>
      <c r="M75" s="315">
        <f t="shared" ref="M75:M90" si="20">E75/V75</f>
      </c>
      <c r="N75" s="315">
        <f t="shared" ref="N75:N90" si="60">W75/E75</f>
      </c>
      <c r="O75" s="316">
        <f t="shared" ref="O75:O90" si="28">(X75*1000)/D75</f>
      </c>
      <c r="P75" s="317" t="s">
        <v>708</v>
      </c>
      <c r="Q75" s="318" t="s">
        <v>731</v>
      </c>
      <c r="R75" s="319">
        <v>14596</v>
      </c>
      <c r="S75" s="306">
        <v>1332</v>
      </c>
      <c r="T75" s="319">
        <v>1672</v>
      </c>
      <c r="U75" s="306">
        <v>128</v>
      </c>
      <c r="V75" s="320">
        <v>4</v>
      </c>
      <c r="W75" s="320">
        <v>0</v>
      </c>
      <c r="X75" s="350">
        <v>30</v>
      </c>
      <c r="Y75" s="295"/>
    </row>
    <row r="76">
      <c r="A76" s="307"/>
      <c r="B76" s="308" t="s">
        <v>714</v>
      </c>
      <c r="C76" s="310" t="s">
        <v>710</v>
      </c>
      <c r="D76" s="351">
        <v>3299.71</v>
      </c>
      <c r="E76" s="311">
        <v>5</v>
      </c>
      <c r="F76" s="350">
        <v>5418.8</v>
      </c>
      <c r="G76" s="312">
        <f t="shared" si="68"/>
      </c>
      <c r="H76" s="312">
        <f t="shared" si="36"/>
      </c>
      <c r="I76" s="312">
        <f t="shared" si="44"/>
      </c>
      <c r="J76" s="313">
        <f t="shared" si="4"/>
      </c>
      <c r="K76" s="314">
        <f t="shared" si="52"/>
      </c>
      <c r="L76" s="315">
        <f t="shared" si="12"/>
      </c>
      <c r="M76" s="315">
        <f t="shared" si="20"/>
      </c>
      <c r="N76" s="315">
        <f t="shared" si="60"/>
      </c>
      <c r="O76" s="316">
        <f t="shared" si="28"/>
      </c>
      <c r="P76" s="317" t="s">
        <v>708</v>
      </c>
      <c r="Q76" s="318" t="s">
        <v>731</v>
      </c>
      <c r="R76" s="319">
        <v>12709</v>
      </c>
      <c r="S76" s="306">
        <v>1503</v>
      </c>
      <c r="T76" s="322">
        <v>1853</v>
      </c>
      <c r="U76" s="322">
        <v>129</v>
      </c>
      <c r="V76" s="323">
        <v>6</v>
      </c>
      <c r="W76" s="320">
        <v>1</v>
      </c>
      <c r="X76" s="350">
        <v>35</v>
      </c>
      <c r="Y76" s="295"/>
    </row>
    <row r="77">
      <c r="A77" s="307"/>
      <c r="B77" s="308" t="s">
        <v>714</v>
      </c>
      <c r="C77" s="310" t="s">
        <v>711</v>
      </c>
      <c r="D77" s="351">
        <v>3099.26</v>
      </c>
      <c r="E77" s="311">
        <v>2</v>
      </c>
      <c r="F77" s="349">
        <v>1599.5999999999995</v>
      </c>
      <c r="G77" s="312">
        <f t="shared" si="68"/>
      </c>
      <c r="H77" s="312">
        <f t="shared" si="36"/>
      </c>
      <c r="I77" s="312">
        <f t="shared" si="44"/>
      </c>
      <c r="J77" s="313">
        <f t="shared" si="4"/>
      </c>
      <c r="K77" s="314">
        <f t="shared" si="52"/>
      </c>
      <c r="L77" s="315">
        <f t="shared" si="12"/>
      </c>
      <c r="M77" s="315">
        <f t="shared" si="20"/>
      </c>
      <c r="N77" s="315">
        <f t="shared" si="60"/>
      </c>
      <c r="O77" s="316">
        <f t="shared" si="28"/>
      </c>
      <c r="P77" s="317" t="s">
        <v>708</v>
      </c>
      <c r="Q77" s="318" t="s">
        <v>731</v>
      </c>
      <c r="R77" s="319">
        <v>13478</v>
      </c>
      <c r="S77" s="306">
        <v>1477</v>
      </c>
      <c r="T77" s="324">
        <v>1818</v>
      </c>
      <c r="U77" s="324">
        <v>147</v>
      </c>
      <c r="V77" s="325">
        <v>3</v>
      </c>
      <c r="W77" s="320">
        <v>0</v>
      </c>
      <c r="X77" s="350">
        <v>30</v>
      </c>
      <c r="Y77" s="295"/>
    </row>
    <row r="78">
      <c r="A78" s="307"/>
      <c r="B78" s="308" t="s">
        <v>714</v>
      </c>
      <c r="C78" s="310" t="s">
        <v>712</v>
      </c>
      <c r="D78" s="351">
        <v>2737.41</v>
      </c>
      <c r="E78" s="311">
        <v>5</v>
      </c>
      <c r="F78" s="350">
        <v>3274.9</v>
      </c>
      <c r="G78" s="312">
        <f t="shared" si="68"/>
      </c>
      <c r="H78" s="312">
        <f t="shared" si="36"/>
      </c>
      <c r="I78" s="312">
        <f t="shared" si="44"/>
      </c>
      <c r="J78" s="313">
        <f t="shared" si="4"/>
      </c>
      <c r="K78" s="314">
        <f t="shared" si="52"/>
      </c>
      <c r="L78" s="315">
        <f t="shared" si="12"/>
      </c>
      <c r="M78" s="315">
        <f t="shared" si="20"/>
      </c>
      <c r="N78" s="315">
        <f t="shared" si="60"/>
      </c>
      <c r="O78" s="316">
        <f t="shared" si="28"/>
      </c>
      <c r="P78" s="317" t="s">
        <v>708</v>
      </c>
      <c r="Q78" s="318" t="s">
        <v>731</v>
      </c>
      <c r="R78" s="319">
        <v>11480</v>
      </c>
      <c r="S78" s="306">
        <v>1215</v>
      </c>
      <c r="T78" s="324">
        <v>1502</v>
      </c>
      <c r="U78" s="324">
        <v>129</v>
      </c>
      <c r="V78" s="325">
        <v>9</v>
      </c>
      <c r="W78" s="320">
        <v>1</v>
      </c>
      <c r="X78" s="350">
        <v>44</v>
      </c>
      <c r="Y78" s="295"/>
    </row>
    <row r="79">
      <c r="A79" s="307"/>
      <c r="B79" s="326" t="s">
        <v>713</v>
      </c>
      <c r="C79" s="326"/>
      <c r="D79" s="327">
        <f>SUM(D75:D78)</f>
      </c>
      <c r="E79" s="328">
        <f>SUM(E75:E78)</f>
      </c>
      <c r="F79" s="327">
        <f>SUM(F75:F78)</f>
      </c>
      <c r="G79" s="329">
        <f t="shared" si="68"/>
      </c>
      <c r="H79" s="330">
        <f t="shared" si="36"/>
      </c>
      <c r="I79" s="331">
        <f t="shared" si="44"/>
      </c>
      <c r="J79" s="332">
        <f t="shared" si="4"/>
      </c>
      <c r="K79" s="333">
        <f t="shared" si="52"/>
      </c>
      <c r="L79" s="332">
        <f t="shared" si="12"/>
      </c>
      <c r="M79" s="332">
        <f t="shared" si="20"/>
      </c>
      <c r="N79" s="334">
        <f t="shared" si="60"/>
      </c>
      <c r="O79" s="335">
        <f t="shared" si="28"/>
      </c>
      <c r="P79" s="333"/>
      <c r="Q79" s="333"/>
      <c r="R79" s="336">
        <f>SUM(R75:R78)</f>
      </c>
      <c r="S79" s="336">
        <f>SUM(S75:S78)</f>
      </c>
      <c r="T79" s="336">
        <f>SUM(T75:T78)</f>
      </c>
      <c r="U79" s="336">
        <f>SUM(U75:U78)</f>
      </c>
      <c r="V79" s="336">
        <f>SUM(V75:V78)</f>
      </c>
      <c r="W79" s="336">
        <f>SUM(W75:W78)</f>
      </c>
      <c r="X79" s="336">
        <f>SUM(X75:X78)</f>
      </c>
      <c r="Y79" s="295"/>
    </row>
    <row r="80">
      <c r="A80" s="307"/>
      <c r="B80" s="308" t="s">
        <v>721</v>
      </c>
      <c r="C80" s="310" t="s">
        <v>715</v>
      </c>
      <c r="D80" s="308">
        <v>2360.77</v>
      </c>
      <c r="E80" s="311">
        <v>5</v>
      </c>
      <c r="F80" s="308">
        <v>9991.2</v>
      </c>
      <c r="G80" s="312">
        <f t="shared" si="68"/>
      </c>
      <c r="H80" s="312">
        <f t="shared" si="36"/>
      </c>
      <c r="I80" s="312">
        <f t="shared" si="44"/>
      </c>
      <c r="J80" s="313">
        <f t="shared" si="4"/>
      </c>
      <c r="K80" s="314">
        <f t="shared" si="52"/>
      </c>
      <c r="L80" s="315">
        <f t="shared" si="12"/>
      </c>
      <c r="M80" s="315">
        <f t="shared" si="20"/>
      </c>
      <c r="N80" s="315">
        <f t="shared" si="60"/>
      </c>
      <c r="O80" s="316">
        <f t="shared" si="28"/>
      </c>
      <c r="P80" s="317" t="s">
        <v>716</v>
      </c>
      <c r="Q80" s="318" t="s">
        <v>717</v>
      </c>
      <c r="R80" s="324">
        <v>8723</v>
      </c>
      <c r="S80" s="324">
        <v>895</v>
      </c>
      <c r="T80" s="324">
        <v>1166</v>
      </c>
      <c r="U80" s="324">
        <v>94</v>
      </c>
      <c r="V80" s="325">
        <v>6</v>
      </c>
      <c r="W80" s="325">
        <v>1</v>
      </c>
      <c r="X80" s="337">
        <v>22</v>
      </c>
      <c r="Y80" s="295"/>
    </row>
    <row r="81">
      <c r="A81" s="307"/>
      <c r="B81" s="308" t="s">
        <v>721</v>
      </c>
      <c r="C81" s="309" t="s">
        <v>718</v>
      </c>
      <c r="D81" s="308">
        <v>2185.02</v>
      </c>
      <c r="E81" s="311">
        <v>0</v>
      </c>
      <c r="F81" s="308">
        <v>0</v>
      </c>
      <c r="G81" s="312">
        <f t="shared" si="68"/>
      </c>
      <c r="H81" s="312">
        <f t="shared" si="36"/>
      </c>
      <c r="I81" s="312">
        <f t="shared" si="44"/>
      </c>
      <c r="J81" s="313">
        <f t="shared" si="4"/>
      </c>
      <c r="K81" s="314">
        <f t="shared" si="52"/>
      </c>
      <c r="L81" s="315">
        <f t="shared" si="12"/>
      </c>
      <c r="M81" s="315">
        <f t="shared" si="20"/>
      </c>
      <c r="N81" s="315">
        <f t="shared" si="60"/>
      </c>
      <c r="O81" s="316">
        <f t="shared" si="28"/>
      </c>
      <c r="P81" s="317" t="s">
        <v>716</v>
      </c>
      <c r="Q81" s="318" t="s">
        <v>717</v>
      </c>
      <c r="R81" s="324">
        <v>8763</v>
      </c>
      <c r="S81" s="324">
        <v>883</v>
      </c>
      <c r="T81" s="324">
        <v>1131</v>
      </c>
      <c r="U81" s="324">
        <v>92</v>
      </c>
      <c r="V81" s="325">
        <v>1</v>
      </c>
      <c r="W81" s="325">
        <v>0</v>
      </c>
      <c r="X81" s="337">
        <v>11</v>
      </c>
      <c r="Y81" s="295"/>
    </row>
    <row r="82">
      <c r="A82" s="307"/>
      <c r="B82" s="308" t="s">
        <v>721</v>
      </c>
      <c r="C82" s="309" t="s">
        <v>719</v>
      </c>
      <c r="D82" s="308">
        <v>1842.85</v>
      </c>
      <c r="E82" s="311">
        <v>2</v>
      </c>
      <c r="F82" s="308">
        <v>804</v>
      </c>
      <c r="G82" s="312">
        <f t="shared" si="68"/>
      </c>
      <c r="H82" s="312">
        <f t="shared" si="36"/>
      </c>
      <c r="I82" s="312">
        <f t="shared" si="44"/>
      </c>
      <c r="J82" s="313">
        <f t="shared" si="4"/>
      </c>
      <c r="K82" s="314">
        <f t="shared" si="52"/>
      </c>
      <c r="L82" s="315">
        <f t="shared" si="12"/>
      </c>
      <c r="M82" s="315">
        <f t="shared" si="20"/>
      </c>
      <c r="N82" s="315">
        <f t="shared" si="60"/>
      </c>
      <c r="O82" s="316">
        <f t="shared" si="28"/>
      </c>
      <c r="P82" s="317" t="s">
        <v>716</v>
      </c>
      <c r="Q82" s="318" t="s">
        <v>717</v>
      </c>
      <c r="R82" s="324">
        <v>9240</v>
      </c>
      <c r="S82" s="324">
        <v>877</v>
      </c>
      <c r="T82" s="324">
        <v>1162</v>
      </c>
      <c r="U82" s="324">
        <v>124</v>
      </c>
      <c r="V82" s="325">
        <v>4</v>
      </c>
      <c r="W82" s="325">
        <v>0</v>
      </c>
      <c r="X82" s="337">
        <v>18</v>
      </c>
      <c r="Y82" s="295"/>
    </row>
    <row r="83">
      <c r="A83" s="307"/>
      <c r="B83" s="308" t="s">
        <v>721</v>
      </c>
      <c r="C83" s="309" t="s">
        <v>720</v>
      </c>
      <c r="D83" s="308">
        <v>2160.56</v>
      </c>
      <c r="E83" s="311">
        <v>4</v>
      </c>
      <c r="F83" s="308">
        <v>3395.3</v>
      </c>
      <c r="G83" s="312">
        <f t="shared" si="68"/>
      </c>
      <c r="H83" s="312">
        <f t="shared" si="36"/>
      </c>
      <c r="I83" s="312">
        <f t="shared" si="44"/>
      </c>
      <c r="J83" s="313">
        <f t="shared" si="4"/>
      </c>
      <c r="K83" s="314">
        <f t="shared" si="52"/>
      </c>
      <c r="L83" s="315">
        <f t="shared" si="12"/>
      </c>
      <c r="M83" s="315">
        <f t="shared" si="20"/>
      </c>
      <c r="N83" s="315">
        <f t="shared" si="60"/>
      </c>
      <c r="O83" s="316">
        <f t="shared" si="28"/>
      </c>
      <c r="P83" s="317" t="s">
        <v>716</v>
      </c>
      <c r="Q83" s="318" t="s">
        <v>717</v>
      </c>
      <c r="R83" s="324">
        <v>9084</v>
      </c>
      <c r="S83" s="324">
        <v>983</v>
      </c>
      <c r="T83" s="324">
        <v>1237</v>
      </c>
      <c r="U83" s="324">
        <v>115</v>
      </c>
      <c r="V83" s="325">
        <v>5</v>
      </c>
      <c r="W83" s="325">
        <v>0</v>
      </c>
      <c r="X83" s="337">
        <v>31</v>
      </c>
      <c r="Y83" s="295"/>
    </row>
    <row r="84">
      <c r="A84" s="307"/>
      <c r="B84" s="326" t="s">
        <v>713</v>
      </c>
      <c r="C84" s="326"/>
      <c r="D84" s="327">
        <f>SUM(D80:D83)</f>
      </c>
      <c r="E84" s="328">
        <f>SUM(E80:E83)</f>
      </c>
      <c r="F84" s="327">
        <f>SUM(F80:F83)</f>
      </c>
      <c r="G84" s="329">
        <f t="shared" si="68"/>
      </c>
      <c r="H84" s="330">
        <f t="shared" si="36"/>
      </c>
      <c r="I84" s="331">
        <f t="shared" si="44"/>
      </c>
      <c r="J84" s="332">
        <f t="shared" si="4"/>
      </c>
      <c r="K84" s="333">
        <f t="shared" si="52"/>
      </c>
      <c r="L84" s="332">
        <f t="shared" si="12"/>
      </c>
      <c r="M84" s="332">
        <f t="shared" si="20"/>
      </c>
      <c r="N84" s="334">
        <f t="shared" si="60"/>
      </c>
      <c r="O84" s="335">
        <f t="shared" si="28"/>
      </c>
      <c r="P84" s="333"/>
      <c r="Q84" s="333"/>
      <c r="R84" s="336">
        <f>SUM(R80:R83)</f>
      </c>
      <c r="S84" s="336">
        <f>SUM(S80:S83)</f>
      </c>
      <c r="T84" s="336">
        <f>SUM(T80:T83)</f>
      </c>
      <c r="U84" s="336">
        <f>SUM(U80:U83)</f>
      </c>
      <c r="V84" s="336">
        <f>SUM(V80:V83)</f>
      </c>
      <c r="W84" s="336">
        <f>SUM(W80:W83)</f>
      </c>
      <c r="X84" s="336">
        <f>SUM(X80:X83)</f>
      </c>
    </row>
    <row r="85">
      <c r="A85" s="307"/>
      <c r="B85" s="308" t="s">
        <v>733</v>
      </c>
      <c r="C85" s="309" t="s">
        <v>722</v>
      </c>
      <c r="D85" s="308">
        <v>2823.95</v>
      </c>
      <c r="E85" s="311">
        <v>1</v>
      </c>
      <c r="F85" s="308">
        <v>652.8</v>
      </c>
      <c r="G85" s="312">
        <f t="shared" si="68"/>
      </c>
      <c r="H85" s="312">
        <f t="shared" si="36"/>
      </c>
      <c r="I85" s="312">
        <f t="shared" si="44"/>
      </c>
      <c r="J85" s="313">
        <f t="shared" si="4"/>
      </c>
      <c r="K85" s="314">
        <f t="shared" si="52"/>
      </c>
      <c r="L85" s="315">
        <f t="shared" si="12"/>
      </c>
      <c r="M85" s="315">
        <f t="shared" si="20"/>
      </c>
      <c r="N85" s="315">
        <f t="shared" si="60"/>
      </c>
      <c r="O85" s="316">
        <f t="shared" si="28"/>
      </c>
      <c r="P85" s="317" t="s">
        <v>716</v>
      </c>
      <c r="Q85" s="318" t="s">
        <v>717</v>
      </c>
      <c r="R85" s="324">
        <v>9595</v>
      </c>
      <c r="S85" s="324">
        <v>1099</v>
      </c>
      <c r="T85" s="324">
        <v>1376</v>
      </c>
      <c r="U85" s="324">
        <v>121</v>
      </c>
      <c r="V85" s="325">
        <v>2</v>
      </c>
      <c r="W85" s="325">
        <v>0</v>
      </c>
      <c r="X85" s="337">
        <v>31</v>
      </c>
    </row>
    <row r="86">
      <c r="A86" s="307"/>
      <c r="B86" s="308" t="s">
        <v>733</v>
      </c>
      <c r="C86" s="338" t="s">
        <v>723</v>
      </c>
      <c r="D86" s="308">
        <v>3412.47</v>
      </c>
      <c r="E86" s="311">
        <v>4</v>
      </c>
      <c r="F86" s="308">
        <v>3357.2</v>
      </c>
      <c r="G86" s="312">
        <f t="shared" si="68"/>
      </c>
      <c r="H86" s="312">
        <f t="shared" si="36"/>
      </c>
      <c r="I86" s="312">
        <f t="shared" si="44"/>
      </c>
      <c r="J86" s="313">
        <f t="shared" si="4"/>
      </c>
      <c r="K86" s="314">
        <f t="shared" si="52"/>
      </c>
      <c r="L86" s="315">
        <f t="shared" si="12"/>
      </c>
      <c r="M86" s="315">
        <f t="shared" si="20"/>
      </c>
      <c r="N86" s="315">
        <f t="shared" si="60"/>
      </c>
      <c r="O86" s="316">
        <f t="shared" si="28"/>
      </c>
      <c r="P86" s="317" t="s">
        <v>716</v>
      </c>
      <c r="Q86" s="318" t="s">
        <v>717</v>
      </c>
      <c r="R86" s="324">
        <v>14476</v>
      </c>
      <c r="S86" s="324">
        <v>1469</v>
      </c>
      <c r="T86" s="324">
        <v>1789</v>
      </c>
      <c r="U86" s="324">
        <v>122</v>
      </c>
      <c r="V86" s="325">
        <v>5</v>
      </c>
      <c r="W86" s="325">
        <v>1</v>
      </c>
      <c r="X86" s="337">
        <v>48</v>
      </c>
    </row>
    <row r="87">
      <c r="A87" s="307"/>
      <c r="B87" s="308" t="s">
        <v>733</v>
      </c>
      <c r="C87" s="338" t="s">
        <v>724</v>
      </c>
      <c r="D87" s="308">
        <v>3732.96</v>
      </c>
      <c r="E87" s="311">
        <v>8</v>
      </c>
      <c r="F87" s="308">
        <v>8031.2</v>
      </c>
      <c r="G87" s="312">
        <f t="shared" si="68"/>
      </c>
      <c r="H87" s="312">
        <f t="shared" si="36"/>
      </c>
      <c r="I87" s="312">
        <f t="shared" si="44"/>
      </c>
      <c r="J87" s="313">
        <f t="shared" si="4"/>
      </c>
      <c r="K87" s="314">
        <f t="shared" si="52"/>
      </c>
      <c r="L87" s="315">
        <f t="shared" si="12"/>
      </c>
      <c r="M87" s="315">
        <f t="shared" si="20"/>
      </c>
      <c r="N87" s="315">
        <f t="shared" si="60"/>
      </c>
      <c r="O87" s="316">
        <f t="shared" si="28"/>
      </c>
      <c r="P87" s="317" t="s">
        <v>716</v>
      </c>
      <c r="Q87" s="318" t="s">
        <v>717</v>
      </c>
      <c r="R87" s="324">
        <v>18900</v>
      </c>
      <c r="S87" s="324">
        <v>1568</v>
      </c>
      <c r="T87" s="324">
        <v>1871</v>
      </c>
      <c r="U87" s="324">
        <v>129</v>
      </c>
      <c r="V87" s="325">
        <v>11</v>
      </c>
      <c r="W87" s="325">
        <v>0</v>
      </c>
      <c r="X87" s="337">
        <v>28</v>
      </c>
    </row>
    <row r="88">
      <c r="A88" s="307"/>
      <c r="B88" s="308" t="s">
        <v>733</v>
      </c>
      <c r="C88" s="338" t="s">
        <v>725</v>
      </c>
      <c r="D88" s="308">
        <v>2651.47</v>
      </c>
      <c r="E88" s="311">
        <v>3</v>
      </c>
      <c r="F88" s="308">
        <v>2778</v>
      </c>
      <c r="G88" s="312">
        <f t="shared" si="68"/>
      </c>
      <c r="H88" s="312">
        <f t="shared" si="36"/>
      </c>
      <c r="I88" s="312">
        <f t="shared" si="44"/>
      </c>
      <c r="J88" s="313">
        <f t="shared" si="4"/>
      </c>
      <c r="K88" s="314">
        <f t="shared" si="52"/>
      </c>
      <c r="L88" s="315">
        <f t="shared" si="12"/>
      </c>
      <c r="M88" s="315">
        <f t="shared" si="20"/>
      </c>
      <c r="N88" s="315">
        <f t="shared" si="60"/>
      </c>
      <c r="O88" s="316">
        <f t="shared" si="28"/>
      </c>
      <c r="P88" s="317" t="s">
        <v>716</v>
      </c>
      <c r="Q88" s="318" t="s">
        <v>717</v>
      </c>
      <c r="R88" s="324">
        <v>10369</v>
      </c>
      <c r="S88" s="324">
        <v>1075</v>
      </c>
      <c r="T88" s="324">
        <v>1214</v>
      </c>
      <c r="U88" s="324">
        <v>86</v>
      </c>
      <c r="V88" s="325">
        <v>5</v>
      </c>
      <c r="W88" s="325">
        <v>0</v>
      </c>
      <c r="X88" s="337">
        <v>26</v>
      </c>
    </row>
    <row r="89">
      <c r="A89" s="307"/>
      <c r="B89" s="326" t="s">
        <v>713</v>
      </c>
      <c r="C89" s="326"/>
      <c r="D89" s="327">
        <f>SUM(D85:D88)</f>
      </c>
      <c r="E89" s="328">
        <f>SUM(E85:E88)</f>
      </c>
      <c r="F89" s="327">
        <f>SUM(F85:F88)</f>
      </c>
      <c r="G89" s="329">
        <f t="shared" si="68"/>
      </c>
      <c r="H89" s="330">
        <f t="shared" si="36"/>
      </c>
      <c r="I89" s="331">
        <f t="shared" si="44"/>
      </c>
      <c r="J89" s="332">
        <f t="shared" si="4"/>
      </c>
      <c r="K89" s="333">
        <f t="shared" si="52"/>
      </c>
      <c r="L89" s="332">
        <f t="shared" si="12"/>
      </c>
      <c r="M89" s="332">
        <f t="shared" si="20"/>
      </c>
      <c r="N89" s="334">
        <f t="shared" si="60"/>
      </c>
      <c r="O89" s="335">
        <f t="shared" si="28"/>
      </c>
      <c r="P89" s="333"/>
      <c r="Q89" s="333"/>
      <c r="R89" s="336">
        <f>SUM(R85:R88)</f>
      </c>
      <c r="S89" s="336">
        <f>SUM(S85:S88)</f>
      </c>
      <c r="T89" s="336">
        <f>SUM(T85:T88)</f>
      </c>
      <c r="U89" s="336">
        <f>SUM(U85:U88)</f>
      </c>
      <c r="V89" s="336">
        <f>SUM(V85:V88)</f>
      </c>
      <c r="W89" s="336">
        <f>SUM(W85:W88)</f>
      </c>
      <c r="X89" s="336">
        <f>SUM(X85:X88)</f>
      </c>
    </row>
    <row r="90">
      <c r="A90" s="307"/>
      <c r="B90" s="339" t="s">
        <v>726</v>
      </c>
      <c r="C90" s="339"/>
      <c r="D90" s="340">
        <f>D79+D84+D89</f>
      </c>
      <c r="E90" s="341">
        <f>E79+E84+E89</f>
      </c>
      <c r="F90" s="340">
        <f>F79+F84+F89</f>
      </c>
      <c r="G90" s="339">
        <f t="shared" si="68"/>
      </c>
      <c r="H90" s="339">
        <f t="shared" si="36"/>
      </c>
      <c r="I90" s="339">
        <f t="shared" si="44"/>
      </c>
      <c r="J90" s="342">
        <f t="shared" si="4"/>
      </c>
      <c r="K90" s="339">
        <f t="shared" si="52"/>
      </c>
      <c r="L90" s="342">
        <f t="shared" si="12"/>
      </c>
      <c r="M90" s="342">
        <f t="shared" si="20"/>
      </c>
      <c r="N90" s="342">
        <f t="shared" si="60"/>
      </c>
      <c r="O90" s="339">
        <f t="shared" si="28"/>
      </c>
      <c r="P90" s="343"/>
      <c r="Q90" s="343"/>
      <c r="R90" s="344">
        <f>R79+R84+R89</f>
      </c>
      <c r="S90" s="344">
        <f>S79+S84+S89</f>
      </c>
      <c r="T90" s="344">
        <f>T79+T84+T89</f>
      </c>
      <c r="U90" s="344">
        <f>U79+U84+U89</f>
      </c>
      <c r="V90" s="344">
        <f>V79+V84+V89</f>
      </c>
      <c r="W90" s="344">
        <f>W79+W84+W89</f>
      </c>
      <c r="X90" s="344">
        <f>X79+X84+X89</f>
      </c>
    </row>
    <row r="91">
      <c r="A91" s="291" t="s">
        <v>677</v>
      </c>
      <c r="B91" s="291"/>
      <c r="C91" s="291"/>
      <c r="D91" s="292" t="s">
        <v>678</v>
      </c>
      <c r="E91" s="292"/>
      <c r="F91" s="292"/>
      <c r="G91" s="292"/>
      <c r="H91" s="292"/>
      <c r="I91" s="292"/>
      <c r="J91" s="293" t="s">
        <v>679</v>
      </c>
      <c r="K91" s="293"/>
      <c r="L91" s="293"/>
      <c r="M91" s="293"/>
      <c r="N91" s="293"/>
      <c r="O91" s="293"/>
      <c r="P91" s="293"/>
      <c r="Q91" s="293"/>
      <c r="R91" s="345" t="s">
        <v>680</v>
      </c>
      <c r="S91" s="345"/>
      <c r="T91" s="345"/>
      <c r="U91" s="345"/>
      <c r="V91" s="345"/>
      <c r="W91" s="345"/>
      <c r="X91" s="345"/>
      <c r="Y91" s="295"/>
    </row>
    <row r="92">
      <c r="A92" s="296" t="s">
        <v>681</v>
      </c>
      <c r="B92" s="296" t="s">
        <v>682</v>
      </c>
      <c r="C92" s="296" t="s">
        <v>683</v>
      </c>
      <c r="D92" s="297" t="s">
        <v>684</v>
      </c>
      <c r="E92" s="298" t="s">
        <v>685</v>
      </c>
      <c r="F92" s="297" t="s">
        <v>686</v>
      </c>
      <c r="G92" s="299" t="s">
        <v>687</v>
      </c>
      <c r="H92" s="300" t="s">
        <v>688</v>
      </c>
      <c r="I92" s="297" t="s">
        <v>689</v>
      </c>
      <c r="J92" s="301" t="s">
        <v>690</v>
      </c>
      <c r="K92" s="302" t="s">
        <v>691</v>
      </c>
      <c r="L92" s="301" t="s">
        <v>692</v>
      </c>
      <c r="M92" s="301" t="s">
        <v>693</v>
      </c>
      <c r="N92" s="303" t="s">
        <v>694</v>
      </c>
      <c r="O92" s="303" t="s">
        <v>695</v>
      </c>
      <c r="P92" s="304" t="s">
        <v>696</v>
      </c>
      <c r="Q92" s="304" t="s">
        <v>697</v>
      </c>
      <c r="R92" s="346" t="s">
        <v>698</v>
      </c>
      <c r="S92" s="346" t="s">
        <v>699</v>
      </c>
      <c r="T92" s="347" t="s">
        <v>700</v>
      </c>
      <c r="U92" s="347" t="s">
        <v>701</v>
      </c>
      <c r="V92" s="347" t="s">
        <v>702</v>
      </c>
      <c r="W92" s="347" t="s">
        <v>703</v>
      </c>
      <c r="X92" s="347" t="s">
        <v>704</v>
      </c>
      <c r="Y92" s="295"/>
    </row>
    <row r="93">
      <c r="A93" s="307" t="s">
        <v>734</v>
      </c>
      <c r="B93" s="308" t="s">
        <v>706</v>
      </c>
      <c r="C93" s="309" t="s">
        <v>707</v>
      </c>
      <c r="D93" s="350">
        <v>1959.03</v>
      </c>
      <c r="E93" s="350">
        <v>3</v>
      </c>
      <c r="F93" s="350">
        <v>4249.2</v>
      </c>
      <c r="G93" s="312">
        <f t="shared" ref="G93:G108" si="69">F93/D93</f>
      </c>
      <c r="H93" s="312">
        <f t="shared" ref="H93:H108" si="37">D93/E93</f>
      </c>
      <c r="I93" s="312">
        <f t="shared" ref="I93:I108" si="45">F93/E93</f>
      </c>
      <c r="J93" s="313">
        <f t="shared" ref="J93:J108" si="5">S93/R93</f>
      </c>
      <c r="K93" s="314">
        <f t="shared" ref="K93:K108" si="53">D93/T93</f>
      </c>
      <c r="L93" s="315">
        <f t="shared" ref="L93:L108" si="13">U93/T93</f>
      </c>
      <c r="M93" s="315">
        <f t="shared" ref="M93:M108" si="21">E93/V93</f>
      </c>
      <c r="N93" s="315">
        <f t="shared" ref="N93:N108" si="61">W93/E93</f>
      </c>
      <c r="O93" s="316">
        <f t="shared" ref="O93:O108" si="29">(X93*1000)/D93</f>
      </c>
      <c r="P93" s="317" t="s">
        <v>708</v>
      </c>
      <c r="Q93" s="318" t="s">
        <v>731</v>
      </c>
      <c r="R93" s="319">
        <v>8828</v>
      </c>
      <c r="S93" s="306">
        <v>1012</v>
      </c>
      <c r="T93" s="319">
        <v>1280</v>
      </c>
      <c r="U93" s="306">
        <v>95</v>
      </c>
      <c r="V93" s="320">
        <v>4</v>
      </c>
      <c r="W93" s="320">
        <v>0</v>
      </c>
      <c r="X93" s="350">
        <v>18</v>
      </c>
      <c r="Y93" s="295"/>
    </row>
    <row r="94">
      <c r="A94" s="307"/>
      <c r="B94" s="308" t="s">
        <v>706</v>
      </c>
      <c r="C94" s="310" t="s">
        <v>710</v>
      </c>
      <c r="D94" s="350">
        <v>2832.32</v>
      </c>
      <c r="E94" s="350">
        <v>2</v>
      </c>
      <c r="F94" s="350">
        <v>1054.8000000000002</v>
      </c>
      <c r="G94" s="312">
        <f t="shared" si="69"/>
      </c>
      <c r="H94" s="312">
        <f t="shared" si="37"/>
      </c>
      <c r="I94" s="312">
        <f t="shared" si="45"/>
      </c>
      <c r="J94" s="313">
        <f t="shared" si="5"/>
      </c>
      <c r="K94" s="314">
        <f t="shared" si="53"/>
      </c>
      <c r="L94" s="315">
        <f t="shared" si="13"/>
      </c>
      <c r="M94" s="315">
        <f t="shared" si="21"/>
      </c>
      <c r="N94" s="315">
        <f t="shared" si="61"/>
      </c>
      <c r="O94" s="316">
        <f t="shared" si="29"/>
      </c>
      <c r="P94" s="317" t="s">
        <v>708</v>
      </c>
      <c r="Q94" s="318" t="s">
        <v>731</v>
      </c>
      <c r="R94" s="319">
        <v>12045</v>
      </c>
      <c r="S94" s="306">
        <v>1577</v>
      </c>
      <c r="T94" s="322">
        <v>1966</v>
      </c>
      <c r="U94" s="322">
        <v>143</v>
      </c>
      <c r="V94" s="323">
        <v>3</v>
      </c>
      <c r="W94" s="320">
        <v>0</v>
      </c>
      <c r="X94" s="350">
        <v>41</v>
      </c>
      <c r="Y94" s="295"/>
    </row>
    <row r="95">
      <c r="A95" s="307"/>
      <c r="B95" s="308" t="s">
        <v>706</v>
      </c>
      <c r="C95" s="310" t="s">
        <v>711</v>
      </c>
      <c r="D95" s="350">
        <v>2884.31</v>
      </c>
      <c r="E95" s="350">
        <v>4</v>
      </c>
      <c r="F95" s="350">
        <v>5476.799999999999</v>
      </c>
      <c r="G95" s="312">
        <f t="shared" si="69"/>
      </c>
      <c r="H95" s="312">
        <f t="shared" si="37"/>
      </c>
      <c r="I95" s="312">
        <f t="shared" si="45"/>
      </c>
      <c r="J95" s="313">
        <f t="shared" si="5"/>
      </c>
      <c r="K95" s="314">
        <f t="shared" si="53"/>
      </c>
      <c r="L95" s="315">
        <f t="shared" si="13"/>
      </c>
      <c r="M95" s="315">
        <f t="shared" si="21"/>
      </c>
      <c r="N95" s="315">
        <f t="shared" si="61"/>
      </c>
      <c r="O95" s="316">
        <f t="shared" si="29"/>
      </c>
      <c r="P95" s="317" t="s">
        <v>708</v>
      </c>
      <c r="Q95" s="318" t="s">
        <v>731</v>
      </c>
      <c r="R95" s="319">
        <v>10117</v>
      </c>
      <c r="S95" s="306">
        <v>1166</v>
      </c>
      <c r="T95" s="324">
        <v>1521</v>
      </c>
      <c r="U95" s="324">
        <v>131</v>
      </c>
      <c r="V95" s="325">
        <v>9</v>
      </c>
      <c r="W95" s="320">
        <v>1</v>
      </c>
      <c r="X95" s="350">
        <v>34</v>
      </c>
      <c r="Y95" s="295"/>
    </row>
    <row r="96">
      <c r="A96" s="307"/>
      <c r="B96" s="308" t="s">
        <v>706</v>
      </c>
      <c r="C96" s="310" t="s">
        <v>712</v>
      </c>
      <c r="D96" s="350">
        <v>3675.27</v>
      </c>
      <c r="E96" s="350">
        <v>3</v>
      </c>
      <c r="F96" s="350">
        <v>5289.6</v>
      </c>
      <c r="G96" s="312">
        <f t="shared" si="69"/>
      </c>
      <c r="H96" s="312">
        <f t="shared" si="37"/>
      </c>
      <c r="I96" s="312">
        <f t="shared" si="45"/>
      </c>
      <c r="J96" s="313">
        <f t="shared" si="5"/>
      </c>
      <c r="K96" s="314">
        <f t="shared" si="53"/>
      </c>
      <c r="L96" s="315">
        <f t="shared" si="13"/>
      </c>
      <c r="M96" s="315">
        <f t="shared" si="21"/>
      </c>
      <c r="N96" s="315">
        <f t="shared" si="61"/>
      </c>
      <c r="O96" s="316">
        <f t="shared" si="29"/>
      </c>
      <c r="P96" s="317" t="s">
        <v>708</v>
      </c>
      <c r="Q96" s="318" t="s">
        <v>731</v>
      </c>
      <c r="R96" s="319">
        <v>27898</v>
      </c>
      <c r="S96" s="306">
        <v>1969</v>
      </c>
      <c r="T96" s="324">
        <v>2377</v>
      </c>
      <c r="U96" s="324">
        <v>158</v>
      </c>
      <c r="V96" s="325">
        <v>6</v>
      </c>
      <c r="W96" s="320">
        <v>0</v>
      </c>
      <c r="X96" s="350">
        <v>32</v>
      </c>
      <c r="Y96" s="295"/>
    </row>
    <row r="97">
      <c r="A97" s="307"/>
      <c r="B97" s="326" t="s">
        <v>713</v>
      </c>
      <c r="C97" s="326"/>
      <c r="D97" s="327">
        <f>SUM(D93:D96)</f>
      </c>
      <c r="E97" s="328">
        <f>SUM(E93:E96)</f>
      </c>
      <c r="F97" s="327">
        <f>SUM(F93:F96)</f>
      </c>
      <c r="G97" s="329">
        <f t="shared" si="69"/>
      </c>
      <c r="H97" s="330">
        <f t="shared" si="37"/>
      </c>
      <c r="I97" s="331">
        <f t="shared" si="45"/>
      </c>
      <c r="J97" s="332">
        <f t="shared" si="5"/>
      </c>
      <c r="K97" s="333">
        <f t="shared" si="53"/>
      </c>
      <c r="L97" s="332">
        <f t="shared" si="13"/>
      </c>
      <c r="M97" s="332">
        <f t="shared" si="21"/>
      </c>
      <c r="N97" s="334">
        <f t="shared" si="61"/>
      </c>
      <c r="O97" s="335">
        <f t="shared" si="29"/>
      </c>
      <c r="P97" s="333"/>
      <c r="Q97" s="333"/>
      <c r="R97" s="336">
        <f>SUM(R93:R96)</f>
      </c>
      <c r="S97" s="336">
        <f>SUM(S93:S96)</f>
      </c>
      <c r="T97" s="336">
        <f>SUM(T93:T96)</f>
      </c>
      <c r="U97" s="336">
        <f>SUM(U93:U96)</f>
      </c>
      <c r="V97" s="336">
        <f>SUM(V93:V96)</f>
      </c>
      <c r="W97" s="336">
        <f>SUM(W93:W96)</f>
      </c>
      <c r="X97" s="336">
        <f>SUM(X93:X96)</f>
      </c>
      <c r="Y97" s="295"/>
    </row>
    <row r="98">
      <c r="A98" s="307"/>
      <c r="B98" s="308" t="s">
        <v>733</v>
      </c>
      <c r="C98" s="310" t="s">
        <v>715</v>
      </c>
      <c r="D98" s="350">
        <v>2729.67</v>
      </c>
      <c r="E98" s="350">
        <v>1</v>
      </c>
      <c r="F98" s="350">
        <v>652.8</v>
      </c>
      <c r="G98" s="312">
        <f t="shared" si="69"/>
      </c>
      <c r="H98" s="312">
        <f t="shared" si="37"/>
      </c>
      <c r="I98" s="312">
        <f t="shared" si="45"/>
      </c>
      <c r="J98" s="313">
        <f t="shared" si="5"/>
      </c>
      <c r="K98" s="314">
        <f t="shared" si="53"/>
      </c>
      <c r="L98" s="315">
        <f t="shared" si="13"/>
      </c>
      <c r="M98" s="315">
        <f t="shared" si="21"/>
      </c>
      <c r="N98" s="315">
        <f t="shared" si="61"/>
      </c>
      <c r="O98" s="316">
        <f t="shared" si="29"/>
      </c>
      <c r="P98" s="317" t="s">
        <v>716</v>
      </c>
      <c r="Q98" s="318" t="s">
        <v>735</v>
      </c>
      <c r="R98" s="324">
        <v>12766</v>
      </c>
      <c r="S98" s="324">
        <v>964</v>
      </c>
      <c r="T98" s="324">
        <v>1188</v>
      </c>
      <c r="U98" s="324">
        <v>96</v>
      </c>
      <c r="V98" s="325">
        <v>2</v>
      </c>
      <c r="W98" s="325">
        <v>0</v>
      </c>
      <c r="X98" s="337">
        <v>17</v>
      </c>
      <c r="Y98" s="295"/>
    </row>
    <row r="99">
      <c r="A99" s="307"/>
      <c r="B99" s="308" t="s">
        <v>733</v>
      </c>
      <c r="C99" s="309" t="s">
        <v>718</v>
      </c>
      <c r="D99" s="350">
        <v>2258.16</v>
      </c>
      <c r="E99" s="350">
        <v>1</v>
      </c>
      <c r="F99" s="350">
        <v>652.8</v>
      </c>
      <c r="G99" s="312">
        <f t="shared" si="69"/>
      </c>
      <c r="H99" s="312">
        <f t="shared" si="37"/>
      </c>
      <c r="I99" s="312">
        <f t="shared" si="45"/>
      </c>
      <c r="J99" s="313">
        <f t="shared" si="5"/>
      </c>
      <c r="K99" s="314">
        <f t="shared" si="53"/>
      </c>
      <c r="L99" s="315">
        <f t="shared" si="13"/>
      </c>
      <c r="M99" s="315">
        <f t="shared" si="21"/>
      </c>
      <c r="N99" s="315">
        <f t="shared" si="61"/>
      </c>
      <c r="O99" s="316">
        <f t="shared" si="29"/>
      </c>
      <c r="P99" s="317" t="s">
        <v>716</v>
      </c>
      <c r="Q99" s="318" t="s">
        <v>735</v>
      </c>
      <c r="R99" s="324">
        <v>9535</v>
      </c>
      <c r="S99" s="324">
        <v>728</v>
      </c>
      <c r="T99" s="324">
        <v>932</v>
      </c>
      <c r="U99" s="324">
        <v>84</v>
      </c>
      <c r="V99" s="325">
        <v>1</v>
      </c>
      <c r="W99" s="325">
        <v>0</v>
      </c>
      <c r="X99" s="337">
        <v>12</v>
      </c>
      <c r="Y99" s="295"/>
    </row>
    <row r="100">
      <c r="A100" s="307"/>
      <c r="B100" s="308" t="s">
        <v>733</v>
      </c>
      <c r="C100" s="309" t="s">
        <v>719</v>
      </c>
      <c r="D100" s="350">
        <v>2447.79</v>
      </c>
      <c r="E100" s="350">
        <v>2</v>
      </c>
      <c r="F100" s="350">
        <v>4082.4</v>
      </c>
      <c r="G100" s="312">
        <f t="shared" si="69"/>
      </c>
      <c r="H100" s="312">
        <f t="shared" si="37"/>
      </c>
      <c r="I100" s="312">
        <f t="shared" si="45"/>
      </c>
      <c r="J100" s="313">
        <f t="shared" si="5"/>
      </c>
      <c r="K100" s="314">
        <f t="shared" si="53"/>
      </c>
      <c r="L100" s="315">
        <f t="shared" si="13"/>
      </c>
      <c r="M100" s="315">
        <f t="shared" si="21"/>
      </c>
      <c r="N100" s="315">
        <f t="shared" si="61"/>
      </c>
      <c r="O100" s="316">
        <f t="shared" si="29"/>
      </c>
      <c r="P100" s="317" t="s">
        <v>716</v>
      </c>
      <c r="Q100" s="318" t="s">
        <v>735</v>
      </c>
      <c r="R100" s="324">
        <v>9739</v>
      </c>
      <c r="S100" s="324">
        <v>1132</v>
      </c>
      <c r="T100" s="324">
        <v>1463</v>
      </c>
      <c r="U100" s="324">
        <v>158</v>
      </c>
      <c r="V100" s="325">
        <v>4</v>
      </c>
      <c r="W100" s="325">
        <v>0</v>
      </c>
      <c r="X100" s="337">
        <v>27</v>
      </c>
      <c r="Y100" s="295"/>
    </row>
    <row r="101">
      <c r="A101" s="307"/>
      <c r="B101" s="308" t="s">
        <v>733</v>
      </c>
      <c r="C101" s="309" t="s">
        <v>720</v>
      </c>
      <c r="D101" s="350">
        <v>3047.25</v>
      </c>
      <c r="E101" s="350">
        <v>2</v>
      </c>
      <c r="F101" s="350">
        <v>1054.8</v>
      </c>
      <c r="G101" s="312">
        <f t="shared" si="69"/>
      </c>
      <c r="H101" s="312">
        <f t="shared" si="37"/>
      </c>
      <c r="I101" s="312">
        <f t="shared" si="45"/>
      </c>
      <c r="J101" s="313">
        <f t="shared" si="5"/>
      </c>
      <c r="K101" s="314">
        <f t="shared" si="53"/>
      </c>
      <c r="L101" s="315">
        <f t="shared" si="13"/>
      </c>
      <c r="M101" s="315">
        <f t="shared" si="21"/>
      </c>
      <c r="N101" s="315">
        <f t="shared" si="61"/>
      </c>
      <c r="O101" s="316">
        <f t="shared" si="29"/>
      </c>
      <c r="P101" s="317" t="s">
        <v>716</v>
      </c>
      <c r="Q101" s="318" t="s">
        <v>735</v>
      </c>
      <c r="R101" s="324">
        <v>10338</v>
      </c>
      <c r="S101" s="324">
        <v>1394</v>
      </c>
      <c r="T101" s="324">
        <v>1740</v>
      </c>
      <c r="U101" s="324">
        <v>167</v>
      </c>
      <c r="V101" s="325">
        <v>5</v>
      </c>
      <c r="W101" s="325">
        <v>0</v>
      </c>
      <c r="X101" s="337">
        <v>41</v>
      </c>
      <c r="Y101" s="295"/>
    </row>
    <row r="102">
      <c r="A102" s="307"/>
      <c r="B102" s="326" t="s">
        <v>713</v>
      </c>
      <c r="C102" s="326"/>
      <c r="D102" s="327">
        <f>SUM(D98:D101)</f>
      </c>
      <c r="E102" s="328">
        <f>SUM(E98:E101)</f>
      </c>
      <c r="F102" s="327">
        <f>SUM(F98:F101)</f>
      </c>
      <c r="G102" s="329">
        <f t="shared" si="69"/>
      </c>
      <c r="H102" s="330">
        <f t="shared" si="37"/>
      </c>
      <c r="I102" s="331">
        <f t="shared" si="45"/>
      </c>
      <c r="J102" s="332">
        <f t="shared" si="5"/>
      </c>
      <c r="K102" s="333">
        <f t="shared" si="53"/>
      </c>
      <c r="L102" s="332">
        <f t="shared" si="13"/>
      </c>
      <c r="M102" s="332">
        <f t="shared" si="21"/>
      </c>
      <c r="N102" s="334">
        <f t="shared" si="61"/>
      </c>
      <c r="O102" s="335">
        <f t="shared" si="29"/>
      </c>
      <c r="P102" s="333"/>
      <c r="Q102" s="333"/>
      <c r="R102" s="336">
        <f>SUM(R98:R101)</f>
      </c>
      <c r="S102" s="336">
        <f>SUM(S98:S101)</f>
      </c>
      <c r="T102" s="336">
        <f>SUM(T98:T101)</f>
      </c>
      <c r="U102" s="336">
        <f>SUM(U98:U101)</f>
      </c>
      <c r="V102" s="336">
        <f>SUM(V98:V101)</f>
      </c>
      <c r="W102" s="336">
        <f>SUM(W98:W101)</f>
      </c>
      <c r="X102" s="336">
        <f>SUM(X98:X101)</f>
      </c>
    </row>
    <row r="103">
      <c r="A103" s="307"/>
      <c r="B103" s="308" t="s">
        <v>714</v>
      </c>
      <c r="C103" s="309" t="s">
        <v>722</v>
      </c>
      <c r="D103" s="350">
        <v>2861.15</v>
      </c>
      <c r="E103" s="350">
        <v>0</v>
      </c>
      <c r="F103" s="350">
        <v>0</v>
      </c>
      <c r="G103" s="312">
        <f t="shared" si="69"/>
      </c>
      <c r="H103" s="312">
        <f t="shared" si="37"/>
      </c>
      <c r="I103" s="312">
        <f t="shared" si="45"/>
      </c>
      <c r="J103" s="313">
        <f t="shared" si="5"/>
      </c>
      <c r="K103" s="314">
        <f t="shared" si="53"/>
      </c>
      <c r="L103" s="315">
        <f t="shared" si="13"/>
      </c>
      <c r="M103" s="315">
        <f t="shared" si="21"/>
      </c>
      <c r="N103" s="315">
        <f t="shared" si="61"/>
      </c>
      <c r="O103" s="316">
        <f t="shared" si="29"/>
      </c>
      <c r="P103" s="317" t="s">
        <v>716</v>
      </c>
      <c r="Q103" s="318" t="s">
        <v>735</v>
      </c>
      <c r="R103" s="324">
        <v>9606</v>
      </c>
      <c r="S103" s="324">
        <v>1434</v>
      </c>
      <c r="T103" s="324">
        <v>1714</v>
      </c>
      <c r="U103" s="324">
        <v>132</v>
      </c>
      <c r="V103" s="325">
        <v>2</v>
      </c>
      <c r="W103" s="325">
        <v>0</v>
      </c>
      <c r="X103" s="337">
        <v>33</v>
      </c>
    </row>
    <row r="104">
      <c r="A104" s="307"/>
      <c r="B104" s="308" t="s">
        <v>714</v>
      </c>
      <c r="C104" s="338" t="s">
        <v>723</v>
      </c>
      <c r="D104" s="350">
        <v>3113.59</v>
      </c>
      <c r="E104" s="350">
        <v>2</v>
      </c>
      <c r="F104" s="350">
        <v>4141.2</v>
      </c>
      <c r="G104" s="312">
        <f t="shared" si="69"/>
      </c>
      <c r="H104" s="312">
        <f t="shared" si="37"/>
      </c>
      <c r="I104" s="312">
        <f t="shared" si="45"/>
      </c>
      <c r="J104" s="313">
        <f t="shared" si="5"/>
      </c>
      <c r="K104" s="314">
        <f t="shared" si="53"/>
      </c>
      <c r="L104" s="315">
        <f t="shared" si="13"/>
      </c>
      <c r="M104" s="315">
        <f t="shared" si="21"/>
      </c>
      <c r="N104" s="315">
        <f t="shared" si="61"/>
      </c>
      <c r="O104" s="316">
        <f t="shared" si="29"/>
      </c>
      <c r="P104" s="317" t="s">
        <v>716</v>
      </c>
      <c r="Q104" s="318" t="s">
        <v>735</v>
      </c>
      <c r="R104" s="324">
        <v>11121</v>
      </c>
      <c r="S104" s="324">
        <v>1698</v>
      </c>
      <c r="T104" s="324">
        <v>2072</v>
      </c>
      <c r="U104" s="324">
        <v>138</v>
      </c>
      <c r="V104" s="325">
        <v>2</v>
      </c>
      <c r="W104" s="325">
        <v>0</v>
      </c>
      <c r="X104" s="337">
        <v>27</v>
      </c>
    </row>
    <row r="105">
      <c r="A105" s="307"/>
      <c r="B105" s="308" t="s">
        <v>714</v>
      </c>
      <c r="C105" s="338" t="s">
        <v>724</v>
      </c>
      <c r="D105" s="350">
        <v>2788.68</v>
      </c>
      <c r="E105" s="350">
        <v>5</v>
      </c>
      <c r="F105" s="350">
        <v>4044</v>
      </c>
      <c r="G105" s="312">
        <f t="shared" si="69"/>
      </c>
      <c r="H105" s="312">
        <f t="shared" si="37"/>
      </c>
      <c r="I105" s="312">
        <f t="shared" si="45"/>
      </c>
      <c r="J105" s="313">
        <f t="shared" si="5"/>
      </c>
      <c r="K105" s="314">
        <f t="shared" si="53"/>
      </c>
      <c r="L105" s="315">
        <f t="shared" si="13"/>
      </c>
      <c r="M105" s="315">
        <f t="shared" si="21"/>
      </c>
      <c r="N105" s="315">
        <f t="shared" si="61"/>
      </c>
      <c r="O105" s="316">
        <f t="shared" si="29"/>
      </c>
      <c r="P105" s="317" t="s">
        <v>716</v>
      </c>
      <c r="Q105" s="318" t="s">
        <v>735</v>
      </c>
      <c r="R105" s="324">
        <v>12314</v>
      </c>
      <c r="S105" s="324">
        <v>1553</v>
      </c>
      <c r="T105" s="324">
        <v>2001</v>
      </c>
      <c r="U105" s="324">
        <v>136</v>
      </c>
      <c r="V105" s="325">
        <v>5</v>
      </c>
      <c r="W105" s="325">
        <v>1</v>
      </c>
      <c r="X105" s="337">
        <v>41</v>
      </c>
    </row>
    <row r="106">
      <c r="A106" s="307"/>
      <c r="B106" s="308" t="s">
        <v>714</v>
      </c>
      <c r="C106" s="338" t="s">
        <v>725</v>
      </c>
      <c r="D106" s="350">
        <v>1960.88</v>
      </c>
      <c r="E106" s="350">
        <v>4</v>
      </c>
      <c r="F106" s="350">
        <v>7892.4</v>
      </c>
      <c r="G106" s="312">
        <f t="shared" si="69"/>
      </c>
      <c r="H106" s="312">
        <f t="shared" si="37"/>
      </c>
      <c r="I106" s="312">
        <f t="shared" si="45"/>
      </c>
      <c r="J106" s="313">
        <f t="shared" si="5"/>
      </c>
      <c r="K106" s="314">
        <f t="shared" si="53"/>
      </c>
      <c r="L106" s="315">
        <f t="shared" si="13"/>
      </c>
      <c r="M106" s="315">
        <f t="shared" si="21"/>
      </c>
      <c r="N106" s="315">
        <f t="shared" si="61"/>
      </c>
      <c r="O106" s="316">
        <f t="shared" si="29"/>
      </c>
      <c r="P106" s="317" t="s">
        <v>716</v>
      </c>
      <c r="Q106" s="318" t="s">
        <v>735</v>
      </c>
      <c r="R106" s="324">
        <v>8906</v>
      </c>
      <c r="S106" s="324">
        <v>1028</v>
      </c>
      <c r="T106" s="324">
        <v>1326</v>
      </c>
      <c r="U106" s="324">
        <v>86</v>
      </c>
      <c r="V106" s="325">
        <v>6</v>
      </c>
      <c r="W106" s="325">
        <v>1</v>
      </c>
      <c r="X106" s="337">
        <v>12</v>
      </c>
    </row>
    <row r="107">
      <c r="A107" s="307"/>
      <c r="B107" s="326" t="s">
        <v>713</v>
      </c>
      <c r="C107" s="326"/>
      <c r="D107" s="327">
        <f>SUM(D103:D106)</f>
      </c>
      <c r="E107" s="328">
        <f>SUM(E103:E106)</f>
      </c>
      <c r="F107" s="327">
        <f>SUM(F103:F106)</f>
      </c>
      <c r="G107" s="329">
        <f t="shared" si="69"/>
      </c>
      <c r="H107" s="330">
        <f t="shared" si="37"/>
      </c>
      <c r="I107" s="331">
        <f t="shared" si="45"/>
      </c>
      <c r="J107" s="332">
        <f t="shared" si="5"/>
      </c>
      <c r="K107" s="333">
        <f t="shared" si="53"/>
      </c>
      <c r="L107" s="332">
        <f t="shared" si="13"/>
      </c>
      <c r="M107" s="332">
        <f t="shared" si="21"/>
      </c>
      <c r="N107" s="334">
        <f t="shared" si="61"/>
      </c>
      <c r="O107" s="335">
        <f t="shared" si="29"/>
      </c>
      <c r="P107" s="333"/>
      <c r="Q107" s="333"/>
      <c r="R107" s="336">
        <f>SUM(R103:R106)</f>
      </c>
      <c r="S107" s="336">
        <f>SUM(S103:S106)</f>
      </c>
      <c r="T107" s="336">
        <f>SUM(T103:T106)</f>
      </c>
      <c r="U107" s="336">
        <f>SUM(U103:U106)</f>
      </c>
      <c r="V107" s="336">
        <f>SUM(V103:V106)</f>
      </c>
      <c r="W107" s="336">
        <f>SUM(W103:W106)</f>
      </c>
      <c r="X107" s="336">
        <f>SUM(X103:X106)</f>
      </c>
    </row>
    <row r="108">
      <c r="A108" s="307"/>
      <c r="B108" s="339" t="s">
        <v>726</v>
      </c>
      <c r="C108" s="339"/>
      <c r="D108" s="340">
        <f>D97+D102+D107</f>
      </c>
      <c r="E108" s="341">
        <f>E97+E102+E107</f>
      </c>
      <c r="F108" s="340">
        <f>F97+F102+F107</f>
      </c>
      <c r="G108" s="339">
        <f t="shared" si="69"/>
      </c>
      <c r="H108" s="339">
        <f t="shared" si="37"/>
      </c>
      <c r="I108" s="339">
        <f t="shared" si="45"/>
      </c>
      <c r="J108" s="342">
        <f t="shared" si="5"/>
      </c>
      <c r="K108" s="339">
        <f t="shared" si="53"/>
      </c>
      <c r="L108" s="342">
        <f t="shared" si="13"/>
      </c>
      <c r="M108" s="342">
        <f t="shared" si="21"/>
      </c>
      <c r="N108" s="342">
        <f t="shared" si="61"/>
      </c>
      <c r="O108" s="339">
        <f t="shared" si="29"/>
      </c>
      <c r="P108" s="343"/>
      <c r="Q108" s="343"/>
      <c r="R108" s="344">
        <f>R97+R102+R107</f>
      </c>
      <c r="S108" s="344">
        <f>S97+S102+S107</f>
      </c>
      <c r="T108" s="344">
        <f>T97+T102+T107</f>
      </c>
      <c r="U108" s="344">
        <f>U97+U102+U107</f>
      </c>
      <c r="V108" s="344">
        <f>V97+V102+V107</f>
      </c>
      <c r="W108" s="344">
        <f>W97+W102+W107</f>
      </c>
      <c r="X108" s="344">
        <f>X97+X102+X107</f>
      </c>
    </row>
    <row r="109">
      <c r="A109" s="291" t="s">
        <v>677</v>
      </c>
      <c r="B109" s="291"/>
      <c r="C109" s="291"/>
      <c r="D109" s="292" t="s">
        <v>678</v>
      </c>
      <c r="E109" s="292"/>
      <c r="F109" s="292"/>
      <c r="G109" s="292"/>
      <c r="H109" s="292"/>
      <c r="I109" s="292"/>
      <c r="J109" s="293" t="s">
        <v>679</v>
      </c>
      <c r="K109" s="293"/>
      <c r="L109" s="293"/>
      <c r="M109" s="293"/>
      <c r="N109" s="293"/>
      <c r="O109" s="293"/>
      <c r="P109" s="293"/>
      <c r="Q109" s="293"/>
      <c r="R109" s="345" t="s">
        <v>680</v>
      </c>
      <c r="S109" s="345"/>
      <c r="T109" s="345"/>
      <c r="U109" s="345"/>
      <c r="V109" s="345"/>
      <c r="W109" s="345"/>
      <c r="X109" s="345"/>
      <c r="Y109" s="295"/>
    </row>
    <row r="110">
      <c r="A110" s="296" t="s">
        <v>681</v>
      </c>
      <c r="B110" s="296" t="s">
        <v>682</v>
      </c>
      <c r="C110" s="296" t="s">
        <v>683</v>
      </c>
      <c r="D110" s="297" t="s">
        <v>684</v>
      </c>
      <c r="E110" s="298" t="s">
        <v>685</v>
      </c>
      <c r="F110" s="297" t="s">
        <v>686</v>
      </c>
      <c r="G110" s="299" t="s">
        <v>687</v>
      </c>
      <c r="H110" s="300" t="s">
        <v>688</v>
      </c>
      <c r="I110" s="297" t="s">
        <v>689</v>
      </c>
      <c r="J110" s="301" t="s">
        <v>690</v>
      </c>
      <c r="K110" s="302" t="s">
        <v>691</v>
      </c>
      <c r="L110" s="301" t="s">
        <v>692</v>
      </c>
      <c r="M110" s="301" t="s">
        <v>693</v>
      </c>
      <c r="N110" s="303" t="s">
        <v>694</v>
      </c>
      <c r="O110" s="303" t="s">
        <v>695</v>
      </c>
      <c r="P110" s="304" t="s">
        <v>696</v>
      </c>
      <c r="Q110" s="304" t="s">
        <v>697</v>
      </c>
      <c r="R110" s="346" t="s">
        <v>698</v>
      </c>
      <c r="S110" s="346" t="s">
        <v>699</v>
      </c>
      <c r="T110" s="347" t="s">
        <v>700</v>
      </c>
      <c r="U110" s="347" t="s">
        <v>701</v>
      </c>
      <c r="V110" s="347" t="s">
        <v>702</v>
      </c>
      <c r="W110" s="347" t="s">
        <v>703</v>
      </c>
      <c r="X110" s="347" t="s">
        <v>704</v>
      </c>
      <c r="Y110" s="295"/>
    </row>
    <row r="111">
      <c r="A111" s="307" t="s">
        <v>736</v>
      </c>
      <c r="B111" s="308" t="s">
        <v>706</v>
      </c>
      <c r="C111" s="309" t="s">
        <v>707</v>
      </c>
      <c r="D111" s="350">
        <v>1821.93</v>
      </c>
      <c r="E111" s="350">
        <v>2</v>
      </c>
      <c r="F111" s="350">
        <v>2403.6</v>
      </c>
      <c r="G111" s="312">
        <f t="shared" ref="G111:G126" si="70">F111/D111</f>
      </c>
      <c r="H111" s="312">
        <f t="shared" ref="H111:H126" si="38">D111/E111</f>
      </c>
      <c r="I111" s="312">
        <f t="shared" ref="I111:I126" si="46">F111/E111</f>
      </c>
      <c r="J111" s="313">
        <f t="shared" ref="J111:J126" si="6">S111/R111</f>
      </c>
      <c r="K111" s="314">
        <f t="shared" ref="K111:K126" si="54">D111/T111</f>
      </c>
      <c r="L111" s="315">
        <f t="shared" ref="L111:L126" si="14">U111/T111</f>
      </c>
      <c r="M111" s="315">
        <f t="shared" ref="M111:M126" si="22">E111/V111</f>
      </c>
      <c r="N111" s="315">
        <f t="shared" ref="N111:N126" si="62">W111/E111</f>
      </c>
      <c r="O111" s="316">
        <f t="shared" ref="O111:O126" si="30">(X111*1000)/D111</f>
      </c>
      <c r="P111" s="317" t="s">
        <v>708</v>
      </c>
      <c r="Q111" s="318" t="s">
        <v>731</v>
      </c>
      <c r="R111" s="319">
        <v>10115</v>
      </c>
      <c r="S111" s="306">
        <v>828</v>
      </c>
      <c r="T111" s="319">
        <v>1109</v>
      </c>
      <c r="U111" s="306">
        <v>110</v>
      </c>
      <c r="V111" s="320">
        <v>2</v>
      </c>
      <c r="W111" s="320">
        <v>0</v>
      </c>
      <c r="X111" s="350">
        <v>32</v>
      </c>
      <c r="Y111" s="295"/>
    </row>
    <row r="112">
      <c r="A112" s="307"/>
      <c r="B112" s="308" t="s">
        <v>706</v>
      </c>
      <c r="C112" s="310" t="s">
        <v>710</v>
      </c>
      <c r="D112" s="350">
        <v>1995.08</v>
      </c>
      <c r="E112" s="350">
        <v>3</v>
      </c>
      <c r="F112" s="350">
        <v>5338.799999999999</v>
      </c>
      <c r="G112" s="312">
        <f t="shared" si="70"/>
      </c>
      <c r="H112" s="312">
        <f t="shared" si="38"/>
      </c>
      <c r="I112" s="312">
        <f t="shared" si="46"/>
      </c>
      <c r="J112" s="313">
        <f t="shared" si="6"/>
      </c>
      <c r="K112" s="314">
        <f t="shared" si="54"/>
      </c>
      <c r="L112" s="315">
        <f t="shared" si="14"/>
      </c>
      <c r="M112" s="315">
        <f t="shared" si="22"/>
      </c>
      <c r="N112" s="315">
        <f t="shared" si="62"/>
      </c>
      <c r="O112" s="316">
        <f t="shared" si="30"/>
      </c>
      <c r="P112" s="317" t="s">
        <v>708</v>
      </c>
      <c r="Q112" s="318" t="s">
        <v>731</v>
      </c>
      <c r="R112" s="319">
        <v>11049</v>
      </c>
      <c r="S112" s="306">
        <v>1320</v>
      </c>
      <c r="T112" s="322">
        <v>1558</v>
      </c>
      <c r="U112" s="322">
        <v>127</v>
      </c>
      <c r="V112" s="323">
        <v>5</v>
      </c>
      <c r="W112" s="320">
        <v>0</v>
      </c>
      <c r="X112" s="350">
        <v>28</v>
      </c>
      <c r="Y112" s="295"/>
    </row>
    <row r="113">
      <c r="A113" s="307"/>
      <c r="B113" s="308" t="s">
        <v>706</v>
      </c>
      <c r="C113" s="310" t="s">
        <v>711</v>
      </c>
      <c r="D113" s="350">
        <v>1876.78</v>
      </c>
      <c r="E113" s="350">
        <v>1</v>
      </c>
      <c r="F113" s="350">
        <v>1197.6000000000004</v>
      </c>
      <c r="G113" s="312">
        <f t="shared" si="70"/>
      </c>
      <c r="H113" s="312">
        <f t="shared" si="38"/>
      </c>
      <c r="I113" s="312">
        <f t="shared" si="46"/>
      </c>
      <c r="J113" s="313">
        <f t="shared" si="6"/>
      </c>
      <c r="K113" s="314">
        <f t="shared" si="54"/>
      </c>
      <c r="L113" s="315">
        <f t="shared" si="14"/>
      </c>
      <c r="M113" s="315">
        <f t="shared" si="22"/>
      </c>
      <c r="N113" s="315">
        <f t="shared" si="62"/>
      </c>
      <c r="O113" s="316">
        <f t="shared" si="30"/>
      </c>
      <c r="P113" s="317" t="s">
        <v>708</v>
      </c>
      <c r="Q113" s="318" t="s">
        <v>731</v>
      </c>
      <c r="R113" s="319">
        <v>9847</v>
      </c>
      <c r="S113" s="306">
        <v>1101</v>
      </c>
      <c r="T113" s="324">
        <v>1355</v>
      </c>
      <c r="U113" s="324">
        <v>100</v>
      </c>
      <c r="V113" s="325">
        <v>5</v>
      </c>
      <c r="W113" s="320">
        <v>0</v>
      </c>
      <c r="X113" s="350">
        <v>19</v>
      </c>
      <c r="Y113" s="295"/>
    </row>
    <row r="114">
      <c r="A114" s="307"/>
      <c r="B114" s="308" t="s">
        <v>706</v>
      </c>
      <c r="C114" s="310" t="s">
        <v>712</v>
      </c>
      <c r="D114" s="350">
        <v>1910.24</v>
      </c>
      <c r="E114" s="350">
        <v>2</v>
      </c>
      <c r="F114" s="350">
        <v>3350.7999999999993</v>
      </c>
      <c r="G114" s="312">
        <f t="shared" si="70"/>
      </c>
      <c r="H114" s="312">
        <f t="shared" si="38"/>
      </c>
      <c r="I114" s="312">
        <f t="shared" si="46"/>
      </c>
      <c r="J114" s="313">
        <f t="shared" si="6"/>
      </c>
      <c r="K114" s="314">
        <f t="shared" si="54"/>
      </c>
      <c r="L114" s="315">
        <f t="shared" si="14"/>
      </c>
      <c r="M114" s="315">
        <f t="shared" si="22"/>
      </c>
      <c r="N114" s="315">
        <f t="shared" si="62"/>
      </c>
      <c r="O114" s="316">
        <f t="shared" si="30"/>
      </c>
      <c r="P114" s="317" t="s">
        <v>708</v>
      </c>
      <c r="Q114" s="318" t="s">
        <v>731</v>
      </c>
      <c r="R114" s="319">
        <v>8215</v>
      </c>
      <c r="S114" s="306">
        <v>944</v>
      </c>
      <c r="T114" s="324">
        <v>1131</v>
      </c>
      <c r="U114" s="324">
        <v>93</v>
      </c>
      <c r="V114" s="325">
        <v>3</v>
      </c>
      <c r="W114" s="320">
        <v>0</v>
      </c>
      <c r="X114" s="350">
        <v>15</v>
      </c>
      <c r="Y114" s="295"/>
    </row>
    <row r="115">
      <c r="A115" s="307"/>
      <c r="B115" s="326" t="s">
        <v>713</v>
      </c>
      <c r="C115" s="326"/>
      <c r="D115" s="327">
        <f>SUM(D111:D114)</f>
      </c>
      <c r="E115" s="328">
        <f>SUM(E111:E114)</f>
      </c>
      <c r="F115" s="327">
        <f>SUM(F111:F114)</f>
      </c>
      <c r="G115" s="329">
        <f t="shared" si="70"/>
      </c>
      <c r="H115" s="330">
        <f t="shared" si="38"/>
      </c>
      <c r="I115" s="331">
        <f t="shared" si="46"/>
      </c>
      <c r="J115" s="332">
        <f t="shared" si="6"/>
      </c>
      <c r="K115" s="333">
        <f t="shared" si="54"/>
      </c>
      <c r="L115" s="332">
        <f t="shared" si="14"/>
      </c>
      <c r="M115" s="332">
        <f t="shared" si="22"/>
      </c>
      <c r="N115" s="334">
        <f t="shared" si="62"/>
      </c>
      <c r="O115" s="335">
        <f t="shared" si="30"/>
      </c>
      <c r="P115" s="333"/>
      <c r="Q115" s="333"/>
      <c r="R115" s="336">
        <f>SUM(R111:R114)</f>
      </c>
      <c r="S115" s="336">
        <f>SUM(S111:S114)</f>
      </c>
      <c r="T115" s="336">
        <f>SUM(T111:T114)</f>
      </c>
      <c r="U115" s="336">
        <f>SUM(U111:U114)</f>
      </c>
      <c r="V115" s="336">
        <f>SUM(V111:V114)</f>
      </c>
      <c r="W115" s="336">
        <f>SUM(W111:W114)</f>
      </c>
      <c r="X115" s="336">
        <f>SUM(X111:X114)</f>
      </c>
      <c r="Y115" s="295"/>
    </row>
    <row r="116">
      <c r="A116" s="307"/>
      <c r="B116" s="308" t="s">
        <v>714</v>
      </c>
      <c r="C116" s="310" t="s">
        <v>715</v>
      </c>
      <c r="D116" s="350">
        <v>2299.02</v>
      </c>
      <c r="E116" s="350">
        <v>7</v>
      </c>
      <c r="F116" s="350">
        <v>7718.4</v>
      </c>
      <c r="G116" s="312">
        <f t="shared" si="70"/>
      </c>
      <c r="H116" s="312">
        <f t="shared" si="38"/>
      </c>
      <c r="I116" s="312">
        <f t="shared" si="46"/>
      </c>
      <c r="J116" s="313">
        <f t="shared" si="6"/>
      </c>
      <c r="K116" s="314">
        <f t="shared" si="54"/>
      </c>
      <c r="L116" s="315">
        <f t="shared" si="14"/>
      </c>
      <c r="M116" s="315">
        <f t="shared" si="22"/>
      </c>
      <c r="N116" s="315">
        <f t="shared" si="62"/>
      </c>
      <c r="O116" s="316">
        <f t="shared" si="30"/>
      </c>
      <c r="P116" s="317" t="s">
        <v>716</v>
      </c>
      <c r="Q116" s="318" t="s">
        <v>717</v>
      </c>
      <c r="R116" s="324">
        <v>9304</v>
      </c>
      <c r="S116" s="324">
        <v>907</v>
      </c>
      <c r="T116" s="324">
        <v>1137</v>
      </c>
      <c r="U116" s="324">
        <v>99</v>
      </c>
      <c r="V116" s="325">
        <v>7</v>
      </c>
      <c r="W116" s="325">
        <v>2</v>
      </c>
      <c r="X116" s="337">
        <v>49</v>
      </c>
      <c r="Y116" s="295"/>
    </row>
    <row r="117">
      <c r="A117" s="307"/>
      <c r="B117" s="308" t="s">
        <v>714</v>
      </c>
      <c r="C117" s="309" t="s">
        <v>718</v>
      </c>
      <c r="D117" s="350">
        <v>2600.69</v>
      </c>
      <c r="E117" s="350">
        <v>5</v>
      </c>
      <c r="F117" s="350">
        <v>5384.4</v>
      </c>
      <c r="G117" s="312">
        <f t="shared" si="70"/>
      </c>
      <c r="H117" s="312">
        <f t="shared" si="38"/>
      </c>
      <c r="I117" s="312">
        <f t="shared" si="46"/>
      </c>
      <c r="J117" s="313">
        <f t="shared" si="6"/>
      </c>
      <c r="K117" s="314">
        <f t="shared" si="54"/>
      </c>
      <c r="L117" s="315">
        <f t="shared" si="14"/>
      </c>
      <c r="M117" s="315">
        <f t="shared" si="22"/>
      </c>
      <c r="N117" s="315">
        <f t="shared" si="62"/>
      </c>
      <c r="O117" s="316">
        <f t="shared" si="30"/>
      </c>
      <c r="P117" s="317" t="s">
        <v>716</v>
      </c>
      <c r="Q117" s="318" t="s">
        <v>717</v>
      </c>
      <c r="R117" s="324">
        <v>14071</v>
      </c>
      <c r="S117" s="324">
        <v>1703</v>
      </c>
      <c r="T117" s="324">
        <v>2045</v>
      </c>
      <c r="U117" s="324">
        <v>157</v>
      </c>
      <c r="V117" s="325">
        <v>5</v>
      </c>
      <c r="W117" s="325">
        <v>1</v>
      </c>
      <c r="X117" s="337">
        <v>31</v>
      </c>
      <c r="Y117" s="295"/>
    </row>
    <row r="118">
      <c r="A118" s="307"/>
      <c r="B118" s="308" t="s">
        <v>714</v>
      </c>
      <c r="C118" s="309" t="s">
        <v>719</v>
      </c>
      <c r="D118" s="350">
        <v>2803.54</v>
      </c>
      <c r="E118" s="350">
        <v>2</v>
      </c>
      <c r="F118" s="350">
        <v>1424.4</v>
      </c>
      <c r="G118" s="312">
        <f t="shared" si="70"/>
      </c>
      <c r="H118" s="312">
        <f t="shared" si="38"/>
      </c>
      <c r="I118" s="312">
        <f t="shared" si="46"/>
      </c>
      <c r="J118" s="313">
        <f t="shared" si="6"/>
      </c>
      <c r="K118" s="314">
        <f t="shared" si="54"/>
      </c>
      <c r="L118" s="315">
        <f t="shared" si="14"/>
      </c>
      <c r="M118" s="315">
        <f t="shared" si="22"/>
      </c>
      <c r="N118" s="315">
        <f t="shared" si="62"/>
      </c>
      <c r="O118" s="316">
        <f t="shared" si="30"/>
      </c>
      <c r="P118" s="317" t="s">
        <v>716</v>
      </c>
      <c r="Q118" s="318" t="s">
        <v>717</v>
      </c>
      <c r="R118" s="324">
        <v>14104</v>
      </c>
      <c r="S118" s="324">
        <v>1793</v>
      </c>
      <c r="T118" s="324">
        <v>2135</v>
      </c>
      <c r="U118" s="324">
        <v>145</v>
      </c>
      <c r="V118" s="325">
        <v>6</v>
      </c>
      <c r="W118" s="325">
        <v>0</v>
      </c>
      <c r="X118" s="337">
        <v>33</v>
      </c>
      <c r="Y118" s="295"/>
    </row>
    <row r="119">
      <c r="A119" s="307"/>
      <c r="B119" s="308" t="s">
        <v>714</v>
      </c>
      <c r="C119" s="309" t="s">
        <v>720</v>
      </c>
      <c r="D119" s="350">
        <v>3689.76</v>
      </c>
      <c r="E119" s="350">
        <v>7</v>
      </c>
      <c r="F119" s="350">
        <v>11026</v>
      </c>
      <c r="G119" s="312">
        <f t="shared" si="70"/>
      </c>
      <c r="H119" s="312">
        <f t="shared" si="38"/>
      </c>
      <c r="I119" s="312">
        <f t="shared" si="46"/>
      </c>
      <c r="J119" s="313">
        <f t="shared" si="6"/>
      </c>
      <c r="K119" s="314">
        <f t="shared" si="54"/>
      </c>
      <c r="L119" s="315">
        <f t="shared" si="14"/>
      </c>
      <c r="M119" s="315">
        <f t="shared" si="22"/>
      </c>
      <c r="N119" s="315">
        <f t="shared" si="62"/>
      </c>
      <c r="O119" s="316">
        <f t="shared" si="30"/>
      </c>
      <c r="P119" s="317" t="s">
        <v>716</v>
      </c>
      <c r="Q119" s="318" t="s">
        <v>717</v>
      </c>
      <c r="R119" s="324">
        <v>17451</v>
      </c>
      <c r="S119" s="324">
        <v>2595</v>
      </c>
      <c r="T119" s="324">
        <v>2992</v>
      </c>
      <c r="U119" s="324">
        <v>185</v>
      </c>
      <c r="V119" s="325">
        <v>8</v>
      </c>
      <c r="W119" s="325">
        <v>1</v>
      </c>
      <c r="X119" s="337">
        <v>45</v>
      </c>
      <c r="Y119" s="295"/>
    </row>
    <row r="120">
      <c r="A120" s="307"/>
      <c r="B120" s="326" t="s">
        <v>713</v>
      </c>
      <c r="C120" s="326"/>
      <c r="D120" s="327">
        <f>SUM(D116:D119)</f>
      </c>
      <c r="E120" s="328">
        <f>SUM(E116:E119)</f>
      </c>
      <c r="F120" s="327">
        <f>SUM(F116:F119)</f>
      </c>
      <c r="G120" s="329">
        <f t="shared" si="70"/>
      </c>
      <c r="H120" s="330">
        <f t="shared" si="38"/>
      </c>
      <c r="I120" s="331">
        <f t="shared" si="46"/>
      </c>
      <c r="J120" s="332">
        <f t="shared" si="6"/>
      </c>
      <c r="K120" s="333">
        <f t="shared" si="54"/>
      </c>
      <c r="L120" s="332">
        <f t="shared" si="14"/>
      </c>
      <c r="M120" s="332">
        <f t="shared" si="22"/>
      </c>
      <c r="N120" s="334">
        <f t="shared" si="62"/>
      </c>
      <c r="O120" s="335">
        <f t="shared" si="30"/>
      </c>
      <c r="P120" s="333"/>
      <c r="Q120" s="333"/>
      <c r="R120" s="336">
        <f>SUM(R116:R119)</f>
      </c>
      <c r="S120" s="336">
        <f>SUM(S116:S119)</f>
      </c>
      <c r="T120" s="336">
        <f>SUM(T116:T119)</f>
      </c>
      <c r="U120" s="336">
        <f>SUM(U116:U119)</f>
      </c>
      <c r="V120" s="336">
        <f>SUM(V116:V119)</f>
      </c>
      <c r="W120" s="336">
        <f>SUM(W116:W119)</f>
      </c>
      <c r="X120" s="336">
        <f>SUM(X116:X119)</f>
      </c>
    </row>
    <row r="121">
      <c r="A121" s="307"/>
      <c r="B121" s="308" t="s">
        <v>733</v>
      </c>
      <c r="C121" s="309" t="s">
        <v>722</v>
      </c>
      <c r="D121" s="350">
        <v>5250.35</v>
      </c>
      <c r="E121" s="350">
        <v>4</v>
      </c>
      <c r="F121" s="350">
        <v>2554.8</v>
      </c>
      <c r="G121" s="312">
        <f t="shared" si="70"/>
      </c>
      <c r="H121" s="312">
        <f t="shared" si="38"/>
      </c>
      <c r="I121" s="312">
        <f t="shared" si="46"/>
      </c>
      <c r="J121" s="313">
        <f t="shared" si="6"/>
      </c>
      <c r="K121" s="314">
        <f t="shared" si="54"/>
      </c>
      <c r="L121" s="315">
        <f t="shared" si="14"/>
      </c>
      <c r="M121" s="315">
        <f t="shared" si="22"/>
      </c>
      <c r="N121" s="315">
        <f t="shared" si="62"/>
      </c>
      <c r="O121" s="316">
        <f t="shared" si="30"/>
      </c>
      <c r="P121" s="317" t="s">
        <v>716</v>
      </c>
      <c r="Q121" s="318" t="s">
        <v>717</v>
      </c>
      <c r="R121" s="324">
        <v>23717</v>
      </c>
      <c r="S121" s="324">
        <v>2992</v>
      </c>
      <c r="T121" s="324">
        <v>3491</v>
      </c>
      <c r="U121" s="324">
        <v>216</v>
      </c>
      <c r="V121" s="325">
        <v>6</v>
      </c>
      <c r="W121" s="325">
        <v>0</v>
      </c>
      <c r="X121" s="337">
        <v>40</v>
      </c>
    </row>
    <row r="122">
      <c r="A122" s="307"/>
      <c r="B122" s="308" t="s">
        <v>733</v>
      </c>
      <c r="C122" s="338" t="s">
        <v>723</v>
      </c>
      <c r="D122" s="350">
        <v>3064.43</v>
      </c>
      <c r="E122" s="350">
        <v>3</v>
      </c>
      <c r="F122" s="350">
        <v>5280</v>
      </c>
      <c r="G122" s="312">
        <f t="shared" si="70"/>
      </c>
      <c r="H122" s="312">
        <f t="shared" si="38"/>
      </c>
      <c r="I122" s="312">
        <f t="shared" si="46"/>
      </c>
      <c r="J122" s="313">
        <f t="shared" si="6"/>
      </c>
      <c r="K122" s="314">
        <f t="shared" si="54"/>
      </c>
      <c r="L122" s="315">
        <f t="shared" si="14"/>
      </c>
      <c r="M122" s="315">
        <f t="shared" si="22"/>
      </c>
      <c r="N122" s="315">
        <f t="shared" si="62"/>
      </c>
      <c r="O122" s="316">
        <f t="shared" si="30"/>
      </c>
      <c r="P122" s="317" t="s">
        <v>716</v>
      </c>
      <c r="Q122" s="318" t="s">
        <v>717</v>
      </c>
      <c r="R122" s="324">
        <v>14637</v>
      </c>
      <c r="S122" s="324">
        <v>1677</v>
      </c>
      <c r="T122" s="324">
        <v>2029</v>
      </c>
      <c r="U122" s="324">
        <v>128</v>
      </c>
      <c r="V122" s="325">
        <v>4</v>
      </c>
      <c r="W122" s="325">
        <v>0</v>
      </c>
      <c r="X122" s="337">
        <v>45</v>
      </c>
    </row>
    <row r="123">
      <c r="A123" s="307"/>
      <c r="B123" s="308" t="s">
        <v>733</v>
      </c>
      <c r="C123" s="338" t="s">
        <v>724</v>
      </c>
      <c r="D123" s="350">
        <v>3112.09</v>
      </c>
      <c r="E123" s="350">
        <v>0</v>
      </c>
      <c r="F123" s="350">
        <v>0</v>
      </c>
      <c r="G123" s="312">
        <f t="shared" si="70"/>
      </c>
      <c r="H123" s="312">
        <f t="shared" si="38"/>
      </c>
      <c r="I123" s="312">
        <f t="shared" si="46"/>
      </c>
      <c r="J123" s="313">
        <f t="shared" si="6"/>
      </c>
      <c r="K123" s="314">
        <f t="shared" si="54"/>
      </c>
      <c r="L123" s="315">
        <f t="shared" si="14"/>
      </c>
      <c r="M123" s="315">
        <f t="shared" si="22"/>
      </c>
      <c r="N123" s="315">
        <f t="shared" si="62"/>
      </c>
      <c r="O123" s="316">
        <f t="shared" si="30"/>
      </c>
      <c r="P123" s="317" t="s">
        <v>716</v>
      </c>
      <c r="Q123" s="318" t="s">
        <v>717</v>
      </c>
      <c r="R123" s="324">
        <v>19418</v>
      </c>
      <c r="S123" s="324">
        <v>1976</v>
      </c>
      <c r="T123" s="324">
        <v>2395</v>
      </c>
      <c r="U123" s="324">
        <v>160</v>
      </c>
      <c r="V123" s="325">
        <v>1</v>
      </c>
      <c r="W123" s="325">
        <v>0</v>
      </c>
      <c r="X123" s="337">
        <v>35</v>
      </c>
    </row>
    <row r="124">
      <c r="A124" s="307"/>
      <c r="B124" s="308" t="s">
        <v>733</v>
      </c>
      <c r="C124" s="338" t="s">
        <v>725</v>
      </c>
      <c r="D124" s="350">
        <v>2414.6</v>
      </c>
      <c r="E124" s="350">
        <v>3</v>
      </c>
      <c r="F124" s="350">
        <v>4498.8</v>
      </c>
      <c r="G124" s="312">
        <f t="shared" si="70"/>
      </c>
      <c r="H124" s="312">
        <f t="shared" si="38"/>
      </c>
      <c r="I124" s="312">
        <f t="shared" si="46"/>
      </c>
      <c r="J124" s="313">
        <f t="shared" si="6"/>
      </c>
      <c r="K124" s="314">
        <f t="shared" si="54"/>
      </c>
      <c r="L124" s="315">
        <f t="shared" si="14"/>
      </c>
      <c r="M124" s="315">
        <f t="shared" si="22"/>
      </c>
      <c r="N124" s="315">
        <f t="shared" si="62"/>
      </c>
      <c r="O124" s="316">
        <f t="shared" si="30"/>
      </c>
      <c r="P124" s="317" t="s">
        <v>716</v>
      </c>
      <c r="Q124" s="318" t="s">
        <v>717</v>
      </c>
      <c r="R124" s="324">
        <v>14756</v>
      </c>
      <c r="S124" s="324">
        <v>1450</v>
      </c>
      <c r="T124" s="324">
        <v>1661</v>
      </c>
      <c r="U124" s="324">
        <v>86</v>
      </c>
      <c r="V124" s="325">
        <v>4</v>
      </c>
      <c r="W124" s="325">
        <v>0</v>
      </c>
      <c r="X124" s="337">
        <v>25</v>
      </c>
    </row>
    <row r="125">
      <c r="A125" s="307"/>
      <c r="B125" s="326" t="s">
        <v>713</v>
      </c>
      <c r="C125" s="326"/>
      <c r="D125" s="327">
        <f>SUM(D121:D124)</f>
      </c>
      <c r="E125" s="328">
        <f>SUM(E121:E124)</f>
      </c>
      <c r="F125" s="327">
        <f>SUM(F121:F124)</f>
      </c>
      <c r="G125" s="329">
        <f t="shared" si="70"/>
      </c>
      <c r="H125" s="330">
        <f t="shared" si="38"/>
      </c>
      <c r="I125" s="331">
        <f t="shared" si="46"/>
      </c>
      <c r="J125" s="332">
        <f t="shared" si="6"/>
      </c>
      <c r="K125" s="333">
        <f t="shared" si="54"/>
      </c>
      <c r="L125" s="332">
        <f t="shared" si="14"/>
      </c>
      <c r="M125" s="332">
        <f t="shared" si="22"/>
      </c>
      <c r="N125" s="334">
        <f t="shared" si="62"/>
      </c>
      <c r="O125" s="335">
        <f t="shared" si="30"/>
      </c>
      <c r="P125" s="333"/>
      <c r="Q125" s="333"/>
      <c r="R125" s="336">
        <f>SUM(R121:R124)</f>
      </c>
      <c r="S125" s="336">
        <f>SUM(S121:S124)</f>
      </c>
      <c r="T125" s="336">
        <f>SUM(T121:T124)</f>
      </c>
      <c r="U125" s="336">
        <f>SUM(U121:U124)</f>
      </c>
      <c r="V125" s="336">
        <f>SUM(V121:V124)</f>
      </c>
      <c r="W125" s="336">
        <f>SUM(W121:W124)</f>
      </c>
      <c r="X125" s="336">
        <f>SUM(X121:X124)</f>
      </c>
    </row>
    <row r="126">
      <c r="A126" s="307"/>
      <c r="B126" s="339" t="s">
        <v>726</v>
      </c>
      <c r="C126" s="339"/>
      <c r="D126" s="340">
        <f>D115+D120+D125</f>
      </c>
      <c r="E126" s="341">
        <f>E115+E120+E125</f>
      </c>
      <c r="F126" s="340">
        <f>F115+F120+F125</f>
      </c>
      <c r="G126" s="339">
        <f t="shared" si="70"/>
      </c>
      <c r="H126" s="339">
        <f t="shared" si="38"/>
      </c>
      <c r="I126" s="339">
        <f t="shared" si="46"/>
      </c>
      <c r="J126" s="342">
        <f t="shared" si="6"/>
      </c>
      <c r="K126" s="339">
        <f t="shared" si="54"/>
      </c>
      <c r="L126" s="342">
        <f t="shared" si="14"/>
      </c>
      <c r="M126" s="342">
        <f t="shared" si="22"/>
      </c>
      <c r="N126" s="342">
        <f t="shared" si="62"/>
      </c>
      <c r="O126" s="339">
        <f t="shared" si="30"/>
      </c>
      <c r="P126" s="343"/>
      <c r="Q126" s="343"/>
      <c r="R126" s="344">
        <f>R115+R120+R125</f>
      </c>
      <c r="S126" s="344">
        <f>S115+S120+S125</f>
      </c>
      <c r="T126" s="344">
        <f>T115+T120+T125</f>
      </c>
      <c r="U126" s="344">
        <f>U115+U120+U125</f>
      </c>
      <c r="V126" s="344">
        <f>V115+V120+V125</f>
      </c>
      <c r="W126" s="344">
        <f>W115+W120+W125</f>
      </c>
      <c r="X126" s="344">
        <f>X115+X120+X125</f>
      </c>
    </row>
    <row r="127">
      <c r="A127" s="352" t="s">
        <v>677</v>
      </c>
      <c r="B127" s="352"/>
      <c r="C127" s="352"/>
      <c r="D127" s="353" t="s">
        <v>678</v>
      </c>
      <c r="E127" s="353"/>
      <c r="F127" s="353"/>
      <c r="G127" s="353"/>
      <c r="H127" s="353"/>
      <c r="I127" s="353"/>
      <c r="J127" s="354" t="s">
        <v>679</v>
      </c>
      <c r="K127" s="354"/>
      <c r="L127" s="354"/>
      <c r="M127" s="354"/>
      <c r="N127" s="354"/>
      <c r="O127" s="354"/>
      <c r="P127" s="354"/>
      <c r="Q127" s="354"/>
      <c r="R127" s="355" t="s">
        <v>680</v>
      </c>
      <c r="S127" s="355"/>
      <c r="T127" s="355"/>
      <c r="U127" s="355"/>
      <c r="V127" s="355"/>
      <c r="W127" s="355"/>
      <c r="X127" s="355"/>
    </row>
    <row r="128">
      <c r="A128" s="356" t="s">
        <v>681</v>
      </c>
      <c r="B128" s="356" t="s">
        <v>682</v>
      </c>
      <c r="C128" s="356" t="s">
        <v>683</v>
      </c>
      <c r="D128" s="357" t="s">
        <v>684</v>
      </c>
      <c r="E128" s="358" t="s">
        <v>685</v>
      </c>
      <c r="F128" s="357" t="s">
        <v>686</v>
      </c>
      <c r="G128" s="359" t="s">
        <v>687</v>
      </c>
      <c r="H128" s="360" t="s">
        <v>688</v>
      </c>
      <c r="I128" s="357" t="s">
        <v>689</v>
      </c>
      <c r="J128" s="361" t="s">
        <v>690</v>
      </c>
      <c r="K128" s="362" t="s">
        <v>691</v>
      </c>
      <c r="L128" s="361" t="s">
        <v>692</v>
      </c>
      <c r="M128" s="361" t="s">
        <v>693</v>
      </c>
      <c r="N128" s="363" t="s">
        <v>694</v>
      </c>
      <c r="O128" s="363" t="s">
        <v>695</v>
      </c>
      <c r="P128" s="364" t="s">
        <v>696</v>
      </c>
      <c r="Q128" s="364" t="s">
        <v>697</v>
      </c>
      <c r="R128" s="365" t="s">
        <v>698</v>
      </c>
      <c r="S128" s="365" t="s">
        <v>699</v>
      </c>
      <c r="T128" s="366" t="s">
        <v>700</v>
      </c>
      <c r="U128" s="366" t="s">
        <v>701</v>
      </c>
      <c r="V128" s="366" t="s">
        <v>702</v>
      </c>
      <c r="W128" s="366" t="s">
        <v>703</v>
      </c>
      <c r="X128" s="366" t="s">
        <v>704</v>
      </c>
    </row>
    <row r="129">
      <c r="A129" s="367" t="s">
        <v>737</v>
      </c>
      <c r="B129" s="368" t="s">
        <v>706</v>
      </c>
      <c r="C129" s="369" t="s">
        <v>707</v>
      </c>
      <c r="D129" s="370"/>
      <c r="E129" s="370"/>
      <c r="F129" s="370"/>
      <c r="G129" s="371">
        <f t="shared" ref="G129:G144" si="71">F129/D129</f>
      </c>
      <c r="H129" s="371">
        <f t="shared" ref="H129:H144" si="39">D129/E129</f>
      </c>
      <c r="I129" s="371">
        <f t="shared" ref="I129:I144" si="47">F129/E129</f>
      </c>
      <c r="J129" s="372">
        <f t="shared" ref="J129:J144" si="7">S129/R129</f>
      </c>
      <c r="K129" s="373">
        <f t="shared" ref="K129:K144" si="55">D129/T129</f>
      </c>
      <c r="L129" s="374">
        <f t="shared" ref="L129:L144" si="15">U129/T129</f>
      </c>
      <c r="M129" s="374">
        <f t="shared" ref="M129:M144" si="23">E129/V129</f>
      </c>
      <c r="N129" s="374">
        <f t="shared" ref="N129:N144" si="63">W129/E129</f>
      </c>
      <c r="O129" s="375">
        <f t="shared" ref="O129:O144" si="31">(X129*1000)/D129</f>
      </c>
      <c r="P129" s="376" t="s">
        <v>708</v>
      </c>
      <c r="Q129" s="377" t="s">
        <v>731</v>
      </c>
      <c r="R129" s="378">
        <v>10115</v>
      </c>
      <c r="S129" s="379">
        <v>828</v>
      </c>
      <c r="T129" s="378">
        <v>1109</v>
      </c>
      <c r="U129" s="379">
        <v>110</v>
      </c>
      <c r="V129" s="380">
        <v>2</v>
      </c>
      <c r="W129" s="380">
        <v>0</v>
      </c>
      <c r="X129" s="370">
        <v>32</v>
      </c>
    </row>
    <row r="130">
      <c r="A130" s="367"/>
      <c r="B130" s="368" t="s">
        <v>706</v>
      </c>
      <c r="C130" s="381" t="s">
        <v>710</v>
      </c>
      <c r="D130" s="370"/>
      <c r="E130" s="370"/>
      <c r="F130" s="370"/>
      <c r="G130" s="371">
        <f t="shared" si="71"/>
      </c>
      <c r="H130" s="371">
        <f t="shared" si="39"/>
      </c>
      <c r="I130" s="371">
        <f t="shared" si="47"/>
      </c>
      <c r="J130" s="372">
        <f t="shared" si="7"/>
      </c>
      <c r="K130" s="373">
        <f t="shared" si="55"/>
      </c>
      <c r="L130" s="374">
        <f t="shared" si="15"/>
      </c>
      <c r="M130" s="374">
        <f t="shared" si="23"/>
      </c>
      <c r="N130" s="374">
        <f t="shared" si="63"/>
      </c>
      <c r="O130" s="375">
        <f t="shared" si="31"/>
      </c>
      <c r="P130" s="376" t="s">
        <v>708</v>
      </c>
      <c r="Q130" s="377" t="s">
        <v>731</v>
      </c>
      <c r="R130" s="378">
        <v>11049</v>
      </c>
      <c r="S130" s="379">
        <v>1320</v>
      </c>
      <c r="T130" s="382">
        <v>1558</v>
      </c>
      <c r="U130" s="382">
        <v>127</v>
      </c>
      <c r="V130" s="383">
        <v>5</v>
      </c>
      <c r="W130" s="380">
        <v>0</v>
      </c>
      <c r="X130" s="370">
        <v>28</v>
      </c>
    </row>
    <row r="131">
      <c r="A131" s="367"/>
      <c r="B131" s="368" t="s">
        <v>706</v>
      </c>
      <c r="C131" s="381" t="s">
        <v>711</v>
      </c>
      <c r="D131" s="370"/>
      <c r="E131" s="370"/>
      <c r="F131" s="370"/>
      <c r="G131" s="371">
        <f t="shared" si="71"/>
      </c>
      <c r="H131" s="371">
        <f t="shared" si="39"/>
      </c>
      <c r="I131" s="371">
        <f t="shared" si="47"/>
      </c>
      <c r="J131" s="372">
        <f t="shared" si="7"/>
      </c>
      <c r="K131" s="373">
        <f t="shared" si="55"/>
      </c>
      <c r="L131" s="374">
        <f t="shared" si="15"/>
      </c>
      <c r="M131" s="374">
        <f t="shared" si="23"/>
      </c>
      <c r="N131" s="374">
        <f t="shared" si="63"/>
      </c>
      <c r="O131" s="375">
        <f t="shared" si="31"/>
      </c>
      <c r="P131" s="376" t="s">
        <v>708</v>
      </c>
      <c r="Q131" s="377" t="s">
        <v>731</v>
      </c>
      <c r="R131" s="378">
        <v>9847</v>
      </c>
      <c r="S131" s="379">
        <v>1101</v>
      </c>
      <c r="T131" s="384">
        <v>1355</v>
      </c>
      <c r="U131" s="384">
        <v>100</v>
      </c>
      <c r="V131" s="385">
        <v>5</v>
      </c>
      <c r="W131" s="380">
        <v>0</v>
      </c>
      <c r="X131" s="370">
        <v>19</v>
      </c>
    </row>
    <row r="132">
      <c r="A132" s="367"/>
      <c r="B132" s="368" t="s">
        <v>706</v>
      </c>
      <c r="C132" s="381" t="s">
        <v>712</v>
      </c>
      <c r="D132" s="370"/>
      <c r="E132" s="370"/>
      <c r="F132" s="370"/>
      <c r="G132" s="371">
        <f t="shared" si="71"/>
      </c>
      <c r="H132" s="371">
        <f t="shared" si="39"/>
      </c>
      <c r="I132" s="371">
        <f t="shared" si="47"/>
      </c>
      <c r="J132" s="372">
        <f t="shared" si="7"/>
      </c>
      <c r="K132" s="373">
        <f t="shared" si="55"/>
      </c>
      <c r="L132" s="374">
        <f t="shared" si="15"/>
      </c>
      <c r="M132" s="374">
        <f t="shared" si="23"/>
      </c>
      <c r="N132" s="374">
        <f t="shared" si="63"/>
      </c>
      <c r="O132" s="375">
        <f t="shared" si="31"/>
      </c>
      <c r="P132" s="376" t="s">
        <v>708</v>
      </c>
      <c r="Q132" s="377" t="s">
        <v>731</v>
      </c>
      <c r="R132" s="378">
        <v>8215</v>
      </c>
      <c r="S132" s="379">
        <v>944</v>
      </c>
      <c r="T132" s="384">
        <v>1131</v>
      </c>
      <c r="U132" s="384">
        <v>93</v>
      </c>
      <c r="V132" s="385">
        <v>3</v>
      </c>
      <c r="W132" s="380">
        <v>0</v>
      </c>
      <c r="X132" s="370">
        <v>15</v>
      </c>
    </row>
    <row r="133">
      <c r="A133" s="367"/>
      <c r="B133" s="386" t="s">
        <v>713</v>
      </c>
      <c r="C133" s="386"/>
      <c r="D133" s="387">
        <f>SUM(D129:D132)</f>
      </c>
      <c r="E133" s="388">
        <f>SUM(E129:E132)</f>
      </c>
      <c r="F133" s="387">
        <f>SUM(F129:F132)</f>
      </c>
      <c r="G133" s="389">
        <f t="shared" si="71"/>
      </c>
      <c r="H133" s="390">
        <f t="shared" si="39"/>
      </c>
      <c r="I133" s="391">
        <f t="shared" si="47"/>
      </c>
      <c r="J133" s="392">
        <f t="shared" si="7"/>
      </c>
      <c r="K133" s="393">
        <f t="shared" si="55"/>
      </c>
      <c r="L133" s="392">
        <f t="shared" si="15"/>
      </c>
      <c r="M133" s="392">
        <f t="shared" si="23"/>
      </c>
      <c r="N133" s="394">
        <f t="shared" si="63"/>
      </c>
      <c r="O133" s="395">
        <f t="shared" si="31"/>
      </c>
      <c r="P133" s="393"/>
      <c r="Q133" s="393"/>
      <c r="R133" s="396">
        <f>SUM(R129:R132)</f>
      </c>
      <c r="S133" s="396">
        <f>SUM(S129:S132)</f>
      </c>
      <c r="T133" s="396">
        <f>SUM(T129:T132)</f>
      </c>
      <c r="U133" s="396">
        <f>SUM(U129:U132)</f>
      </c>
      <c r="V133" s="396">
        <f>SUM(V129:V132)</f>
      </c>
      <c r="W133" s="396">
        <f>SUM(W129:W132)</f>
      </c>
      <c r="X133" s="396">
        <f>SUM(X129:X132)</f>
      </c>
    </row>
    <row r="134">
      <c r="A134" s="367"/>
      <c r="B134" s="368" t="s">
        <v>714</v>
      </c>
      <c r="C134" s="381" t="s">
        <v>715</v>
      </c>
      <c r="D134" s="370"/>
      <c r="E134" s="370"/>
      <c r="F134" s="370"/>
      <c r="G134" s="371">
        <f t="shared" si="71"/>
      </c>
      <c r="H134" s="371">
        <f t="shared" si="39"/>
      </c>
      <c r="I134" s="371">
        <f t="shared" si="47"/>
      </c>
      <c r="J134" s="372">
        <f t="shared" si="7"/>
      </c>
      <c r="K134" s="373">
        <f t="shared" si="55"/>
      </c>
      <c r="L134" s="374">
        <f t="shared" si="15"/>
      </c>
      <c r="M134" s="374">
        <f t="shared" si="23"/>
      </c>
      <c r="N134" s="374">
        <f t="shared" si="63"/>
      </c>
      <c r="O134" s="375">
        <f t="shared" si="31"/>
      </c>
      <c r="P134" s="376" t="s">
        <v>716</v>
      </c>
      <c r="Q134" s="377" t="s">
        <v>717</v>
      </c>
      <c r="R134" s="384">
        <v>9304</v>
      </c>
      <c r="S134" s="384">
        <v>907</v>
      </c>
      <c r="T134" s="384">
        <v>1137</v>
      </c>
      <c r="U134" s="384">
        <v>99</v>
      </c>
      <c r="V134" s="385">
        <v>7</v>
      </c>
      <c r="W134" s="385">
        <v>2</v>
      </c>
      <c r="X134" s="397">
        <v>49</v>
      </c>
    </row>
    <row r="135">
      <c r="A135" s="367"/>
      <c r="B135" s="368" t="s">
        <v>714</v>
      </c>
      <c r="C135" s="369" t="s">
        <v>718</v>
      </c>
      <c r="D135" s="370"/>
      <c r="E135" s="370"/>
      <c r="F135" s="370"/>
      <c r="G135" s="371">
        <f t="shared" si="71"/>
      </c>
      <c r="H135" s="371">
        <f t="shared" si="39"/>
      </c>
      <c r="I135" s="371">
        <f t="shared" si="47"/>
      </c>
      <c r="J135" s="372">
        <f t="shared" si="7"/>
      </c>
      <c r="K135" s="373">
        <f t="shared" si="55"/>
      </c>
      <c r="L135" s="374">
        <f t="shared" si="15"/>
      </c>
      <c r="M135" s="374">
        <f t="shared" si="23"/>
      </c>
      <c r="N135" s="374">
        <f t="shared" si="63"/>
      </c>
      <c r="O135" s="375">
        <f t="shared" si="31"/>
      </c>
      <c r="P135" s="376" t="s">
        <v>716</v>
      </c>
      <c r="Q135" s="377" t="s">
        <v>717</v>
      </c>
      <c r="R135" s="384">
        <v>14071</v>
      </c>
      <c r="S135" s="384">
        <v>1703</v>
      </c>
      <c r="T135" s="384">
        <v>2045</v>
      </c>
      <c r="U135" s="384">
        <v>157</v>
      </c>
      <c r="V135" s="385">
        <v>5</v>
      </c>
      <c r="W135" s="385">
        <v>1</v>
      </c>
      <c r="X135" s="397">
        <v>31</v>
      </c>
    </row>
    <row r="136">
      <c r="A136" s="367"/>
      <c r="B136" s="368" t="s">
        <v>714</v>
      </c>
      <c r="C136" s="369" t="s">
        <v>719</v>
      </c>
      <c r="D136" s="370"/>
      <c r="E136" s="370"/>
      <c r="F136" s="370"/>
      <c r="G136" s="371">
        <f t="shared" si="71"/>
      </c>
      <c r="H136" s="371">
        <f t="shared" si="39"/>
      </c>
      <c r="I136" s="371">
        <f t="shared" si="47"/>
      </c>
      <c r="J136" s="372">
        <f t="shared" si="7"/>
      </c>
      <c r="K136" s="373">
        <f t="shared" si="55"/>
      </c>
      <c r="L136" s="374">
        <f t="shared" si="15"/>
      </c>
      <c r="M136" s="374">
        <f t="shared" si="23"/>
      </c>
      <c r="N136" s="374">
        <f t="shared" si="63"/>
      </c>
      <c r="O136" s="375">
        <f t="shared" si="31"/>
      </c>
      <c r="P136" s="376" t="s">
        <v>716</v>
      </c>
      <c r="Q136" s="377" t="s">
        <v>717</v>
      </c>
      <c r="R136" s="384">
        <v>14104</v>
      </c>
      <c r="S136" s="384">
        <v>1793</v>
      </c>
      <c r="T136" s="384">
        <v>2135</v>
      </c>
      <c r="U136" s="384">
        <v>145</v>
      </c>
      <c r="V136" s="385">
        <v>6</v>
      </c>
      <c r="W136" s="385">
        <v>0</v>
      </c>
      <c r="X136" s="397">
        <v>33</v>
      </c>
    </row>
    <row r="137">
      <c r="A137" s="367"/>
      <c r="B137" s="368" t="s">
        <v>714</v>
      </c>
      <c r="C137" s="369" t="s">
        <v>720</v>
      </c>
      <c r="D137" s="370"/>
      <c r="E137" s="370"/>
      <c r="F137" s="370"/>
      <c r="G137" s="371">
        <f t="shared" si="71"/>
      </c>
      <c r="H137" s="371">
        <f t="shared" si="39"/>
      </c>
      <c r="I137" s="371">
        <f t="shared" si="47"/>
      </c>
      <c r="J137" s="372">
        <f t="shared" si="7"/>
      </c>
      <c r="K137" s="373">
        <f t="shared" si="55"/>
      </c>
      <c r="L137" s="374">
        <f t="shared" si="15"/>
      </c>
      <c r="M137" s="374">
        <f t="shared" si="23"/>
      </c>
      <c r="N137" s="374">
        <f t="shared" si="63"/>
      </c>
      <c r="O137" s="375">
        <f t="shared" si="31"/>
      </c>
      <c r="P137" s="376" t="s">
        <v>716</v>
      </c>
      <c r="Q137" s="377" t="s">
        <v>717</v>
      </c>
      <c r="R137" s="384">
        <v>17451</v>
      </c>
      <c r="S137" s="384">
        <v>2595</v>
      </c>
      <c r="T137" s="384">
        <v>2992</v>
      </c>
      <c r="U137" s="384">
        <v>185</v>
      </c>
      <c r="V137" s="385">
        <v>8</v>
      </c>
      <c r="W137" s="385">
        <v>1</v>
      </c>
      <c r="X137" s="397">
        <v>45</v>
      </c>
    </row>
    <row r="138">
      <c r="A138" s="367"/>
      <c r="B138" s="386" t="s">
        <v>713</v>
      </c>
      <c r="C138" s="386"/>
      <c r="D138" s="387">
        <f>SUM(D134:D137)</f>
      </c>
      <c r="E138" s="388">
        <f>SUM(E134:E137)</f>
      </c>
      <c r="F138" s="387">
        <f>SUM(F134:F137)</f>
      </c>
      <c r="G138" s="389">
        <f t="shared" si="71"/>
      </c>
      <c r="H138" s="390">
        <f t="shared" si="39"/>
      </c>
      <c r="I138" s="391">
        <f t="shared" si="47"/>
      </c>
      <c r="J138" s="392">
        <f t="shared" si="7"/>
      </c>
      <c r="K138" s="393">
        <f t="shared" si="55"/>
      </c>
      <c r="L138" s="392">
        <f t="shared" si="15"/>
      </c>
      <c r="M138" s="392">
        <f t="shared" si="23"/>
      </c>
      <c r="N138" s="394">
        <f t="shared" si="63"/>
      </c>
      <c r="O138" s="395">
        <f t="shared" si="31"/>
      </c>
      <c r="P138" s="393"/>
      <c r="Q138" s="393"/>
      <c r="R138" s="396">
        <f>SUM(R134:R137)</f>
      </c>
      <c r="S138" s="396">
        <f>SUM(S134:S137)</f>
      </c>
      <c r="T138" s="396">
        <f>SUM(T134:T137)</f>
      </c>
      <c r="U138" s="396">
        <f>SUM(U134:U137)</f>
      </c>
      <c r="V138" s="396">
        <f>SUM(V134:V137)</f>
      </c>
      <c r="W138" s="396">
        <f>SUM(W134:W137)</f>
      </c>
      <c r="X138" s="396">
        <f>SUM(X134:X137)</f>
      </c>
    </row>
    <row r="139">
      <c r="A139" s="367"/>
      <c r="B139" s="368" t="s">
        <v>733</v>
      </c>
      <c r="C139" s="369" t="s">
        <v>722</v>
      </c>
      <c r="D139" s="370"/>
      <c r="E139" s="370"/>
      <c r="F139" s="370"/>
      <c r="G139" s="371">
        <f t="shared" si="71"/>
      </c>
      <c r="H139" s="371">
        <f t="shared" si="39"/>
      </c>
      <c r="I139" s="371">
        <f t="shared" si="47"/>
      </c>
      <c r="J139" s="372">
        <f t="shared" si="7"/>
      </c>
      <c r="K139" s="373">
        <f t="shared" si="55"/>
      </c>
      <c r="L139" s="374">
        <f t="shared" si="15"/>
      </c>
      <c r="M139" s="374">
        <f t="shared" si="23"/>
      </c>
      <c r="N139" s="374">
        <f t="shared" si="63"/>
      </c>
      <c r="O139" s="375">
        <f t="shared" si="31"/>
      </c>
      <c r="P139" s="376" t="s">
        <v>716</v>
      </c>
      <c r="Q139" s="377" t="s">
        <v>717</v>
      </c>
      <c r="R139" s="384">
        <v>23717</v>
      </c>
      <c r="S139" s="384">
        <v>2992</v>
      </c>
      <c r="T139" s="384">
        <v>3491</v>
      </c>
      <c r="U139" s="384">
        <v>216</v>
      </c>
      <c r="V139" s="385">
        <v>6</v>
      </c>
      <c r="W139" s="385">
        <v>0</v>
      </c>
      <c r="X139" s="397">
        <v>40</v>
      </c>
    </row>
    <row r="140">
      <c r="A140" s="367"/>
      <c r="B140" s="368" t="s">
        <v>733</v>
      </c>
      <c r="C140" s="398" t="s">
        <v>723</v>
      </c>
      <c r="D140" s="370"/>
      <c r="E140" s="370"/>
      <c r="F140" s="370"/>
      <c r="G140" s="371">
        <f t="shared" si="71"/>
      </c>
      <c r="H140" s="371">
        <f t="shared" si="39"/>
      </c>
      <c r="I140" s="371">
        <f t="shared" si="47"/>
      </c>
      <c r="J140" s="372">
        <f t="shared" si="7"/>
      </c>
      <c r="K140" s="373">
        <f t="shared" si="55"/>
      </c>
      <c r="L140" s="374">
        <f t="shared" si="15"/>
      </c>
      <c r="M140" s="374">
        <f t="shared" si="23"/>
      </c>
      <c r="N140" s="374">
        <f t="shared" si="63"/>
      </c>
      <c r="O140" s="375">
        <f t="shared" si="31"/>
      </c>
      <c r="P140" s="376" t="s">
        <v>716</v>
      </c>
      <c r="Q140" s="377" t="s">
        <v>717</v>
      </c>
      <c r="R140" s="384">
        <v>14637</v>
      </c>
      <c r="S140" s="384">
        <v>1677</v>
      </c>
      <c r="T140" s="384">
        <v>2029</v>
      </c>
      <c r="U140" s="384">
        <v>128</v>
      </c>
      <c r="V140" s="385">
        <v>4</v>
      </c>
      <c r="W140" s="385">
        <v>0</v>
      </c>
      <c r="X140" s="397">
        <v>45</v>
      </c>
    </row>
    <row r="141">
      <c r="A141" s="367"/>
      <c r="B141" s="368" t="s">
        <v>733</v>
      </c>
      <c r="C141" s="398" t="s">
        <v>724</v>
      </c>
      <c r="D141" s="370"/>
      <c r="E141" s="370"/>
      <c r="F141" s="370"/>
      <c r="G141" s="371">
        <f t="shared" si="71"/>
      </c>
      <c r="H141" s="371">
        <f t="shared" si="39"/>
      </c>
      <c r="I141" s="371">
        <f t="shared" si="47"/>
      </c>
      <c r="J141" s="372">
        <f t="shared" si="7"/>
      </c>
      <c r="K141" s="373">
        <f t="shared" si="55"/>
      </c>
      <c r="L141" s="374">
        <f t="shared" si="15"/>
      </c>
      <c r="M141" s="374">
        <f t="shared" si="23"/>
      </c>
      <c r="N141" s="374">
        <f t="shared" si="63"/>
      </c>
      <c r="O141" s="375">
        <f t="shared" si="31"/>
      </c>
      <c r="P141" s="376" t="s">
        <v>716</v>
      </c>
      <c r="Q141" s="377" t="s">
        <v>717</v>
      </c>
      <c r="R141" s="384">
        <v>19418</v>
      </c>
      <c r="S141" s="384">
        <v>1976</v>
      </c>
      <c r="T141" s="384">
        <v>2395</v>
      </c>
      <c r="U141" s="384">
        <v>160</v>
      </c>
      <c r="V141" s="385">
        <v>1</v>
      </c>
      <c r="W141" s="385">
        <v>0</v>
      </c>
      <c r="X141" s="397">
        <v>35</v>
      </c>
    </row>
    <row r="142">
      <c r="A142" s="367"/>
      <c r="B142" s="368" t="s">
        <v>733</v>
      </c>
      <c r="C142" s="398" t="s">
        <v>725</v>
      </c>
      <c r="D142" s="370"/>
      <c r="E142" s="370"/>
      <c r="F142" s="370"/>
      <c r="G142" s="371">
        <f t="shared" si="71"/>
      </c>
      <c r="H142" s="371">
        <f t="shared" si="39"/>
      </c>
      <c r="I142" s="371">
        <f t="shared" si="47"/>
      </c>
      <c r="J142" s="372">
        <f t="shared" si="7"/>
      </c>
      <c r="K142" s="373">
        <f t="shared" si="55"/>
      </c>
      <c r="L142" s="374">
        <f t="shared" si="15"/>
      </c>
      <c r="M142" s="374">
        <f t="shared" si="23"/>
      </c>
      <c r="N142" s="374">
        <f t="shared" si="63"/>
      </c>
      <c r="O142" s="375">
        <f t="shared" si="31"/>
      </c>
      <c r="P142" s="376" t="s">
        <v>716</v>
      </c>
      <c r="Q142" s="377" t="s">
        <v>717</v>
      </c>
      <c r="R142" s="384">
        <v>14756</v>
      </c>
      <c r="S142" s="384">
        <v>1450</v>
      </c>
      <c r="T142" s="384">
        <v>1661</v>
      </c>
      <c r="U142" s="384">
        <v>86</v>
      </c>
      <c r="V142" s="385">
        <v>4</v>
      </c>
      <c r="W142" s="385">
        <v>0</v>
      </c>
      <c r="X142" s="397">
        <v>25</v>
      </c>
    </row>
    <row r="143">
      <c r="A143" s="367"/>
      <c r="B143" s="386" t="s">
        <v>713</v>
      </c>
      <c r="C143" s="386"/>
      <c r="D143" s="387">
        <f>SUM(D139:D142)</f>
      </c>
      <c r="E143" s="388">
        <f>SUM(E139:E142)</f>
      </c>
      <c r="F143" s="387">
        <f>SUM(F139:F142)</f>
      </c>
      <c r="G143" s="389">
        <f t="shared" si="71"/>
      </c>
      <c r="H143" s="390">
        <f t="shared" si="39"/>
      </c>
      <c r="I143" s="391">
        <f t="shared" si="47"/>
      </c>
      <c r="J143" s="392">
        <f t="shared" si="7"/>
      </c>
      <c r="K143" s="393">
        <f t="shared" si="55"/>
      </c>
      <c r="L143" s="392">
        <f t="shared" si="15"/>
      </c>
      <c r="M143" s="392">
        <f t="shared" si="23"/>
      </c>
      <c r="N143" s="394">
        <f t="shared" si="63"/>
      </c>
      <c r="O143" s="395">
        <f t="shared" si="31"/>
      </c>
      <c r="P143" s="393"/>
      <c r="Q143" s="393"/>
      <c r="R143" s="396">
        <f>SUM(R139:R142)</f>
      </c>
      <c r="S143" s="396">
        <f>SUM(S139:S142)</f>
      </c>
      <c r="T143" s="396">
        <f>SUM(T139:T142)</f>
      </c>
      <c r="U143" s="396">
        <f>SUM(U139:U142)</f>
      </c>
      <c r="V143" s="396">
        <f>SUM(V139:V142)</f>
      </c>
      <c r="W143" s="396">
        <f>SUM(W139:W142)</f>
      </c>
      <c r="X143" s="396">
        <f>SUM(X139:X142)</f>
      </c>
    </row>
    <row r="144">
      <c r="A144" s="367"/>
      <c r="B144" s="399" t="s">
        <v>726</v>
      </c>
      <c r="C144" s="399"/>
      <c r="D144" s="400">
        <f>D133+D138+D143</f>
      </c>
      <c r="E144" s="401">
        <f>E133+E138+E143</f>
      </c>
      <c r="F144" s="400">
        <f>F133+F138+F143</f>
      </c>
      <c r="G144" s="399">
        <f t="shared" si="71"/>
      </c>
      <c r="H144" s="399">
        <f t="shared" si="39"/>
      </c>
      <c r="I144" s="399">
        <f t="shared" si="47"/>
      </c>
      <c r="J144" s="402">
        <f t="shared" si="7"/>
      </c>
      <c r="K144" s="399">
        <f t="shared" si="55"/>
      </c>
      <c r="L144" s="402">
        <f t="shared" si="15"/>
      </c>
      <c r="M144" s="402">
        <f t="shared" si="23"/>
      </c>
      <c r="N144" s="402">
        <f t="shared" si="63"/>
      </c>
      <c r="O144" s="399">
        <f t="shared" si="31"/>
      </c>
      <c r="P144" s="403"/>
      <c r="Q144" s="403"/>
      <c r="R144" s="404">
        <f>R133+R138+R143</f>
      </c>
      <c r="S144" s="404">
        <f>S133+S138+S143</f>
      </c>
      <c r="T144" s="404">
        <f>T133+T138+T143</f>
      </c>
      <c r="U144" s="404">
        <f>U133+U138+U143</f>
      </c>
      <c r="V144" s="404">
        <f>V133+V138+V143</f>
      </c>
      <c r="W144" s="404">
        <f>W133+W138+W143</f>
      </c>
      <c r="X144" s="404">
        <f>X133+X138+X143</f>
      </c>
    </row>
    <row r="145">
      <c r="A145" s="307"/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</row>
    <row r="146">
      <c r="A146" s="307"/>
      <c r="B146" s="311"/>
      <c r="C146" s="311"/>
      <c r="D146" s="311"/>
      <c r="E146" s="311"/>
      <c r="F146" s="311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</row>
    <row r="147">
      <c r="A147" s="307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</row>
    <row r="148">
      <c r="A148" s="307"/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</row>
    <row r="149">
      <c r="A149" s="307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</row>
    <row r="150">
      <c r="A150" s="307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</row>
    <row r="151">
      <c r="A151" s="307"/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</row>
    <row r="152">
      <c r="A152" s="307"/>
      <c r="B152" s="311"/>
      <c r="C152" s="311"/>
      <c r="D152" s="311"/>
      <c r="E152" s="311"/>
      <c r="F152" s="311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</row>
    <row r="153">
      <c r="A153" s="307"/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</row>
    <row r="154">
      <c r="A154" s="307"/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</row>
    <row r="155">
      <c r="A155" s="307"/>
      <c r="B155" s="311"/>
      <c r="C155" s="311"/>
      <c r="D155" s="311"/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</row>
    <row r="156">
      <c r="A156" s="307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</row>
    <row r="157">
      <c r="A157" s="307"/>
      <c r="B157" s="311"/>
      <c r="C157" s="311"/>
      <c r="D157" s="311"/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</row>
    <row r="158">
      <c r="A158" s="307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</row>
    <row r="159">
      <c r="A159" s="307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</row>
    <row r="160">
      <c r="A160" s="307"/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</row>
    <row r="161">
      <c r="A161" s="307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</row>
    <row r="162">
      <c r="A162" s="307"/>
      <c r="B162" s="311"/>
      <c r="C162" s="311"/>
      <c r="D162" s="311"/>
      <c r="E162" s="311"/>
      <c r="F162" s="311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</row>
    <row r="163">
      <c r="A163" s="307"/>
      <c r="B163" s="311"/>
      <c r="C163" s="311"/>
      <c r="D163" s="311"/>
      <c r="E163" s="311"/>
      <c r="F163" s="311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</row>
    <row r="164">
      <c r="A164" s="307"/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</row>
    <row r="165">
      <c r="A165" s="307"/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</row>
    <row r="166">
      <c r="A166" s="307"/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</row>
    <row r="167">
      <c r="A167" s="307"/>
      <c r="B167" s="311"/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</row>
    <row r="168">
      <c r="A168" s="307"/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</row>
    <row r="169">
      <c r="A169" s="307"/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</row>
    <row r="170">
      <c r="A170" s="307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</row>
    <row r="171">
      <c r="A171" s="307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</row>
    <row r="172">
      <c r="A172" s="307"/>
      <c r="B172" s="311"/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</row>
    <row r="173">
      <c r="A173" s="307"/>
      <c r="B173" s="311"/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</row>
    <row r="174">
      <c r="A174" s="307"/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</row>
    <row r="175">
      <c r="A175" s="307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</row>
    <row r="176">
      <c r="A176" s="307"/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</row>
    <row r="177">
      <c r="A177" s="307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</row>
    <row r="178">
      <c r="A178" s="307"/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</row>
    <row r="179">
      <c r="A179" s="307"/>
      <c r="B179" s="311"/>
      <c r="C179" s="311"/>
      <c r="D179" s="311"/>
      <c r="E179" s="311"/>
      <c r="F179" s="311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</row>
    <row r="180">
      <c r="A180" s="307"/>
      <c r="B180" s="311"/>
      <c r="C180" s="311"/>
      <c r="D180" s="311"/>
      <c r="E180" s="311"/>
      <c r="F180" s="311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</row>
    <row r="181">
      <c r="A181" s="307"/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</row>
    <row r="182">
      <c r="A182" s="307"/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</row>
    <row r="183">
      <c r="A183" s="307"/>
      <c r="B183" s="311"/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</row>
    <row r="184">
      <c r="A184" s="307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</row>
    <row r="185">
      <c r="A185" s="307"/>
      <c r="B185" s="311"/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</row>
    <row r="186">
      <c r="A186" s="307"/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</row>
    <row r="187">
      <c r="A187" s="307"/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</row>
    <row r="188">
      <c r="A188" s="307"/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</row>
    <row r="189">
      <c r="A189" s="307"/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</row>
    <row r="190">
      <c r="A190" s="307"/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</row>
    <row r="191">
      <c r="A191" s="307"/>
      <c r="B191" s="311"/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</row>
    <row r="192">
      <c r="A192" s="307"/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</row>
    <row r="193">
      <c r="A193" s="307"/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</row>
    <row r="194">
      <c r="A194" s="307"/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</row>
    <row r="195">
      <c r="A195" s="307"/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</row>
    <row r="196">
      <c r="A196" s="307"/>
      <c r="B196" s="311"/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</row>
    <row r="197">
      <c r="A197" s="307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</row>
    <row r="198">
      <c r="A198" s="307"/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</row>
    <row r="199">
      <c r="A199" s="307"/>
      <c r="B199" s="311"/>
      <c r="C199" s="311"/>
      <c r="D199" s="311"/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</row>
    <row r="200">
      <c r="A200" s="307"/>
      <c r="B200" s="311"/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</row>
    <row r="201">
      <c r="A201" s="307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</row>
    <row r="202">
      <c r="A202" s="307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</row>
    <row r="203">
      <c r="A203" s="307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</row>
    <row r="204">
      <c r="A204" s="307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</row>
    <row r="205">
      <c r="A205" s="307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</row>
    <row r="206">
      <c r="A206" s="307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</row>
    <row r="207">
      <c r="A207" s="307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</row>
    <row r="208">
      <c r="A208" s="307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</row>
    <row r="209">
      <c r="A209" s="307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</row>
    <row r="210">
      <c r="A210" s="307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</row>
    <row r="211">
      <c r="A211" s="307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</row>
    <row r="212">
      <c r="A212" s="307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</row>
    <row r="213">
      <c r="A213" s="307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</row>
    <row r="214">
      <c r="A214" s="307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</row>
    <row r="215">
      <c r="A215" s="307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</row>
    <row r="216">
      <c r="A216" s="307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</row>
    <row r="217">
      <c r="A217" s="307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</row>
    <row r="218">
      <c r="A218" s="307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</row>
    <row r="219">
      <c r="A219" s="307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</row>
    <row r="220">
      <c r="A220" s="307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</row>
    <row r="221">
      <c r="A221" s="307"/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</row>
    <row r="222">
      <c r="A222" s="307"/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</row>
    <row r="223">
      <c r="A223" s="307"/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</row>
    <row r="224">
      <c r="A224" s="307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</row>
    <row r="225">
      <c r="A225" s="307"/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</row>
    <row r="226">
      <c r="A226" s="307"/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</row>
    <row r="227">
      <c r="A227" s="307"/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</row>
    <row r="228">
      <c r="A228" s="307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</row>
    <row r="229">
      <c r="A229" s="307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</row>
    <row r="230">
      <c r="A230" s="307"/>
      <c r="B230" s="339"/>
      <c r="C230" s="339"/>
      <c r="D230" s="340"/>
      <c r="E230" s="341"/>
      <c r="F230" s="340"/>
      <c r="G230" s="339"/>
      <c r="H230" s="339"/>
      <c r="I230" s="339"/>
      <c r="J230" s="342"/>
      <c r="K230" s="339"/>
      <c r="L230" s="342"/>
      <c r="M230" s="342"/>
      <c r="N230" s="342"/>
      <c r="O230" s="339"/>
      <c r="P230" s="343"/>
      <c r="Q230" s="343"/>
      <c r="R230" s="344"/>
      <c r="S230" s="344"/>
      <c r="T230" s="344"/>
      <c r="U230" s="344"/>
      <c r="V230" s="344"/>
      <c r="W230" s="344"/>
      <c r="X230" s="344"/>
    </row>
    <row r="231">
      <c r="A231" s="307"/>
      <c r="B231" s="339"/>
      <c r="C231" s="339"/>
      <c r="D231" s="340"/>
      <c r="E231" s="341"/>
      <c r="F231" s="340"/>
      <c r="G231" s="339"/>
      <c r="H231" s="339"/>
      <c r="I231" s="339"/>
      <c r="J231" s="342"/>
      <c r="K231" s="339"/>
      <c r="L231" s="342"/>
      <c r="M231" s="342"/>
      <c r="N231" s="342"/>
      <c r="O231" s="339"/>
      <c r="P231" s="343"/>
      <c r="Q231" s="343"/>
      <c r="R231" s="344"/>
      <c r="S231" s="344"/>
      <c r="T231" s="344"/>
      <c r="U231" s="344"/>
      <c r="V231" s="344"/>
      <c r="W231" s="344"/>
      <c r="X231" s="344"/>
    </row>
    <row r="232">
      <c r="A232" s="307"/>
      <c r="B232" s="339"/>
      <c r="C232" s="339"/>
      <c r="D232" s="340"/>
      <c r="E232" s="341"/>
      <c r="F232" s="340"/>
      <c r="G232" s="339"/>
      <c r="H232" s="339"/>
      <c r="I232" s="339"/>
      <c r="J232" s="342"/>
      <c r="K232" s="339"/>
      <c r="L232" s="342"/>
      <c r="M232" s="342"/>
      <c r="N232" s="342"/>
      <c r="O232" s="339"/>
      <c r="P232" s="343"/>
      <c r="Q232" s="343"/>
      <c r="R232" s="344"/>
      <c r="S232" s="344"/>
      <c r="T232" s="344"/>
      <c r="U232" s="344"/>
      <c r="V232" s="344"/>
      <c r="W232" s="344"/>
      <c r="X232" s="344"/>
    </row>
    <row r="233">
      <c r="A233" s="307"/>
      <c r="B233" s="339"/>
      <c r="C233" s="339"/>
      <c r="D233" s="340"/>
      <c r="E233" s="341"/>
      <c r="F233" s="340"/>
      <c r="G233" s="339"/>
      <c r="H233" s="339"/>
      <c r="I233" s="339"/>
      <c r="J233" s="342"/>
      <c r="K233" s="339"/>
      <c r="L233" s="342"/>
      <c r="M233" s="342"/>
      <c r="N233" s="342"/>
      <c r="O233" s="339"/>
      <c r="P233" s="343"/>
      <c r="Q233" s="343"/>
      <c r="R233" s="344"/>
      <c r="S233" s="344"/>
      <c r="T233" s="344"/>
      <c r="U233" s="344"/>
      <c r="V233" s="344"/>
      <c r="W233" s="344"/>
      <c r="X233" s="344"/>
    </row>
    <row r="234">
      <c r="A234" s="307"/>
      <c r="B234" s="339"/>
      <c r="C234" s="339"/>
      <c r="D234" s="340"/>
      <c r="E234" s="341"/>
      <c r="F234" s="340"/>
      <c r="G234" s="339"/>
      <c r="H234" s="339"/>
      <c r="I234" s="339"/>
      <c r="J234" s="342"/>
      <c r="K234" s="339"/>
      <c r="L234" s="342"/>
      <c r="M234" s="342"/>
      <c r="N234" s="342"/>
      <c r="O234" s="339"/>
      <c r="P234" s="343"/>
      <c r="Q234" s="343"/>
      <c r="R234" s="344"/>
      <c r="S234" s="344"/>
      <c r="T234" s="344"/>
      <c r="U234" s="344"/>
      <c r="V234" s="344"/>
      <c r="W234" s="344"/>
      <c r="X234" s="344"/>
    </row>
    <row r="235">
      <c r="A235" s="307"/>
      <c r="B235" s="339"/>
      <c r="C235" s="339"/>
      <c r="D235" s="340"/>
      <c r="E235" s="341"/>
      <c r="F235" s="340"/>
      <c r="G235" s="339"/>
      <c r="H235" s="339"/>
      <c r="I235" s="339"/>
      <c r="J235" s="342"/>
      <c r="K235" s="339"/>
      <c r="L235" s="342"/>
      <c r="M235" s="342"/>
      <c r="N235" s="342"/>
      <c r="O235" s="339"/>
      <c r="P235" s="343"/>
      <c r="Q235" s="343"/>
      <c r="R235" s="344"/>
      <c r="S235" s="344"/>
      <c r="T235" s="344"/>
      <c r="U235" s="344"/>
      <c r="V235" s="344"/>
      <c r="W235" s="344"/>
      <c r="X235" s="344"/>
    </row>
    <row r="236">
      <c r="A236" s="307"/>
      <c r="B236" s="339"/>
      <c r="C236" s="339"/>
      <c r="D236" s="340"/>
      <c r="E236" s="341"/>
      <c r="F236" s="340"/>
      <c r="G236" s="339"/>
      <c r="H236" s="339"/>
      <c r="I236" s="339"/>
      <c r="J236" s="342"/>
      <c r="K236" s="339"/>
      <c r="L236" s="342"/>
      <c r="M236" s="342"/>
      <c r="N236" s="342"/>
      <c r="O236" s="339"/>
      <c r="P236" s="343"/>
      <c r="Q236" s="343"/>
      <c r="R236" s="344"/>
      <c r="S236" s="344"/>
      <c r="T236" s="344"/>
      <c r="U236" s="344"/>
      <c r="V236" s="344"/>
      <c r="W236" s="344"/>
      <c r="X236" s="344"/>
    </row>
    <row r="237">
      <c r="A237" s="307"/>
      <c r="B237" s="339"/>
      <c r="C237" s="339"/>
      <c r="D237" s="340"/>
      <c r="E237" s="341"/>
      <c r="F237" s="340"/>
      <c r="G237" s="339"/>
      <c r="H237" s="339"/>
      <c r="I237" s="339"/>
      <c r="J237" s="342"/>
      <c r="K237" s="339"/>
      <c r="L237" s="342"/>
      <c r="M237" s="342"/>
      <c r="N237" s="342"/>
      <c r="O237" s="339"/>
      <c r="P237" s="343"/>
      <c r="Q237" s="343"/>
      <c r="R237" s="344"/>
      <c r="S237" s="344"/>
      <c r="T237" s="344"/>
      <c r="U237" s="344"/>
      <c r="V237" s="344"/>
      <c r="W237" s="344"/>
      <c r="X237" s="344"/>
    </row>
    <row r="238">
      <c r="A238" s="307"/>
      <c r="B238" s="339"/>
      <c r="C238" s="339"/>
      <c r="D238" s="340"/>
      <c r="E238" s="341"/>
      <c r="F238" s="340"/>
      <c r="G238" s="339"/>
      <c r="H238" s="339"/>
      <c r="I238" s="339"/>
      <c r="J238" s="342"/>
      <c r="K238" s="339"/>
      <c r="L238" s="342"/>
      <c r="M238" s="342"/>
      <c r="N238" s="342"/>
      <c r="O238" s="339"/>
      <c r="P238" s="343"/>
      <c r="Q238" s="343"/>
      <c r="R238" s="344"/>
      <c r="S238" s="344"/>
      <c r="T238" s="344"/>
      <c r="U238" s="344"/>
      <c r="V238" s="344"/>
      <c r="W238" s="344"/>
      <c r="X238" s="344"/>
    </row>
    <row r="239">
      <c r="A239" s="307"/>
      <c r="B239" s="339"/>
      <c r="C239" s="339"/>
      <c r="D239" s="340"/>
      <c r="E239" s="341"/>
      <c r="F239" s="340"/>
      <c r="G239" s="339"/>
      <c r="H239" s="339"/>
      <c r="I239" s="339"/>
      <c r="J239" s="342"/>
      <c r="K239" s="339"/>
      <c r="L239" s="342"/>
      <c r="M239" s="342"/>
      <c r="N239" s="342"/>
      <c r="O239" s="339"/>
      <c r="P239" s="343"/>
      <c r="Q239" s="343"/>
      <c r="R239" s="344"/>
      <c r="S239" s="344"/>
      <c r="T239" s="344"/>
      <c r="U239" s="344"/>
      <c r="V239" s="344"/>
      <c r="W239" s="344"/>
      <c r="X239" s="344"/>
    </row>
    <row r="240">
      <c r="A240" s="307"/>
      <c r="B240" s="339"/>
      <c r="C240" s="339"/>
      <c r="D240" s="340"/>
      <c r="E240" s="341"/>
      <c r="F240" s="340"/>
      <c r="G240" s="339"/>
      <c r="H240" s="339"/>
      <c r="I240" s="339"/>
      <c r="J240" s="342"/>
      <c r="K240" s="339"/>
      <c r="L240" s="342"/>
      <c r="M240" s="342"/>
      <c r="N240" s="342"/>
      <c r="O240" s="339"/>
      <c r="P240" s="343"/>
      <c r="Q240" s="343"/>
      <c r="R240" s="344"/>
      <c r="S240" s="344"/>
      <c r="T240" s="344"/>
      <c r="U240" s="344"/>
      <c r="V240" s="344"/>
      <c r="W240" s="344"/>
      <c r="X240" s="344"/>
    </row>
    <row r="241">
      <c r="A241" s="307"/>
      <c r="B241" s="339"/>
      <c r="C241" s="339"/>
      <c r="D241" s="340"/>
      <c r="E241" s="341"/>
      <c r="F241" s="340"/>
      <c r="G241" s="339"/>
      <c r="H241" s="339"/>
      <c r="I241" s="339"/>
      <c r="J241" s="342"/>
      <c r="K241" s="339"/>
      <c r="L241" s="342"/>
      <c r="M241" s="342"/>
      <c r="N241" s="342"/>
      <c r="O241" s="339"/>
      <c r="P241" s="343"/>
      <c r="Q241" s="343"/>
      <c r="R241" s="344"/>
      <c r="S241" s="344"/>
      <c r="T241" s="344"/>
      <c r="U241" s="344"/>
      <c r="V241" s="344"/>
      <c r="W241" s="344"/>
      <c r="X241" s="344"/>
    </row>
    <row r="242">
      <c r="A242" s="307"/>
      <c r="B242" s="339"/>
      <c r="C242" s="339"/>
      <c r="D242" s="340"/>
      <c r="E242" s="341"/>
      <c r="F242" s="340"/>
      <c r="G242" s="339"/>
      <c r="H242" s="339"/>
      <c r="I242" s="339"/>
      <c r="J242" s="342"/>
      <c r="K242" s="339"/>
      <c r="L242" s="342"/>
      <c r="M242" s="342"/>
      <c r="N242" s="342"/>
      <c r="O242" s="339"/>
      <c r="P242" s="343"/>
      <c r="Q242" s="343"/>
      <c r="R242" s="344"/>
      <c r="S242" s="344"/>
      <c r="T242" s="344"/>
      <c r="U242" s="344"/>
      <c r="V242" s="344"/>
      <c r="W242" s="344"/>
      <c r="X242" s="344"/>
    </row>
    <row r="243">
      <c r="A243" s="307"/>
      <c r="B243" s="339"/>
      <c r="C243" s="339"/>
      <c r="D243" s="340"/>
      <c r="E243" s="341"/>
      <c r="F243" s="340"/>
      <c r="G243" s="339"/>
      <c r="H243" s="339"/>
      <c r="I243" s="339"/>
      <c r="J243" s="342"/>
      <c r="K243" s="339"/>
      <c r="L243" s="342"/>
      <c r="M243" s="342"/>
      <c r="N243" s="342"/>
      <c r="O243" s="339"/>
      <c r="P243" s="343"/>
      <c r="Q243" s="343"/>
      <c r="R243" s="344"/>
      <c r="S243" s="344"/>
      <c r="T243" s="344"/>
      <c r="U243" s="344"/>
      <c r="V243" s="344"/>
      <c r="W243" s="344"/>
      <c r="X243" s="344"/>
    </row>
    <row r="244">
      <c r="A244" s="307"/>
      <c r="B244" s="339"/>
      <c r="C244" s="339"/>
      <c r="D244" s="340"/>
      <c r="E244" s="341"/>
      <c r="F244" s="340"/>
      <c r="G244" s="339"/>
      <c r="H244" s="339"/>
      <c r="I244" s="339"/>
      <c r="J244" s="342"/>
      <c r="K244" s="339"/>
      <c r="L244" s="342"/>
      <c r="M244" s="342"/>
      <c r="N244" s="342"/>
      <c r="O244" s="339"/>
      <c r="P244" s="343"/>
      <c r="Q244" s="343"/>
      <c r="R244" s="344"/>
      <c r="S244" s="344"/>
      <c r="T244" s="344"/>
      <c r="U244" s="344"/>
      <c r="V244" s="344"/>
      <c r="W244" s="344"/>
      <c r="X244" s="344"/>
    </row>
    <row r="245">
      <c r="A245" s="307"/>
      <c r="B245" s="339"/>
      <c r="C245" s="339"/>
      <c r="D245" s="340"/>
      <c r="E245" s="341"/>
      <c r="F245" s="340"/>
      <c r="G245" s="339"/>
      <c r="H245" s="339"/>
      <c r="I245" s="339"/>
      <c r="J245" s="342"/>
      <c r="K245" s="339"/>
      <c r="L245" s="342"/>
      <c r="M245" s="342"/>
      <c r="N245" s="342"/>
      <c r="O245" s="339"/>
      <c r="P245" s="343"/>
      <c r="Q245" s="343"/>
      <c r="R245" s="344"/>
      <c r="S245" s="344"/>
      <c r="T245" s="344"/>
      <c r="U245" s="344"/>
      <c r="V245" s="344"/>
      <c r="W245" s="344"/>
      <c r="X245" s="344"/>
    </row>
    <row r="246">
      <c r="A246" s="307"/>
      <c r="B246" s="339"/>
      <c r="C246" s="339"/>
      <c r="D246" s="340"/>
      <c r="E246" s="341"/>
      <c r="F246" s="340"/>
      <c r="G246" s="339"/>
      <c r="H246" s="339"/>
      <c r="I246" s="339"/>
      <c r="J246" s="342"/>
      <c r="K246" s="339"/>
      <c r="L246" s="342"/>
      <c r="M246" s="342"/>
      <c r="N246" s="342"/>
      <c r="O246" s="339"/>
      <c r="P246" s="343"/>
      <c r="Q246" s="343"/>
      <c r="R246" s="344"/>
      <c r="S246" s="344"/>
      <c r="T246" s="344"/>
      <c r="U246" s="344"/>
      <c r="V246" s="344"/>
      <c r="W246" s="344"/>
      <c r="X246" s="344"/>
    </row>
    <row r="247">
      <c r="A247" s="307"/>
      <c r="B247" s="339"/>
      <c r="C247" s="339"/>
      <c r="D247" s="340"/>
      <c r="E247" s="341"/>
      <c r="F247" s="340"/>
      <c r="G247" s="339"/>
      <c r="H247" s="339"/>
      <c r="I247" s="339"/>
      <c r="J247" s="342"/>
      <c r="K247" s="339"/>
      <c r="L247" s="342"/>
      <c r="M247" s="342"/>
      <c r="N247" s="342"/>
      <c r="O247" s="339"/>
      <c r="P247" s="343"/>
      <c r="Q247" s="343"/>
      <c r="R247" s="344"/>
      <c r="S247" s="344"/>
      <c r="T247" s="344"/>
      <c r="U247" s="344"/>
      <c r="V247" s="344"/>
      <c r="W247" s="344"/>
      <c r="X247" s="344"/>
    </row>
    <row r="248">
      <c r="A248" s="307"/>
      <c r="B248" s="339"/>
      <c r="C248" s="339"/>
      <c r="D248" s="340"/>
      <c r="E248" s="341"/>
      <c r="F248" s="340"/>
      <c r="G248" s="339"/>
      <c r="H248" s="339"/>
      <c r="I248" s="339"/>
      <c r="J248" s="342"/>
      <c r="K248" s="339"/>
      <c r="L248" s="342"/>
      <c r="M248" s="342"/>
      <c r="N248" s="342"/>
      <c r="O248" s="339"/>
      <c r="P248" s="343"/>
      <c r="Q248" s="343"/>
      <c r="R248" s="344"/>
      <c r="S248" s="344"/>
      <c r="T248" s="344"/>
      <c r="U248" s="344"/>
      <c r="V248" s="344"/>
      <c r="W248" s="344"/>
      <c r="X248" s="344"/>
    </row>
    <row r="249">
      <c r="A249" s="307"/>
      <c r="B249" s="339"/>
      <c r="C249" s="339"/>
      <c r="D249" s="340"/>
      <c r="E249" s="341"/>
      <c r="F249" s="340"/>
      <c r="G249" s="339"/>
      <c r="H249" s="339"/>
      <c r="I249" s="339"/>
      <c r="J249" s="342"/>
      <c r="K249" s="339"/>
      <c r="L249" s="342"/>
      <c r="M249" s="342"/>
      <c r="N249" s="342"/>
      <c r="O249" s="339"/>
      <c r="P249" s="343"/>
      <c r="Q249" s="343"/>
      <c r="R249" s="344"/>
      <c r="S249" s="344"/>
      <c r="T249" s="344"/>
      <c r="U249" s="344"/>
      <c r="V249" s="344"/>
      <c r="W249" s="344"/>
      <c r="X249" s="344"/>
    </row>
    <row r="250">
      <c r="A250" s="307"/>
      <c r="B250" s="339"/>
      <c r="C250" s="339"/>
      <c r="D250" s="340"/>
      <c r="E250" s="341"/>
      <c r="F250" s="340"/>
      <c r="G250" s="339"/>
      <c r="H250" s="339"/>
      <c r="I250" s="339"/>
      <c r="J250" s="342"/>
      <c r="K250" s="339"/>
      <c r="L250" s="342"/>
      <c r="M250" s="342"/>
      <c r="N250" s="342"/>
      <c r="O250" s="339"/>
      <c r="P250" s="343"/>
      <c r="Q250" s="343"/>
      <c r="R250" s="344"/>
      <c r="S250" s="344"/>
      <c r="T250" s="344"/>
      <c r="U250" s="344"/>
      <c r="V250" s="344"/>
      <c r="W250" s="344"/>
      <c r="X250" s="344"/>
    </row>
    <row r="251">
      <c r="A251" s="307"/>
      <c r="B251" s="339"/>
      <c r="C251" s="339"/>
      <c r="D251" s="340"/>
      <c r="E251" s="341"/>
      <c r="F251" s="340"/>
      <c r="G251" s="339"/>
      <c r="H251" s="339"/>
      <c r="I251" s="339"/>
      <c r="J251" s="342"/>
      <c r="K251" s="339"/>
      <c r="L251" s="342"/>
      <c r="M251" s="342"/>
      <c r="N251" s="342"/>
      <c r="O251" s="339"/>
      <c r="P251" s="343"/>
      <c r="Q251" s="343"/>
      <c r="R251" s="344"/>
      <c r="S251" s="344"/>
      <c r="T251" s="344"/>
      <c r="U251" s="344"/>
      <c r="V251" s="344"/>
      <c r="W251" s="344"/>
      <c r="X251" s="344"/>
    </row>
    <row r="252">
      <c r="A252" s="307"/>
      <c r="B252" s="339"/>
      <c r="C252" s="339"/>
      <c r="D252" s="340"/>
      <c r="E252" s="341"/>
      <c r="F252" s="340"/>
      <c r="G252" s="339"/>
      <c r="H252" s="339"/>
      <c r="I252" s="339"/>
      <c r="J252" s="342"/>
      <c r="K252" s="339"/>
      <c r="L252" s="342"/>
      <c r="M252" s="342"/>
      <c r="N252" s="342"/>
      <c r="O252" s="339"/>
      <c r="P252" s="343"/>
      <c r="Q252" s="343"/>
      <c r="R252" s="344"/>
      <c r="S252" s="344"/>
      <c r="T252" s="344"/>
      <c r="U252" s="344"/>
      <c r="V252" s="344"/>
      <c r="W252" s="344"/>
      <c r="X252" s="344"/>
    </row>
    <row r="253">
      <c r="A253" s="307"/>
      <c r="B253" s="339"/>
      <c r="C253" s="339"/>
      <c r="D253" s="340"/>
      <c r="E253" s="341"/>
      <c r="F253" s="340"/>
      <c r="G253" s="339"/>
      <c r="H253" s="339"/>
      <c r="I253" s="339"/>
      <c r="J253" s="342"/>
      <c r="K253" s="339"/>
      <c r="L253" s="342"/>
      <c r="M253" s="342"/>
      <c r="N253" s="342"/>
      <c r="O253" s="339"/>
      <c r="P253" s="343"/>
      <c r="Q253" s="343"/>
      <c r="R253" s="344"/>
      <c r="S253" s="344"/>
      <c r="T253" s="344"/>
      <c r="U253" s="344"/>
      <c r="V253" s="344"/>
      <c r="W253" s="344"/>
      <c r="X253" s="344"/>
    </row>
    <row r="254">
      <c r="A254" s="307"/>
      <c r="B254" s="339"/>
      <c r="C254" s="339"/>
      <c r="D254" s="340"/>
      <c r="E254" s="341"/>
      <c r="F254" s="340"/>
      <c r="G254" s="339"/>
      <c r="H254" s="339"/>
      <c r="I254" s="339"/>
      <c r="J254" s="342"/>
      <c r="K254" s="339"/>
      <c r="L254" s="342"/>
      <c r="M254" s="342"/>
      <c r="N254" s="342"/>
      <c r="O254" s="339"/>
      <c r="P254" s="343"/>
      <c r="Q254" s="343"/>
      <c r="R254" s="344"/>
      <c r="S254" s="344"/>
      <c r="T254" s="344"/>
      <c r="U254" s="344"/>
      <c r="V254" s="344"/>
      <c r="W254" s="344"/>
      <c r="X254" s="344"/>
    </row>
  </sheetData>
  <mergeCells>
    <mergeCell ref="B18:C18"/>
    <mergeCell ref="B17:C17"/>
    <mergeCell ref="B12:C12"/>
    <mergeCell ref="B7:C7"/>
    <mergeCell ref="A3:A18"/>
    <mergeCell ref="R1:X1"/>
    <mergeCell ref="J1:Q1"/>
    <mergeCell ref="D1:I1"/>
    <mergeCell ref="A1:C1"/>
    <mergeCell ref="B36:C36"/>
    <mergeCell ref="B35:C35"/>
    <mergeCell ref="B30:C30"/>
    <mergeCell ref="B25:C25"/>
    <mergeCell ref="A21:A36"/>
    <mergeCell ref="R19:X19"/>
    <mergeCell ref="J19:Q19"/>
    <mergeCell ref="D19:I19"/>
    <mergeCell ref="A19:C19"/>
    <mergeCell ref="B54:C54"/>
    <mergeCell ref="B53:C53"/>
    <mergeCell ref="B48:C48"/>
    <mergeCell ref="B43:C43"/>
    <mergeCell ref="A39:A54"/>
    <mergeCell ref="R37:X37"/>
    <mergeCell ref="J37:Q37"/>
    <mergeCell ref="D37:I37"/>
    <mergeCell ref="A37:C37"/>
    <mergeCell ref="R55:X55"/>
    <mergeCell ref="J55:Q55"/>
    <mergeCell ref="D55:I55"/>
    <mergeCell ref="A55:C55"/>
    <mergeCell ref="A57:A72"/>
    <mergeCell ref="B61:C61"/>
    <mergeCell ref="B66:C66"/>
    <mergeCell ref="B71:C71"/>
    <mergeCell ref="B72:C72"/>
    <mergeCell ref="R73:X73"/>
    <mergeCell ref="J73:Q73"/>
    <mergeCell ref="D73:I73"/>
    <mergeCell ref="A73:C73"/>
    <mergeCell ref="A75:A90"/>
    <mergeCell ref="B79:C79"/>
    <mergeCell ref="B84:C84"/>
    <mergeCell ref="B89:C89"/>
    <mergeCell ref="B90:C90"/>
    <mergeCell ref="R91:X91"/>
    <mergeCell ref="J91:Q91"/>
    <mergeCell ref="D91:I91"/>
    <mergeCell ref="A91:C91"/>
    <mergeCell ref="A93:A108"/>
    <mergeCell ref="B97:C97"/>
    <mergeCell ref="B102:C102"/>
    <mergeCell ref="B107:C107"/>
    <mergeCell ref="B108:C108"/>
    <mergeCell ref="R109:X109"/>
    <mergeCell ref="J109:Q109"/>
    <mergeCell ref="D109:I109"/>
    <mergeCell ref="A109:C109"/>
    <mergeCell ref="A111:A126"/>
    <mergeCell ref="B115:C115"/>
    <mergeCell ref="B120:C120"/>
    <mergeCell ref="B125:C125"/>
    <mergeCell ref="B126:C126"/>
    <mergeCell ref="R127:X127"/>
    <mergeCell ref="J127:Q127"/>
    <mergeCell ref="D127:I127"/>
    <mergeCell ref="A127:C127"/>
    <mergeCell ref="A129:A144"/>
    <mergeCell ref="B133:C133"/>
    <mergeCell ref="B138:C138"/>
    <mergeCell ref="B143:C143"/>
    <mergeCell ref="B144:C144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8" min="38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9" min="39" style="0" width="11.211267605633802"/>
    <col collapsed="false" customWidth="true" hidden="false" max="8" min="8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40" min="40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33" min="33" style="0" width="11.211267605633802"/>
    <col collapsed="false" customWidth="true" hidden="false" max="41" min="41" style="0" width="11.211267605633802"/>
    <col collapsed="false" customWidth="true" hidden="false" max="2" min="2" style="0" width="11.211267605633802"/>
    <col collapsed="false" customWidth="true" hidden="false" max="25" min="25" style="0" width="11.211267605633802"/>
    <col collapsed="false" customWidth="true" hidden="false" max="34" min="34" style="0" width="11.211267605633802"/>
    <col collapsed="false" customWidth="true" hidden="false" max="42" min="42" style="0" width="11.211267605633802"/>
    <col collapsed="false" customWidth="true" hidden="false" max="3" min="3" style="0" width="11.211267605633802"/>
    <col collapsed="false" customWidth="true" hidden="false" max="26" min="26" style="0" width="11.211267605633802"/>
    <col collapsed="false" customWidth="true" hidden="false" max="35" min="35" style="0" width="11.211267605633802"/>
    <col collapsed="false" customWidth="true" hidden="false" max="43" min="43" style="0" width="11.211267605633802"/>
    <col collapsed="false" customWidth="true" hidden="false" max="27" min="27" style="0" width="11.211267605633802"/>
    <col collapsed="false" customWidth="true" hidden="false" max="36" min="36" style="0" width="11.211267605633802"/>
    <col collapsed="false" customWidth="true" hidden="false" max="44" min="44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37" min="37" style="0" width="11.211267605633802"/>
    <col collapsed="false" customWidth="true" hidden="false" max="45" min="45" style="0" width="11.211267605633802"/>
  </cols>
  <sheetData>
    <row r="1">
      <c r="A1" s="405" t="s">
        <v>738</v>
      </c>
      <c r="B1" s="405"/>
      <c r="C1" s="405"/>
      <c r="D1" s="406" t="s">
        <v>739</v>
      </c>
      <c r="E1" s="406"/>
      <c r="F1" s="406"/>
      <c r="G1" s="406"/>
      <c r="H1" s="406"/>
      <c r="I1" s="406"/>
      <c r="J1" s="406"/>
      <c r="K1" s="407" t="s">
        <v>740</v>
      </c>
      <c r="L1" s="407"/>
      <c r="M1" s="407"/>
      <c r="N1" s="407"/>
      <c r="O1" s="407"/>
      <c r="P1" s="407"/>
      <c r="Q1" s="407"/>
      <c r="R1" s="407"/>
      <c r="S1" s="408" t="s">
        <v>741</v>
      </c>
      <c r="T1" s="408"/>
      <c r="U1" s="408"/>
      <c r="V1" s="408"/>
      <c r="W1" s="408"/>
      <c r="X1" s="408"/>
      <c r="Y1" s="408"/>
    </row>
    <row r="2">
      <c r="A2" s="409" t="s">
        <v>742</v>
      </c>
      <c r="B2" s="409" t="s">
        <v>743</v>
      </c>
      <c r="C2" s="409" t="s">
        <v>744</v>
      </c>
      <c r="D2" s="410" t="s">
        <v>745</v>
      </c>
      <c r="E2" s="411" t="s">
        <v>746</v>
      </c>
      <c r="F2" s="411"/>
      <c r="G2" s="410" t="s">
        <v>747</v>
      </c>
      <c r="H2" s="412" t="s">
        <v>748</v>
      </c>
      <c r="I2" s="413" t="s">
        <v>749</v>
      </c>
      <c r="J2" s="410" t="s">
        <v>750</v>
      </c>
      <c r="K2" s="414" t="s">
        <v>751</v>
      </c>
      <c r="L2" s="415" t="s">
        <v>752</v>
      </c>
      <c r="M2" s="414" t="s">
        <v>753</v>
      </c>
      <c r="N2" s="414" t="s">
        <v>754</v>
      </c>
      <c r="O2" s="416" t="s">
        <v>755</v>
      </c>
      <c r="P2" s="416" t="s">
        <v>756</v>
      </c>
      <c r="Q2" s="417" t="s">
        <v>757</v>
      </c>
      <c r="R2" s="417" t="s">
        <v>758</v>
      </c>
      <c r="S2" s="418" t="s">
        <v>759</v>
      </c>
      <c r="T2" s="418" t="s">
        <v>760</v>
      </c>
      <c r="U2" s="419" t="s">
        <v>761</v>
      </c>
      <c r="V2" s="419" t="s">
        <v>762</v>
      </c>
      <c r="W2" s="419" t="s">
        <v>763</v>
      </c>
      <c r="X2" s="419" t="s">
        <v>764</v>
      </c>
      <c r="Y2" s="419" t="s">
        <v>765</v>
      </c>
    </row>
    <row r="3">
      <c r="A3" s="420" t="s">
        <v>766</v>
      </c>
      <c r="B3" s="421" t="s">
        <v>767</v>
      </c>
      <c r="C3" s="422" t="s">
        <v>768</v>
      </c>
      <c r="D3" s="421">
        <v>1649.25</v>
      </c>
      <c r="E3" s="423">
        <v>2</v>
      </c>
      <c r="F3" s="423"/>
      <c r="G3" s="421">
        <v>1054.8</v>
      </c>
      <c r="H3" s="424">
        <f t="shared" ref="H3:H18" si="352">G3/D3</f>
      </c>
      <c r="I3" s="424">
        <f t="shared" ref="I3:I18" si="0">D3/E3</f>
      </c>
      <c r="J3" s="424">
        <f t="shared" ref="J3:J18" si="63">G3/E3</f>
      </c>
      <c r="K3" s="425">
        <f t="shared" ref="K3:K18" si="103">T3/S3</f>
      </c>
      <c r="L3" s="426">
        <f t="shared" ref="L3:L18" si="163">D3/U3</f>
      </c>
      <c r="M3" s="427">
        <f t="shared" ref="M3:M18" si="133">V3/U3</f>
      </c>
      <c r="N3" s="427">
        <f t="shared" ref="N3:N18" si="193">E3/W3</f>
      </c>
      <c r="O3" s="427">
        <f t="shared" ref="O3:O18" si="246">X3/E3</f>
      </c>
      <c r="P3" s="428">
        <f t="shared" ref="P3:P18" si="299">(Y3*1000)/D3</f>
      </c>
      <c r="Q3" s="429" t="s">
        <v>769</v>
      </c>
      <c r="R3" s="430" t="s">
        <v>770</v>
      </c>
      <c r="S3" s="431">
        <v>7823</v>
      </c>
      <c r="T3" s="431">
        <v>943</v>
      </c>
      <c r="U3" s="431">
        <v>1179</v>
      </c>
      <c r="V3" s="431">
        <v>103</v>
      </c>
      <c r="W3" s="431">
        <v>3</v>
      </c>
      <c r="X3" s="432">
        <v>0</v>
      </c>
      <c r="Y3" s="432">
        <v>10</v>
      </c>
    </row>
    <row r="4">
      <c r="A4" s="420"/>
      <c r="B4" s="421" t="s">
        <v>767</v>
      </c>
      <c r="C4" s="433" t="s">
        <v>771</v>
      </c>
      <c r="D4" s="421">
        <v>1964.3</v>
      </c>
      <c r="E4" s="423">
        <v>7</v>
      </c>
      <c r="F4" s="423"/>
      <c r="G4" s="421">
        <v>9002.4</v>
      </c>
      <c r="H4" s="424">
        <f t="shared" si="352"/>
      </c>
      <c r="I4" s="424">
        <f t="shared" si="0"/>
      </c>
      <c r="J4" s="424">
        <f t="shared" si="63"/>
      </c>
      <c r="K4" s="425">
        <f t="shared" si="103"/>
      </c>
      <c r="L4" s="426">
        <f t="shared" si="163"/>
      </c>
      <c r="M4" s="427">
        <f t="shared" si="133"/>
      </c>
      <c r="N4" s="427">
        <f t="shared" si="193"/>
      </c>
      <c r="O4" s="427">
        <f t="shared" si="246"/>
      </c>
      <c r="P4" s="428">
        <f t="shared" si="299"/>
      </c>
      <c r="Q4" s="429" t="s">
        <v>769</v>
      </c>
      <c r="R4" s="430" t="s">
        <v>770</v>
      </c>
      <c r="S4" s="431">
        <v>7950</v>
      </c>
      <c r="T4" s="431">
        <v>998</v>
      </c>
      <c r="U4" s="431">
        <v>1220</v>
      </c>
      <c r="V4" s="431">
        <v>95</v>
      </c>
      <c r="W4" s="431">
        <v>7</v>
      </c>
      <c r="X4" s="431">
        <v>2</v>
      </c>
      <c r="Y4" s="434">
        <v>18</v>
      </c>
    </row>
    <row r="5">
      <c r="A5" s="420"/>
      <c r="B5" s="421" t="s">
        <v>767</v>
      </c>
      <c r="C5" s="433" t="s">
        <v>772</v>
      </c>
      <c r="D5" s="421">
        <v>2187.6</v>
      </c>
      <c r="E5" s="423">
        <v>2</v>
      </c>
      <c r="F5" s="423"/>
      <c r="G5" s="421">
        <v>1850.4</v>
      </c>
      <c r="H5" s="424">
        <f t="shared" si="352"/>
      </c>
      <c r="I5" s="424">
        <f t="shared" si="0"/>
      </c>
      <c r="J5" s="424">
        <f t="shared" si="63"/>
      </c>
      <c r="K5" s="425">
        <f t="shared" si="103"/>
      </c>
      <c r="L5" s="426">
        <f t="shared" si="163"/>
      </c>
      <c r="M5" s="427">
        <f t="shared" si="133"/>
      </c>
      <c r="N5" s="427">
        <f t="shared" si="193"/>
      </c>
      <c r="O5" s="427">
        <f t="shared" si="246"/>
      </c>
      <c r="P5" s="428">
        <f t="shared" si="299"/>
      </c>
      <c r="Q5" s="429" t="s">
        <v>769</v>
      </c>
      <c r="R5" s="430" t="s">
        <v>770</v>
      </c>
      <c r="S5" s="431">
        <v>9195</v>
      </c>
      <c r="T5" s="431">
        <v>1193</v>
      </c>
      <c r="U5" s="431">
        <v>1428</v>
      </c>
      <c r="V5" s="431">
        <v>93</v>
      </c>
      <c r="W5" s="431">
        <v>3</v>
      </c>
      <c r="X5" s="431">
        <v>0</v>
      </c>
      <c r="Y5" s="435">
        <v>24</v>
      </c>
    </row>
    <row r="6">
      <c r="A6" s="420"/>
      <c r="B6" s="421" t="s">
        <v>767</v>
      </c>
      <c r="C6" s="433" t="s">
        <v>773</v>
      </c>
      <c r="D6" s="421">
        <v>2018.39</v>
      </c>
      <c r="E6" s="423">
        <v>1</v>
      </c>
      <c r="F6" s="423"/>
      <c r="G6" s="421">
        <v>1197.6</v>
      </c>
      <c r="H6" s="424">
        <f t="shared" si="352"/>
      </c>
      <c r="I6" s="424">
        <f t="shared" si="0"/>
      </c>
      <c r="J6" s="424">
        <f t="shared" si="63"/>
      </c>
      <c r="K6" s="425">
        <f t="shared" si="103"/>
      </c>
      <c r="L6" s="426">
        <f t="shared" si="163"/>
      </c>
      <c r="M6" s="427">
        <f t="shared" si="133"/>
      </c>
      <c r="N6" s="427">
        <f t="shared" si="193"/>
      </c>
      <c r="O6" s="427">
        <f t="shared" si="246"/>
      </c>
      <c r="P6" s="428">
        <f t="shared" si="299"/>
      </c>
      <c r="Q6" s="429" t="s">
        <v>769</v>
      </c>
      <c r="R6" s="430" t="s">
        <v>770</v>
      </c>
      <c r="S6" s="431">
        <v>8437</v>
      </c>
      <c r="T6" s="419">
        <v>1094</v>
      </c>
      <c r="U6" s="436">
        <v>1302</v>
      </c>
      <c r="V6" s="436">
        <v>86</v>
      </c>
      <c r="W6" s="435">
        <v>12</v>
      </c>
      <c r="X6" s="435">
        <v>2</v>
      </c>
      <c r="Y6" s="435">
        <v>38</v>
      </c>
    </row>
    <row r="7">
      <c r="A7" s="420"/>
      <c r="B7" s="437" t="s">
        <v>774</v>
      </c>
      <c r="C7" s="437"/>
      <c r="D7" s="438">
        <f>SUM(D3:D6)</f>
      </c>
      <c r="E7" s="439">
        <f>SUM(E3:E6)</f>
      </c>
      <c r="F7" s="439"/>
      <c r="G7" s="438">
        <f>SUM(G3:G6)</f>
      </c>
      <c r="H7" s="440">
        <f t="shared" si="352"/>
      </c>
      <c r="I7" s="441">
        <f t="shared" si="0"/>
      </c>
      <c r="J7" s="442">
        <f t="shared" si="63"/>
      </c>
      <c r="K7" s="443">
        <f t="shared" si="103"/>
      </c>
      <c r="L7" s="444">
        <f t="shared" si="163"/>
      </c>
      <c r="M7" s="443">
        <f t="shared" si="133"/>
      </c>
      <c r="N7" s="443">
        <f t="shared" si="193"/>
      </c>
      <c r="O7" s="445">
        <f t="shared" si="246"/>
      </c>
      <c r="P7" s="446">
        <f t="shared" si="299"/>
      </c>
      <c r="Q7" s="444"/>
      <c r="R7" s="444"/>
      <c r="S7" s="447">
        <f>SUM(S3:S6)</f>
      </c>
      <c r="T7" s="447">
        <f>SUM(T3:T6)</f>
      </c>
      <c r="U7" s="447">
        <f>SUM(U3:U6)</f>
      </c>
      <c r="V7" s="447">
        <f>SUM(V3:V6)</f>
      </c>
      <c r="W7" s="447">
        <f>SUM(W3:W6)</f>
      </c>
      <c r="X7" s="447">
        <f>SUM(X3:X6)</f>
      </c>
      <c r="Y7" s="447">
        <f>SUM(Y3:Y6)</f>
      </c>
    </row>
    <row r="8">
      <c r="A8" s="420"/>
      <c r="B8" s="421" t="s">
        <v>775</v>
      </c>
      <c r="C8" s="433" t="s">
        <v>776</v>
      </c>
      <c r="D8" s="421">
        <v>2136.96</v>
      </c>
      <c r="E8" s="423">
        <v>3</v>
      </c>
      <c r="F8" s="423"/>
      <c r="G8" s="421">
        <v>7084.8</v>
      </c>
      <c r="H8" s="424">
        <f t="shared" si="352"/>
      </c>
      <c r="I8" s="424">
        <f t="shared" si="0"/>
      </c>
      <c r="J8" s="424">
        <f t="shared" si="63"/>
      </c>
      <c r="K8" s="425">
        <f t="shared" si="103"/>
      </c>
      <c r="L8" s="426">
        <f t="shared" si="163"/>
      </c>
      <c r="M8" s="427">
        <f t="shared" si="133"/>
      </c>
      <c r="N8" s="427">
        <f t="shared" si="193"/>
      </c>
      <c r="O8" s="427">
        <f t="shared" si="246"/>
      </c>
      <c r="P8" s="428">
        <f t="shared" si="299"/>
      </c>
      <c r="Q8" s="429" t="s">
        <v>777</v>
      </c>
      <c r="R8" s="430" t="s">
        <v>778</v>
      </c>
      <c r="S8" s="436">
        <v>8950</v>
      </c>
      <c r="T8" s="436">
        <v>1354</v>
      </c>
      <c r="U8" s="436">
        <v>1606</v>
      </c>
      <c r="V8" s="436">
        <v>118</v>
      </c>
      <c r="W8" s="435">
        <v>4</v>
      </c>
      <c r="X8" s="435">
        <v>0</v>
      </c>
      <c r="Y8" s="448">
        <v>19</v>
      </c>
    </row>
    <row r="9">
      <c r="A9" s="420"/>
      <c r="B9" s="421" t="s">
        <v>775</v>
      </c>
      <c r="C9" s="422" t="s">
        <v>779</v>
      </c>
      <c r="D9" s="421">
        <v>1968.73</v>
      </c>
      <c r="E9" s="423">
        <v>3</v>
      </c>
      <c r="F9" s="423"/>
      <c r="G9" s="421">
        <v>6089.4</v>
      </c>
      <c r="H9" s="424">
        <f t="shared" si="352"/>
      </c>
      <c r="I9" s="424">
        <f t="shared" si="0"/>
      </c>
      <c r="J9" s="424">
        <f t="shared" si="63"/>
      </c>
      <c r="K9" s="425">
        <f t="shared" si="103"/>
      </c>
      <c r="L9" s="426">
        <f t="shared" si="163"/>
      </c>
      <c r="M9" s="427">
        <f t="shared" si="133"/>
      </c>
      <c r="N9" s="427">
        <f t="shared" si="193"/>
      </c>
      <c r="O9" s="427">
        <f t="shared" si="246"/>
      </c>
      <c r="P9" s="428">
        <f t="shared" si="299"/>
      </c>
      <c r="Q9" s="429" t="s">
        <v>777</v>
      </c>
      <c r="R9" s="430" t="s">
        <v>778</v>
      </c>
      <c r="S9" s="436">
        <v>11179</v>
      </c>
      <c r="T9" s="436">
        <v>1354</v>
      </c>
      <c r="U9" s="436">
        <v>1684</v>
      </c>
      <c r="V9" s="436">
        <v>143</v>
      </c>
      <c r="W9" s="435">
        <v>5</v>
      </c>
      <c r="X9" s="435">
        <v>1</v>
      </c>
      <c r="Y9" s="448">
        <v>36</v>
      </c>
    </row>
    <row r="10">
      <c r="A10" s="420"/>
      <c r="B10" s="421" t="s">
        <v>775</v>
      </c>
      <c r="C10" s="422" t="s">
        <v>780</v>
      </c>
      <c r="D10" s="421">
        <v>1913.44</v>
      </c>
      <c r="E10" s="423">
        <v>3</v>
      </c>
      <c r="F10" s="423"/>
      <c r="G10" s="421">
        <v>3534</v>
      </c>
      <c r="H10" s="424">
        <f t="shared" si="352"/>
      </c>
      <c r="I10" s="424">
        <f t="shared" si="0"/>
      </c>
      <c r="J10" s="424">
        <f t="shared" si="63"/>
      </c>
      <c r="K10" s="425">
        <f t="shared" si="103"/>
      </c>
      <c r="L10" s="426">
        <f t="shared" si="163"/>
      </c>
      <c r="M10" s="427">
        <f t="shared" si="133"/>
      </c>
      <c r="N10" s="427">
        <f t="shared" si="193"/>
      </c>
      <c r="O10" s="427">
        <f t="shared" si="246"/>
      </c>
      <c r="P10" s="428">
        <f t="shared" si="299"/>
      </c>
      <c r="Q10" s="429" t="s">
        <v>777</v>
      </c>
      <c r="R10" s="430" t="s">
        <v>778</v>
      </c>
      <c r="S10" s="436">
        <v>13202</v>
      </c>
      <c r="T10" s="436">
        <v>1285</v>
      </c>
      <c r="U10" s="436">
        <v>1605</v>
      </c>
      <c r="V10" s="436">
        <v>116</v>
      </c>
      <c r="W10" s="435">
        <v>4</v>
      </c>
      <c r="X10" s="435">
        <v>1</v>
      </c>
      <c r="Y10" s="448">
        <v>25</v>
      </c>
    </row>
    <row r="11">
      <c r="A11" s="420"/>
      <c r="B11" s="421" t="s">
        <v>775</v>
      </c>
      <c r="C11" s="422" t="s">
        <v>781</v>
      </c>
      <c r="D11" s="421">
        <v>2204.6</v>
      </c>
      <c r="E11" s="423">
        <v>2</v>
      </c>
      <c r="F11" s="423"/>
      <c r="G11" s="421">
        <v>1054.8</v>
      </c>
      <c r="H11" s="424">
        <f t="shared" si="352"/>
      </c>
      <c r="I11" s="424">
        <f t="shared" si="0"/>
      </c>
      <c r="J11" s="424">
        <f t="shared" si="63"/>
      </c>
      <c r="K11" s="425">
        <f t="shared" si="103"/>
      </c>
      <c r="L11" s="426">
        <f t="shared" si="163"/>
      </c>
      <c r="M11" s="427">
        <f t="shared" si="133"/>
      </c>
      <c r="N11" s="427">
        <f t="shared" si="193"/>
      </c>
      <c r="O11" s="427">
        <f t="shared" si="246"/>
      </c>
      <c r="P11" s="428">
        <f t="shared" si="299"/>
      </c>
      <c r="Q11" s="429" t="s">
        <v>777</v>
      </c>
      <c r="R11" s="430" t="s">
        <v>778</v>
      </c>
      <c r="S11" s="436">
        <v>13700</v>
      </c>
      <c r="T11" s="436">
        <v>1259</v>
      </c>
      <c r="U11" s="436">
        <v>1579</v>
      </c>
      <c r="V11" s="436">
        <v>130</v>
      </c>
      <c r="W11" s="435">
        <v>4</v>
      </c>
      <c r="X11" s="435">
        <v>0</v>
      </c>
      <c r="Y11" s="448">
        <v>30</v>
      </c>
    </row>
    <row r="12">
      <c r="A12" s="420"/>
      <c r="B12" s="437" t="s">
        <v>774</v>
      </c>
      <c r="C12" s="437"/>
      <c r="D12" s="438">
        <f>SUM(D8:D11)</f>
      </c>
      <c r="E12" s="439">
        <f>SUM(E8:E11)</f>
      </c>
      <c r="F12" s="439"/>
      <c r="G12" s="438">
        <f>SUM(G8:G11)</f>
      </c>
      <c r="H12" s="440">
        <f t="shared" si="352"/>
      </c>
      <c r="I12" s="441">
        <f t="shared" si="0"/>
      </c>
      <c r="J12" s="442">
        <f t="shared" si="63"/>
      </c>
      <c r="K12" s="443">
        <f t="shared" si="103"/>
      </c>
      <c r="L12" s="444">
        <f t="shared" si="163"/>
      </c>
      <c r="M12" s="443">
        <f t="shared" si="133"/>
      </c>
      <c r="N12" s="443">
        <f t="shared" si="193"/>
      </c>
      <c r="O12" s="445">
        <f t="shared" si="246"/>
      </c>
      <c r="P12" s="446">
        <f t="shared" si="299"/>
      </c>
      <c r="Q12" s="444"/>
      <c r="R12" s="444"/>
      <c r="S12" s="447">
        <f>SUM(S8:S11)</f>
      </c>
      <c r="T12" s="447">
        <f>SUM(T8:T11)</f>
      </c>
      <c r="U12" s="447">
        <f>SUM(U8:U11)</f>
      </c>
      <c r="V12" s="447">
        <f>SUM(V8:V11)</f>
      </c>
      <c r="W12" s="447">
        <f>SUM(W8:W11)</f>
      </c>
      <c r="X12" s="447">
        <f>SUM(X8:X11)</f>
      </c>
      <c r="Y12" s="447">
        <f>SUM(Y8:Y11)</f>
      </c>
    </row>
    <row r="13">
      <c r="A13" s="420"/>
      <c r="B13" s="421" t="s">
        <v>782</v>
      </c>
      <c r="C13" s="422" t="s">
        <v>783</v>
      </c>
      <c r="D13" s="449">
        <v>2841.6</v>
      </c>
      <c r="E13" s="423">
        <v>7</v>
      </c>
      <c r="F13" s="423"/>
      <c r="G13" s="450">
        <v>11880</v>
      </c>
      <c r="H13" s="424">
        <f t="shared" si="352"/>
      </c>
      <c r="I13" s="424">
        <f t="shared" si="0"/>
      </c>
      <c r="J13" s="424">
        <f t="shared" si="63"/>
      </c>
      <c r="K13" s="425">
        <f t="shared" si="103"/>
      </c>
      <c r="L13" s="426">
        <f t="shared" si="163"/>
      </c>
      <c r="M13" s="427">
        <f t="shared" si="133"/>
      </c>
      <c r="N13" s="427">
        <f t="shared" si="193"/>
      </c>
      <c r="O13" s="427">
        <f t="shared" si="246"/>
      </c>
      <c r="P13" s="428">
        <f t="shared" si="299"/>
      </c>
      <c r="Q13" s="429" t="s">
        <v>777</v>
      </c>
      <c r="R13" s="430" t="s">
        <v>778</v>
      </c>
      <c r="S13" s="436">
        <v>15824</v>
      </c>
      <c r="T13" s="436">
        <v>1560</v>
      </c>
      <c r="U13" s="436">
        <v>1855</v>
      </c>
      <c r="V13" s="436">
        <v>112</v>
      </c>
      <c r="W13" s="435">
        <v>8</v>
      </c>
      <c r="X13" s="435">
        <v>2</v>
      </c>
      <c r="Y13" s="448">
        <v>18</v>
      </c>
    </row>
    <row r="14">
      <c r="A14" s="420"/>
      <c r="B14" s="421" t="s">
        <v>782</v>
      </c>
      <c r="C14" s="451" t="s">
        <v>784</v>
      </c>
      <c r="D14" s="449">
        <v>2828.47</v>
      </c>
      <c r="E14" s="423">
        <v>5</v>
      </c>
      <c r="F14" s="423"/>
      <c r="G14" s="450">
        <v>7869.5</v>
      </c>
      <c r="H14" s="424">
        <f t="shared" si="352"/>
      </c>
      <c r="I14" s="424">
        <f t="shared" si="0"/>
      </c>
      <c r="J14" s="424">
        <f t="shared" si="63"/>
      </c>
      <c r="K14" s="425">
        <f t="shared" si="103"/>
      </c>
      <c r="L14" s="426">
        <f t="shared" si="163"/>
      </c>
      <c r="M14" s="427">
        <f t="shared" si="133"/>
      </c>
      <c r="N14" s="427">
        <f t="shared" si="193"/>
      </c>
      <c r="O14" s="427">
        <f t="shared" si="246"/>
      </c>
      <c r="P14" s="428">
        <f t="shared" si="299"/>
      </c>
      <c r="Q14" s="429" t="s">
        <v>777</v>
      </c>
      <c r="R14" s="430" t="s">
        <v>778</v>
      </c>
      <c r="S14" s="436">
        <v>18104</v>
      </c>
      <c r="T14" s="436">
        <v>1964</v>
      </c>
      <c r="U14" s="436">
        <v>2345</v>
      </c>
      <c r="V14" s="436">
        <v>145</v>
      </c>
      <c r="W14" s="435">
        <v>5</v>
      </c>
      <c r="X14" s="435">
        <v>0</v>
      </c>
      <c r="Y14" s="448">
        <v>41</v>
      </c>
    </row>
    <row r="15">
      <c r="A15" s="420"/>
      <c r="B15" s="421" t="s">
        <v>782</v>
      </c>
      <c r="C15" s="451" t="s">
        <v>785</v>
      </c>
      <c r="D15" s="449">
        <v>4051.71</v>
      </c>
      <c r="E15" s="423">
        <v>3</v>
      </c>
      <c r="F15" s="423"/>
      <c r="G15" s="450">
        <v>3998.4</v>
      </c>
      <c r="H15" s="424">
        <f t="shared" si="352"/>
      </c>
      <c r="I15" s="424">
        <f t="shared" si="0"/>
      </c>
      <c r="J15" s="424">
        <f t="shared" si="63"/>
      </c>
      <c r="K15" s="425">
        <f t="shared" si="103"/>
      </c>
      <c r="L15" s="426">
        <f t="shared" si="163"/>
      </c>
      <c r="M15" s="427">
        <f t="shared" si="133"/>
      </c>
      <c r="N15" s="427">
        <f t="shared" si="193"/>
      </c>
      <c r="O15" s="427">
        <f t="shared" si="246"/>
      </c>
      <c r="P15" s="428">
        <f t="shared" si="299"/>
      </c>
      <c r="Q15" s="429" t="s">
        <v>777</v>
      </c>
      <c r="R15" s="430" t="s">
        <v>778</v>
      </c>
      <c r="S15" s="436">
        <v>26540</v>
      </c>
      <c r="T15" s="436">
        <v>2482</v>
      </c>
      <c r="U15" s="436">
        <v>2970</v>
      </c>
      <c r="V15" s="436">
        <v>162</v>
      </c>
      <c r="W15" s="435">
        <v>3</v>
      </c>
      <c r="X15" s="435">
        <v>0</v>
      </c>
      <c r="Y15" s="448">
        <v>36</v>
      </c>
    </row>
    <row r="16">
      <c r="A16" s="420"/>
      <c r="B16" s="421" t="s">
        <v>782</v>
      </c>
      <c r="C16" s="451" t="s">
        <v>786</v>
      </c>
      <c r="D16" s="449">
        <v>1964.07</v>
      </c>
      <c r="E16" s="423">
        <v>7</v>
      </c>
      <c r="F16" s="423"/>
      <c r="G16" s="450">
        <v>5809.2</v>
      </c>
      <c r="H16" s="424">
        <f t="shared" si="352"/>
      </c>
      <c r="I16" s="424">
        <f t="shared" si="0"/>
      </c>
      <c r="J16" s="424">
        <f t="shared" si="63"/>
      </c>
      <c r="K16" s="425">
        <f t="shared" si="103"/>
      </c>
      <c r="L16" s="426">
        <f t="shared" si="163"/>
      </c>
      <c r="M16" s="427">
        <f t="shared" si="133"/>
      </c>
      <c r="N16" s="427">
        <f t="shared" si="193"/>
      </c>
      <c r="O16" s="427">
        <f t="shared" si="246"/>
      </c>
      <c r="P16" s="428">
        <f t="shared" si="299"/>
      </c>
      <c r="Q16" s="429" t="s">
        <v>777</v>
      </c>
      <c r="R16" s="430" t="s">
        <v>778</v>
      </c>
      <c r="S16" s="436">
        <v>15685</v>
      </c>
      <c r="T16" s="436">
        <v>1375</v>
      </c>
      <c r="U16" s="436">
        <v>1702</v>
      </c>
      <c r="V16" s="436">
        <v>119</v>
      </c>
      <c r="W16" s="435">
        <v>8</v>
      </c>
      <c r="X16" s="435">
        <v>2</v>
      </c>
      <c r="Y16" s="448">
        <v>32</v>
      </c>
    </row>
    <row r="17">
      <c r="A17" s="420"/>
      <c r="B17" s="437" t="s">
        <v>774</v>
      </c>
      <c r="C17" s="437"/>
      <c r="D17" s="438">
        <f>SUM(D13:D16)</f>
      </c>
      <c r="E17" s="439">
        <f>SUM(E13:E16)</f>
      </c>
      <c r="F17" s="439"/>
      <c r="G17" s="438">
        <f>SUM(G13:G16)</f>
      </c>
      <c r="H17" s="440">
        <f t="shared" si="352"/>
      </c>
      <c r="I17" s="441">
        <f t="shared" si="0"/>
      </c>
      <c r="J17" s="442">
        <f t="shared" si="63"/>
      </c>
      <c r="K17" s="443">
        <f t="shared" si="103"/>
      </c>
      <c r="L17" s="444">
        <f t="shared" si="163"/>
      </c>
      <c r="M17" s="443">
        <f t="shared" si="133"/>
      </c>
      <c r="N17" s="443">
        <f t="shared" si="193"/>
      </c>
      <c r="O17" s="445">
        <f t="shared" si="246"/>
      </c>
      <c r="P17" s="446">
        <f t="shared" si="299"/>
      </c>
      <c r="Q17" s="444"/>
      <c r="R17" s="444"/>
      <c r="S17" s="447">
        <f>SUM(S13:S16)</f>
      </c>
      <c r="T17" s="447">
        <f>SUM(T13:T16)</f>
      </c>
      <c r="U17" s="447">
        <f>SUM(U13:U16)</f>
      </c>
      <c r="V17" s="447">
        <f>SUM(V13:V16)</f>
      </c>
      <c r="W17" s="447">
        <f>SUM(W13:W16)</f>
      </c>
      <c r="X17" s="447">
        <f>SUM(X13:X16)</f>
      </c>
      <c r="Y17" s="447">
        <f>SUM(Y13:Y16)</f>
      </c>
    </row>
    <row r="18">
      <c r="A18" s="420"/>
      <c r="B18" s="452" t="s">
        <v>787</v>
      </c>
      <c r="C18" s="452"/>
      <c r="D18" s="453">
        <f>D7+D12+D17</f>
      </c>
      <c r="E18" s="454">
        <f>E7+E12+E17</f>
      </c>
      <c r="F18" s="454"/>
      <c r="G18" s="453">
        <f>G7+G12+G17</f>
      </c>
      <c r="H18" s="452">
        <f t="shared" si="352"/>
      </c>
      <c r="I18" s="452">
        <f t="shared" si="0"/>
      </c>
      <c r="J18" s="452">
        <f t="shared" si="63"/>
      </c>
      <c r="K18" s="455">
        <f t="shared" si="103"/>
      </c>
      <c r="L18" s="452">
        <f t="shared" si="163"/>
      </c>
      <c r="M18" s="455">
        <f t="shared" si="133"/>
      </c>
      <c r="N18" s="455">
        <f t="shared" si="193"/>
      </c>
      <c r="O18" s="455">
        <f t="shared" si="246"/>
      </c>
      <c r="P18" s="452">
        <f t="shared" si="299"/>
      </c>
      <c r="Q18" s="456"/>
      <c r="R18" s="456"/>
      <c r="S18" s="457">
        <f>S7+S12+S17</f>
      </c>
      <c r="T18" s="457">
        <f>T7+T12+T17</f>
      </c>
      <c r="U18" s="457">
        <f>U7+U12+U17</f>
      </c>
      <c r="V18" s="457">
        <f>V7+V12+V17</f>
      </c>
      <c r="W18" s="457">
        <f>W7+W12+W17</f>
      </c>
      <c r="X18" s="457">
        <f>X7+X12+X17</f>
      </c>
      <c r="Y18" s="457">
        <f>Y7+Y12+Y17</f>
      </c>
    </row>
    <row r="19">
      <c r="A19" s="405" t="s">
        <v>738</v>
      </c>
      <c r="B19" s="405"/>
      <c r="C19" s="405"/>
      <c r="D19" s="406" t="s">
        <v>739</v>
      </c>
      <c r="E19" s="406"/>
      <c r="F19" s="406"/>
      <c r="G19" s="406"/>
      <c r="H19" s="406"/>
      <c r="I19" s="406"/>
      <c r="J19" s="406"/>
      <c r="K19" s="407" t="s">
        <v>740</v>
      </c>
      <c r="L19" s="407"/>
      <c r="M19" s="407"/>
      <c r="N19" s="407"/>
      <c r="O19" s="407"/>
      <c r="P19" s="407"/>
      <c r="Q19" s="407"/>
      <c r="R19" s="407"/>
      <c r="S19" s="408" t="s">
        <v>741</v>
      </c>
      <c r="T19" s="408"/>
      <c r="U19" s="408"/>
      <c r="V19" s="408"/>
      <c r="W19" s="408"/>
      <c r="X19" s="408"/>
      <c r="Y19" s="408"/>
    </row>
    <row r="20">
      <c r="A20" s="409" t="s">
        <v>742</v>
      </c>
      <c r="B20" s="409" t="s">
        <v>743</v>
      </c>
      <c r="C20" s="409" t="s">
        <v>744</v>
      </c>
      <c r="D20" s="410" t="s">
        <v>745</v>
      </c>
      <c r="E20" s="411" t="s">
        <v>746</v>
      </c>
      <c r="F20" s="411"/>
      <c r="G20" s="410" t="s">
        <v>747</v>
      </c>
      <c r="H20" s="412" t="s">
        <v>748</v>
      </c>
      <c r="I20" s="413" t="s">
        <v>749</v>
      </c>
      <c r="J20" s="410" t="s">
        <v>750</v>
      </c>
      <c r="K20" s="414" t="s">
        <v>751</v>
      </c>
      <c r="L20" s="415" t="s">
        <v>752</v>
      </c>
      <c r="M20" s="414" t="s">
        <v>753</v>
      </c>
      <c r="N20" s="414" t="s">
        <v>754</v>
      </c>
      <c r="O20" s="416" t="s">
        <v>755</v>
      </c>
      <c r="P20" s="416" t="s">
        <v>756</v>
      </c>
      <c r="Q20" s="417" t="s">
        <v>757</v>
      </c>
      <c r="R20" s="417" t="s">
        <v>758</v>
      </c>
      <c r="S20" s="431" t="s">
        <v>759</v>
      </c>
      <c r="T20" s="431" t="s">
        <v>760</v>
      </c>
      <c r="U20" s="431" t="s">
        <v>761</v>
      </c>
      <c r="V20" s="431" t="s">
        <v>762</v>
      </c>
      <c r="W20" s="431" t="s">
        <v>763</v>
      </c>
      <c r="X20" s="431" t="s">
        <v>764</v>
      </c>
      <c r="Y20" s="419" t="s">
        <v>765</v>
      </c>
    </row>
    <row r="21">
      <c r="A21" s="420" t="s">
        <v>788</v>
      </c>
      <c r="B21" s="421" t="s">
        <v>767</v>
      </c>
      <c r="C21" s="422" t="s">
        <v>768</v>
      </c>
      <c r="D21" s="421">
        <v>1497.01</v>
      </c>
      <c r="E21" s="423">
        <v>2</v>
      </c>
      <c r="F21" s="423"/>
      <c r="G21" s="458">
        <v>717.6</v>
      </c>
      <c r="H21" s="424">
        <f t="shared" ref="H21:H36" si="353">G21/D21</f>
      </c>
      <c r="I21" s="424">
        <f t="shared" ref="I21:I36" si="1">D21/E21</f>
      </c>
      <c r="J21" s="424">
        <f t="shared" ref="J21:J36" si="64">G21/E21</f>
      </c>
      <c r="K21" s="425">
        <f t="shared" ref="K21:K36" si="104">T21/S21</f>
      </c>
      <c r="L21" s="426">
        <f t="shared" ref="L21:L36" si="164">D21/U21</f>
      </c>
      <c r="M21" s="427">
        <f t="shared" ref="M21:M36" si="134">V21/U21</f>
      </c>
      <c r="N21" s="427">
        <f t="shared" ref="N21:N36" si="194">E21/W21</f>
      </c>
      <c r="O21" s="427">
        <f t="shared" ref="O21:O36" si="247">X21/E21</f>
      </c>
      <c r="P21" s="428">
        <f t="shared" ref="P21:P36" si="300">(Y21*1000)/D21</f>
      </c>
      <c r="Q21" s="429" t="s">
        <v>769</v>
      </c>
      <c r="R21" s="430" t="s">
        <v>770</v>
      </c>
      <c r="S21" s="431">
        <v>9430</v>
      </c>
      <c r="T21" s="431">
        <v>916</v>
      </c>
      <c r="U21" s="431">
        <v>1220</v>
      </c>
      <c r="V21" s="431">
        <v>84</v>
      </c>
      <c r="W21" s="431">
        <v>4</v>
      </c>
      <c r="X21" s="431">
        <v>1</v>
      </c>
      <c r="Y21" s="431">
        <v>20</v>
      </c>
    </row>
    <row r="22">
      <c r="A22" s="420"/>
      <c r="B22" s="421" t="s">
        <v>767</v>
      </c>
      <c r="C22" s="433" t="s">
        <v>771</v>
      </c>
      <c r="D22" s="421">
        <v>1478.01</v>
      </c>
      <c r="E22" s="423">
        <v>1</v>
      </c>
      <c r="F22" s="423"/>
      <c r="G22" s="458">
        <v>2934.6</v>
      </c>
      <c r="H22" s="424">
        <f t="shared" si="353"/>
      </c>
      <c r="I22" s="424">
        <f t="shared" si="1"/>
      </c>
      <c r="J22" s="424">
        <f t="shared" si="64"/>
      </c>
      <c r="K22" s="425">
        <f t="shared" si="104"/>
      </c>
      <c r="L22" s="426">
        <f t="shared" si="164"/>
      </c>
      <c r="M22" s="427">
        <f t="shared" si="134"/>
      </c>
      <c r="N22" s="427">
        <f t="shared" si="194"/>
      </c>
      <c r="O22" s="427">
        <f t="shared" si="247"/>
      </c>
      <c r="P22" s="428">
        <f t="shared" si="300"/>
      </c>
      <c r="Q22" s="429" t="s">
        <v>769</v>
      </c>
      <c r="R22" s="430" t="s">
        <v>770</v>
      </c>
      <c r="S22" s="431">
        <v>9301</v>
      </c>
      <c r="T22" s="431">
        <v>1141</v>
      </c>
      <c r="U22" s="431">
        <v>1403</v>
      </c>
      <c r="V22" s="431">
        <v>112</v>
      </c>
      <c r="W22" s="431">
        <v>3</v>
      </c>
      <c r="X22" s="431">
        <v>0</v>
      </c>
      <c r="Y22" s="431">
        <v>21</v>
      </c>
    </row>
    <row r="23">
      <c r="A23" s="420"/>
      <c r="B23" s="421" t="s">
        <v>767</v>
      </c>
      <c r="C23" s="433" t="s">
        <v>772</v>
      </c>
      <c r="D23" s="421">
        <v>1493.62</v>
      </c>
      <c r="E23" s="423">
        <v>2</v>
      </c>
      <c r="F23" s="423"/>
      <c r="G23" s="458">
        <v>3473.4</v>
      </c>
      <c r="H23" s="424">
        <f t="shared" si="353"/>
      </c>
      <c r="I23" s="424">
        <f t="shared" si="1"/>
      </c>
      <c r="J23" s="424">
        <f t="shared" si="64"/>
      </c>
      <c r="K23" s="425">
        <f t="shared" si="104"/>
      </c>
      <c r="L23" s="426">
        <f t="shared" si="164"/>
      </c>
      <c r="M23" s="427">
        <f t="shared" si="134"/>
      </c>
      <c r="N23" s="427">
        <f t="shared" si="194"/>
      </c>
      <c r="O23" s="427">
        <f t="shared" si="247"/>
      </c>
      <c r="P23" s="428">
        <f t="shared" si="300"/>
      </c>
      <c r="Q23" s="429" t="s">
        <v>769</v>
      </c>
      <c r="R23" s="430" t="s">
        <v>770</v>
      </c>
      <c r="S23" s="431">
        <v>7486</v>
      </c>
      <c r="T23" s="431">
        <v>962</v>
      </c>
      <c r="U23" s="431">
        <v>1252</v>
      </c>
      <c r="V23" s="431">
        <v>68</v>
      </c>
      <c r="W23" s="431">
        <v>3</v>
      </c>
      <c r="X23" s="431">
        <v>0</v>
      </c>
      <c r="Y23" s="431">
        <v>9</v>
      </c>
    </row>
    <row r="24">
      <c r="A24" s="420"/>
      <c r="B24" s="421" t="s">
        <v>767</v>
      </c>
      <c r="C24" s="433" t="s">
        <v>773</v>
      </c>
      <c r="D24" s="421">
        <v>1738.56</v>
      </c>
      <c r="E24" s="423">
        <v>2</v>
      </c>
      <c r="F24" s="423"/>
      <c r="G24" s="458">
        <v>1850.4</v>
      </c>
      <c r="H24" s="424">
        <f t="shared" si="353"/>
      </c>
      <c r="I24" s="424">
        <f t="shared" si="1"/>
      </c>
      <c r="J24" s="424">
        <f t="shared" si="64"/>
      </c>
      <c r="K24" s="425">
        <f t="shared" si="104"/>
      </c>
      <c r="L24" s="426">
        <f t="shared" si="164"/>
      </c>
      <c r="M24" s="427">
        <f t="shared" si="134"/>
      </c>
      <c r="N24" s="427">
        <f t="shared" si="194"/>
      </c>
      <c r="O24" s="427">
        <f t="shared" si="247"/>
      </c>
      <c r="P24" s="428">
        <f t="shared" si="300"/>
      </c>
      <c r="Q24" s="429" t="s">
        <v>769</v>
      </c>
      <c r="R24" s="430" t="s">
        <v>770</v>
      </c>
      <c r="S24" s="431">
        <v>7153</v>
      </c>
      <c r="T24" s="419">
        <v>1051</v>
      </c>
      <c r="U24" s="436">
        <v>1278</v>
      </c>
      <c r="V24" s="436">
        <v>76</v>
      </c>
      <c r="W24" s="435">
        <v>4</v>
      </c>
      <c r="X24" s="435">
        <v>0</v>
      </c>
      <c r="Y24" s="435">
        <v>32</v>
      </c>
    </row>
    <row r="25">
      <c r="A25" s="420"/>
      <c r="B25" s="437" t="s">
        <v>774</v>
      </c>
      <c r="C25" s="437"/>
      <c r="D25" s="438">
        <f>SUM(D21:D24)</f>
      </c>
      <c r="E25" s="439">
        <f>SUM(E21:E24)</f>
      </c>
      <c r="F25" s="439"/>
      <c r="G25" s="438">
        <f>SUM(G21:G24)</f>
      </c>
      <c r="H25" s="440">
        <f t="shared" si="353"/>
      </c>
      <c r="I25" s="441">
        <f t="shared" si="1"/>
      </c>
      <c r="J25" s="442">
        <f t="shared" si="64"/>
      </c>
      <c r="K25" s="443">
        <f t="shared" si="104"/>
      </c>
      <c r="L25" s="444">
        <f t="shared" si="164"/>
      </c>
      <c r="M25" s="443">
        <f t="shared" si="134"/>
      </c>
      <c r="N25" s="443">
        <f t="shared" si="194"/>
      </c>
      <c r="O25" s="445">
        <f t="shared" si="247"/>
      </c>
      <c r="P25" s="446">
        <f t="shared" si="300"/>
      </c>
      <c r="Q25" s="444"/>
      <c r="R25" s="444"/>
      <c r="S25" s="447">
        <f>SUM(S21:S24)</f>
      </c>
      <c r="T25" s="447">
        <f>SUM(T21:T24)</f>
      </c>
      <c r="U25" s="447">
        <f>SUM(U21:U24)</f>
      </c>
      <c r="V25" s="447">
        <f>SUM(V21:V24)</f>
      </c>
      <c r="W25" s="447">
        <f>SUM(W21:W24)</f>
      </c>
      <c r="X25" s="447">
        <f>SUM(X21:X24)</f>
      </c>
      <c r="Y25" s="447">
        <f>SUM(Y21:Y24)</f>
      </c>
    </row>
    <row r="26">
      <c r="A26" s="420"/>
      <c r="B26" s="421" t="s">
        <v>789</v>
      </c>
      <c r="C26" s="433" t="s">
        <v>776</v>
      </c>
      <c r="D26" s="421">
        <v>1957.91</v>
      </c>
      <c r="E26" s="423">
        <v>1</v>
      </c>
      <c r="F26" s="423"/>
      <c r="G26" s="421">
        <v>652.8</v>
      </c>
      <c r="H26" s="424">
        <f t="shared" si="353"/>
      </c>
      <c r="I26" s="424">
        <f t="shared" si="1"/>
      </c>
      <c r="J26" s="424">
        <f t="shared" si="64"/>
      </c>
      <c r="K26" s="425">
        <f t="shared" si="104"/>
      </c>
      <c r="L26" s="426">
        <f t="shared" si="164"/>
      </c>
      <c r="M26" s="427">
        <f t="shared" si="134"/>
      </c>
      <c r="N26" s="427">
        <f t="shared" si="194"/>
      </c>
      <c r="O26" s="427">
        <f t="shared" si="247"/>
      </c>
      <c r="P26" s="428">
        <f t="shared" si="300"/>
      </c>
      <c r="Q26" s="429" t="s">
        <v>777</v>
      </c>
      <c r="R26" s="430" t="s">
        <v>778</v>
      </c>
      <c r="S26" s="436">
        <v>7507</v>
      </c>
      <c r="T26" s="436">
        <v>850</v>
      </c>
      <c r="U26" s="436">
        <v>1073</v>
      </c>
      <c r="V26" s="436">
        <v>61</v>
      </c>
      <c r="W26" s="435">
        <v>1</v>
      </c>
      <c r="X26" s="435">
        <v>1</v>
      </c>
      <c r="Y26" s="448">
        <v>21</v>
      </c>
    </row>
    <row r="27">
      <c r="A27" s="420"/>
      <c r="B27" s="421" t="s">
        <v>789</v>
      </c>
      <c r="C27" s="422" t="s">
        <v>779</v>
      </c>
      <c r="D27" s="421">
        <v>1383.25</v>
      </c>
      <c r="E27" s="423">
        <v>0</v>
      </c>
      <c r="F27" s="423"/>
      <c r="G27" s="421">
        <v>0</v>
      </c>
      <c r="H27" s="424">
        <f t="shared" si="353"/>
      </c>
      <c r="I27" s="424">
        <f t="shared" si="1"/>
      </c>
      <c r="J27" s="424">
        <f t="shared" si="64"/>
      </c>
      <c r="K27" s="425">
        <f t="shared" si="104"/>
      </c>
      <c r="L27" s="426">
        <f t="shared" si="164"/>
      </c>
      <c r="M27" s="427">
        <f t="shared" si="134"/>
      </c>
      <c r="N27" s="427">
        <f t="shared" si="194"/>
      </c>
      <c r="O27" s="427">
        <f t="shared" si="247"/>
      </c>
      <c r="P27" s="428">
        <f t="shared" si="300"/>
      </c>
      <c r="Q27" s="429" t="s">
        <v>777</v>
      </c>
      <c r="R27" s="430" t="s">
        <v>778</v>
      </c>
      <c r="S27" s="436">
        <v>7507</v>
      </c>
      <c r="T27" s="436">
        <v>850</v>
      </c>
      <c r="U27" s="436">
        <v>1073</v>
      </c>
      <c r="V27" s="436">
        <v>61</v>
      </c>
      <c r="W27" s="435">
        <v>0</v>
      </c>
      <c r="X27" s="435">
        <v>0</v>
      </c>
      <c r="Y27" s="448">
        <v>16</v>
      </c>
    </row>
    <row r="28">
      <c r="A28" s="420"/>
      <c r="B28" s="421" t="s">
        <v>789</v>
      </c>
      <c r="C28" s="422" t="s">
        <v>780</v>
      </c>
      <c r="D28" s="421">
        <v>1859.65</v>
      </c>
      <c r="E28" s="423">
        <v>2</v>
      </c>
      <c r="F28" s="423"/>
      <c r="G28" s="421">
        <v>1676.8</v>
      </c>
      <c r="H28" s="424">
        <f t="shared" si="353"/>
      </c>
      <c r="I28" s="424">
        <f t="shared" si="1"/>
      </c>
      <c r="J28" s="424">
        <f t="shared" si="64"/>
      </c>
      <c r="K28" s="425">
        <f t="shared" si="104"/>
      </c>
      <c r="L28" s="426">
        <f t="shared" si="164"/>
      </c>
      <c r="M28" s="427">
        <f t="shared" si="134"/>
      </c>
      <c r="N28" s="427">
        <f t="shared" si="194"/>
      </c>
      <c r="O28" s="427">
        <f t="shared" si="247"/>
      </c>
      <c r="P28" s="428">
        <f t="shared" si="300"/>
      </c>
      <c r="Q28" s="429" t="s">
        <v>777</v>
      </c>
      <c r="R28" s="430" t="s">
        <v>778</v>
      </c>
      <c r="S28" s="436">
        <v>10274</v>
      </c>
      <c r="T28" s="436">
        <v>1215</v>
      </c>
      <c r="U28" s="436">
        <v>1523</v>
      </c>
      <c r="V28" s="436">
        <v>118</v>
      </c>
      <c r="W28" s="435">
        <v>4</v>
      </c>
      <c r="X28" s="435">
        <v>0</v>
      </c>
      <c r="Y28" s="448">
        <v>29</v>
      </c>
    </row>
    <row r="29">
      <c r="A29" s="420"/>
      <c r="B29" s="421" t="s">
        <v>789</v>
      </c>
      <c r="C29" s="422" t="s">
        <v>781</v>
      </c>
      <c r="D29" s="421">
        <v>1955.73</v>
      </c>
      <c r="E29" s="423">
        <v>1</v>
      </c>
      <c r="F29" s="423"/>
      <c r="G29" s="421">
        <v>1197.6</v>
      </c>
      <c r="H29" s="424">
        <f t="shared" si="353"/>
      </c>
      <c r="I29" s="424">
        <f t="shared" si="1"/>
      </c>
      <c r="J29" s="424">
        <f t="shared" si="64"/>
      </c>
      <c r="K29" s="425">
        <f t="shared" si="104"/>
      </c>
      <c r="L29" s="426">
        <f t="shared" si="164"/>
      </c>
      <c r="M29" s="427">
        <f t="shared" si="134"/>
      </c>
      <c r="N29" s="427">
        <f t="shared" si="194"/>
      </c>
      <c r="O29" s="427">
        <f t="shared" si="247"/>
      </c>
      <c r="P29" s="428">
        <f t="shared" si="300"/>
      </c>
      <c r="Q29" s="429" t="s">
        <v>777</v>
      </c>
      <c r="R29" s="430" t="s">
        <v>778</v>
      </c>
      <c r="S29" s="436">
        <v>13192</v>
      </c>
      <c r="T29" s="436">
        <v>1141</v>
      </c>
      <c r="U29" s="436">
        <v>1432</v>
      </c>
      <c r="V29" s="436">
        <v>120</v>
      </c>
      <c r="W29" s="435">
        <v>2</v>
      </c>
      <c r="X29" s="435">
        <v>0</v>
      </c>
      <c r="Y29" s="448">
        <v>23</v>
      </c>
    </row>
    <row r="30">
      <c r="A30" s="420"/>
      <c r="B30" s="437" t="s">
        <v>774</v>
      </c>
      <c r="C30" s="437"/>
      <c r="D30" s="438">
        <f>SUM(D26:D29)</f>
      </c>
      <c r="E30" s="439">
        <f>SUM(E26:E29)</f>
      </c>
      <c r="F30" s="439"/>
      <c r="G30" s="438">
        <f>SUM(G26:G29)</f>
      </c>
      <c r="H30" s="440">
        <f t="shared" si="353"/>
      </c>
      <c r="I30" s="441">
        <f t="shared" si="1"/>
      </c>
      <c r="J30" s="442">
        <f t="shared" si="64"/>
      </c>
      <c r="K30" s="443">
        <f t="shared" si="104"/>
      </c>
      <c r="L30" s="444">
        <f t="shared" si="164"/>
      </c>
      <c r="M30" s="443">
        <f t="shared" si="134"/>
      </c>
      <c r="N30" s="443">
        <f t="shared" si="194"/>
      </c>
      <c r="O30" s="445">
        <f t="shared" si="247"/>
      </c>
      <c r="P30" s="446">
        <f t="shared" si="300"/>
      </c>
      <c r="Q30" s="444"/>
      <c r="R30" s="444"/>
      <c r="S30" s="447">
        <f>SUM(S26:S29)</f>
      </c>
      <c r="T30" s="447">
        <f>SUM(T26:T29)</f>
      </c>
      <c r="U30" s="447">
        <f>SUM(U26:U29)</f>
      </c>
      <c r="V30" s="447">
        <f>SUM(V26:V29)</f>
      </c>
      <c r="W30" s="447">
        <f>SUM(W26:W29)</f>
      </c>
      <c r="X30" s="447">
        <f>SUM(X26:X29)</f>
      </c>
      <c r="Y30" s="447">
        <f>SUM(Y26:Y29)</f>
      </c>
    </row>
    <row r="31">
      <c r="A31" s="420"/>
      <c r="B31" s="421" t="s">
        <v>782</v>
      </c>
      <c r="C31" s="422" t="s">
        <v>783</v>
      </c>
      <c r="D31" s="459">
        <v>2160.84</v>
      </c>
      <c r="E31" s="423">
        <v>2</v>
      </c>
      <c r="F31" s="423"/>
      <c r="G31" s="460">
        <v>1272</v>
      </c>
      <c r="H31" s="424">
        <f t="shared" si="353"/>
      </c>
      <c r="I31" s="424">
        <f t="shared" si="1"/>
      </c>
      <c r="J31" s="424">
        <f t="shared" si="64"/>
      </c>
      <c r="K31" s="425">
        <f t="shared" si="104"/>
      </c>
      <c r="L31" s="426">
        <f t="shared" si="164"/>
      </c>
      <c r="M31" s="427">
        <f t="shared" si="134"/>
      </c>
      <c r="N31" s="427">
        <f t="shared" si="194"/>
      </c>
      <c r="O31" s="427">
        <f t="shared" si="247"/>
      </c>
      <c r="P31" s="428">
        <f t="shared" si="300"/>
      </c>
      <c r="Q31" s="429" t="s">
        <v>777</v>
      </c>
      <c r="R31" s="430" t="s">
        <v>778</v>
      </c>
      <c r="S31" s="436">
        <v>12976</v>
      </c>
      <c r="T31" s="436">
        <v>1305</v>
      </c>
      <c r="U31" s="436">
        <v>1620</v>
      </c>
      <c r="V31" s="436">
        <v>95</v>
      </c>
      <c r="W31" s="435">
        <v>3</v>
      </c>
      <c r="X31" s="435">
        <v>1</v>
      </c>
      <c r="Y31" s="448">
        <v>23</v>
      </c>
    </row>
    <row r="32">
      <c r="A32" s="420"/>
      <c r="B32" s="421" t="s">
        <v>782</v>
      </c>
      <c r="C32" s="451" t="s">
        <v>784</v>
      </c>
      <c r="D32" s="449">
        <v>1727.91</v>
      </c>
      <c r="E32" s="423">
        <v>3</v>
      </c>
      <c r="F32" s="423"/>
      <c r="G32" s="460">
        <v>4794</v>
      </c>
      <c r="H32" s="424">
        <f t="shared" si="353"/>
      </c>
      <c r="I32" s="424">
        <f t="shared" si="1"/>
      </c>
      <c r="J32" s="424">
        <f t="shared" si="64"/>
      </c>
      <c r="K32" s="425">
        <f t="shared" si="104"/>
      </c>
      <c r="L32" s="426">
        <f t="shared" si="164"/>
      </c>
      <c r="M32" s="427">
        <f t="shared" si="134"/>
      </c>
      <c r="N32" s="427">
        <f t="shared" si="194"/>
      </c>
      <c r="O32" s="427">
        <f t="shared" si="247"/>
      </c>
      <c r="P32" s="428">
        <f t="shared" si="300"/>
      </c>
      <c r="Q32" s="429" t="s">
        <v>777</v>
      </c>
      <c r="R32" s="430" t="s">
        <v>778</v>
      </c>
      <c r="S32" s="436">
        <v>11076</v>
      </c>
      <c r="T32" s="436">
        <v>887</v>
      </c>
      <c r="U32" s="436">
        <v>1120</v>
      </c>
      <c r="V32" s="436">
        <v>79</v>
      </c>
      <c r="W32" s="435">
        <v>6</v>
      </c>
      <c r="X32" s="435">
        <v>0</v>
      </c>
      <c r="Y32" s="448">
        <v>23</v>
      </c>
    </row>
    <row r="33">
      <c r="A33" s="420"/>
      <c r="B33" s="421" t="s">
        <v>782</v>
      </c>
      <c r="C33" s="451" t="s">
        <v>785</v>
      </c>
      <c r="D33" s="459">
        <v>3502.64</v>
      </c>
      <c r="E33" s="423">
        <v>9</v>
      </c>
      <c r="F33" s="423"/>
      <c r="G33" s="460">
        <v>13360.8</v>
      </c>
      <c r="H33" s="424">
        <f t="shared" si="353"/>
      </c>
      <c r="I33" s="424">
        <f t="shared" si="1"/>
      </c>
      <c r="J33" s="424">
        <f t="shared" si="64"/>
      </c>
      <c r="K33" s="425">
        <f t="shared" si="104"/>
      </c>
      <c r="L33" s="426">
        <f t="shared" si="164"/>
      </c>
      <c r="M33" s="427">
        <f t="shared" si="134"/>
      </c>
      <c r="N33" s="427">
        <f t="shared" si="194"/>
      </c>
      <c r="O33" s="427">
        <f t="shared" si="247"/>
      </c>
      <c r="P33" s="428">
        <f t="shared" si="300"/>
      </c>
      <c r="Q33" s="429" t="s">
        <v>777</v>
      </c>
      <c r="R33" s="430" t="s">
        <v>778</v>
      </c>
      <c r="S33" s="436">
        <v>23262</v>
      </c>
      <c r="T33" s="436">
        <v>1748</v>
      </c>
      <c r="U33" s="436">
        <v>2163</v>
      </c>
      <c r="V33" s="436">
        <v>108</v>
      </c>
      <c r="W33" s="435">
        <v>9</v>
      </c>
      <c r="X33" s="435">
        <v>2</v>
      </c>
      <c r="Y33" s="448">
        <v>35</v>
      </c>
    </row>
    <row r="34">
      <c r="A34" s="420"/>
      <c r="B34" s="421" t="s">
        <v>782</v>
      </c>
      <c r="C34" s="451" t="s">
        <v>786</v>
      </c>
      <c r="D34" s="459">
        <v>1716.19</v>
      </c>
      <c r="E34" s="423">
        <v>7</v>
      </c>
      <c r="F34" s="423"/>
      <c r="G34" s="460">
        <v>4273.6</v>
      </c>
      <c r="H34" s="424">
        <f t="shared" si="353"/>
      </c>
      <c r="I34" s="424">
        <f t="shared" si="1"/>
      </c>
      <c r="J34" s="424">
        <f t="shared" si="64"/>
      </c>
      <c r="K34" s="425">
        <f t="shared" si="104"/>
      </c>
      <c r="L34" s="426">
        <f t="shared" si="164"/>
      </c>
      <c r="M34" s="427">
        <f t="shared" si="134"/>
      </c>
      <c r="N34" s="427">
        <f t="shared" si="194"/>
      </c>
      <c r="O34" s="427">
        <f t="shared" si="247"/>
      </c>
      <c r="P34" s="428">
        <f t="shared" si="300"/>
      </c>
      <c r="Q34" s="429" t="s">
        <v>777</v>
      </c>
      <c r="R34" s="430" t="s">
        <v>778</v>
      </c>
      <c r="S34" s="436">
        <v>13924</v>
      </c>
      <c r="T34" s="436">
        <v>1240</v>
      </c>
      <c r="U34" s="436">
        <v>1563</v>
      </c>
      <c r="V34" s="436">
        <v>107</v>
      </c>
      <c r="W34" s="435">
        <v>7</v>
      </c>
      <c r="X34" s="435">
        <v>1</v>
      </c>
      <c r="Y34" s="448">
        <v>44</v>
      </c>
    </row>
    <row r="35">
      <c r="A35" s="420"/>
      <c r="B35" s="437" t="s">
        <v>774</v>
      </c>
      <c r="C35" s="437"/>
      <c r="D35" s="438">
        <f>SUM(D31:D34)</f>
      </c>
      <c r="E35" s="439">
        <f>SUM(E31:E34)</f>
      </c>
      <c r="F35" s="439"/>
      <c r="G35" s="438">
        <f>SUM(G31:G34)</f>
      </c>
      <c r="H35" s="440">
        <f t="shared" si="353"/>
      </c>
      <c r="I35" s="441">
        <f t="shared" si="1"/>
      </c>
      <c r="J35" s="442">
        <f t="shared" si="64"/>
      </c>
      <c r="K35" s="443">
        <f t="shared" si="104"/>
      </c>
      <c r="L35" s="444">
        <f t="shared" si="164"/>
      </c>
      <c r="M35" s="443">
        <f t="shared" si="134"/>
      </c>
      <c r="N35" s="443">
        <f t="shared" si="194"/>
      </c>
      <c r="O35" s="445">
        <f t="shared" si="247"/>
      </c>
      <c r="P35" s="446">
        <f t="shared" si="300"/>
      </c>
      <c r="Q35" s="444"/>
      <c r="R35" s="444"/>
      <c r="S35" s="447">
        <f>SUM(S31:S34)</f>
      </c>
      <c r="T35" s="447">
        <f>SUM(T31:T34)</f>
      </c>
      <c r="U35" s="447">
        <f>SUM(U31:U34)</f>
      </c>
      <c r="V35" s="447">
        <f>SUM(V31:V34)</f>
      </c>
      <c r="W35" s="447">
        <f>SUM(W31:W34)</f>
      </c>
      <c r="X35" s="447">
        <f>SUM(X31:X34)</f>
      </c>
      <c r="Y35" s="447">
        <f>SUM(Y31:Y34)</f>
      </c>
    </row>
    <row r="36">
      <c r="A36" s="420"/>
      <c r="B36" s="452" t="s">
        <v>787</v>
      </c>
      <c r="C36" s="452"/>
      <c r="D36" s="453">
        <f>D25+D30+D35</f>
      </c>
      <c r="E36" s="454">
        <f>E25+E30+E35</f>
      </c>
      <c r="F36" s="454"/>
      <c r="G36" s="453">
        <f>G25+G30+G35</f>
      </c>
      <c r="H36" s="452">
        <f t="shared" si="353"/>
      </c>
      <c r="I36" s="452">
        <f t="shared" si="1"/>
      </c>
      <c r="J36" s="452">
        <f t="shared" si="64"/>
      </c>
      <c r="K36" s="455">
        <f t="shared" si="104"/>
      </c>
      <c r="L36" s="452">
        <f t="shared" si="164"/>
      </c>
      <c r="M36" s="455">
        <f t="shared" si="134"/>
      </c>
      <c r="N36" s="455">
        <f t="shared" si="194"/>
      </c>
      <c r="O36" s="455">
        <f t="shared" si="247"/>
      </c>
      <c r="P36" s="452">
        <f t="shared" si="300"/>
      </c>
      <c r="Q36" s="456"/>
      <c r="R36" s="456"/>
      <c r="S36" s="457">
        <f>S25+S30+S35</f>
      </c>
      <c r="T36" s="457">
        <f>T25+T30+T35</f>
      </c>
      <c r="U36" s="457">
        <f>U25+U30+U35</f>
      </c>
      <c r="V36" s="457">
        <f>V25+V30+V35</f>
      </c>
      <c r="W36" s="457">
        <f>W25+W30+W35</f>
      </c>
      <c r="X36" s="457">
        <f>X25+X30+X35</f>
      </c>
      <c r="Y36" s="457">
        <f>Y25+Y30+Y35</f>
      </c>
    </row>
    <row r="37">
      <c r="A37" s="405" t="s">
        <v>738</v>
      </c>
      <c r="B37" s="405"/>
      <c r="C37" s="405"/>
      <c r="D37" s="406" t="s">
        <v>739</v>
      </c>
      <c r="E37" s="406"/>
      <c r="F37" s="406"/>
      <c r="G37" s="406"/>
      <c r="H37" s="406"/>
      <c r="I37" s="406"/>
      <c r="J37" s="406"/>
      <c r="K37" s="407" t="s">
        <v>740</v>
      </c>
      <c r="L37" s="407"/>
      <c r="M37" s="407"/>
      <c r="N37" s="407"/>
      <c r="O37" s="407"/>
      <c r="P37" s="407"/>
      <c r="Q37" s="407"/>
      <c r="R37" s="407"/>
      <c r="S37" s="408" t="s">
        <v>741</v>
      </c>
      <c r="T37" s="408"/>
      <c r="U37" s="408"/>
      <c r="V37" s="408"/>
      <c r="W37" s="408"/>
      <c r="X37" s="408"/>
      <c r="Y37" s="408"/>
    </row>
    <row r="38">
      <c r="A38" s="409" t="s">
        <v>742</v>
      </c>
      <c r="B38" s="409" t="s">
        <v>743</v>
      </c>
      <c r="C38" s="409" t="s">
        <v>744</v>
      </c>
      <c r="D38" s="410" t="s">
        <v>745</v>
      </c>
      <c r="E38" s="411" t="s">
        <v>746</v>
      </c>
      <c r="F38" s="411"/>
      <c r="G38" s="410" t="s">
        <v>747</v>
      </c>
      <c r="H38" s="412" t="s">
        <v>748</v>
      </c>
      <c r="I38" s="413" t="s">
        <v>749</v>
      </c>
      <c r="J38" s="410" t="s">
        <v>750</v>
      </c>
      <c r="K38" s="414" t="s">
        <v>751</v>
      </c>
      <c r="L38" s="415" t="s">
        <v>752</v>
      </c>
      <c r="M38" s="414" t="s">
        <v>753</v>
      </c>
      <c r="N38" s="414" t="s">
        <v>754</v>
      </c>
      <c r="O38" s="416" t="s">
        <v>755</v>
      </c>
      <c r="P38" s="416" t="s">
        <v>756</v>
      </c>
      <c r="Q38" s="417" t="s">
        <v>757</v>
      </c>
      <c r="R38" s="417" t="s">
        <v>758</v>
      </c>
      <c r="S38" s="431" t="s">
        <v>759</v>
      </c>
      <c r="T38" s="431" t="s">
        <v>760</v>
      </c>
      <c r="U38" s="431" t="s">
        <v>761</v>
      </c>
      <c r="V38" s="431" t="s">
        <v>762</v>
      </c>
      <c r="W38" s="431" t="s">
        <v>763</v>
      </c>
      <c r="X38" s="431" t="s">
        <v>764</v>
      </c>
      <c r="Y38" s="419" t="s">
        <v>765</v>
      </c>
    </row>
    <row r="39">
      <c r="A39" s="420" t="s">
        <v>790</v>
      </c>
      <c r="B39" s="421" t="s">
        <v>767</v>
      </c>
      <c r="C39" s="422" t="s">
        <v>768</v>
      </c>
      <c r="D39" s="421">
        <v>2192.97</v>
      </c>
      <c r="E39" s="423">
        <v>1</v>
      </c>
      <c r="F39" s="423"/>
      <c r="G39" s="458">
        <v>3062.4</v>
      </c>
      <c r="H39" s="424">
        <f t="shared" ref="H39:H54" si="354">G39/D39</f>
      </c>
      <c r="I39" s="424">
        <f t="shared" ref="I39:I54" si="2">D39/E39</f>
      </c>
      <c r="J39" s="424">
        <f t="shared" ref="J39:J54" si="65">G39/E39</f>
      </c>
      <c r="K39" s="425">
        <f t="shared" ref="K39:K54" si="105">T39/S39</f>
      </c>
      <c r="L39" s="426">
        <f t="shared" ref="L39:L54" si="165">D39/U39</f>
      </c>
      <c r="M39" s="427">
        <f t="shared" ref="M39:M54" si="135">V39/U39</f>
      </c>
      <c r="N39" s="427">
        <f t="shared" ref="N39:N54" si="195">E39/W39</f>
      </c>
      <c r="O39" s="427">
        <f t="shared" ref="O39:O54" si="248">X39/E39</f>
      </c>
      <c r="P39" s="428">
        <f t="shared" ref="P39:P54" si="301">(Y39*1000)/D39</f>
      </c>
      <c r="Q39" s="429" t="s">
        <v>769</v>
      </c>
      <c r="R39" s="430" t="s">
        <v>791</v>
      </c>
      <c r="S39" s="431">
        <v>8755</v>
      </c>
      <c r="T39" s="431">
        <v>1097</v>
      </c>
      <c r="U39" s="431">
        <v>1434</v>
      </c>
      <c r="V39" s="431">
        <v>144</v>
      </c>
      <c r="W39" s="461">
        <v>3</v>
      </c>
      <c r="X39" s="461">
        <v>0</v>
      </c>
      <c r="Y39" s="461">
        <v>28</v>
      </c>
    </row>
    <row r="40">
      <c r="A40" s="420"/>
      <c r="B40" s="421" t="s">
        <v>767</v>
      </c>
      <c r="C40" s="433" t="s">
        <v>771</v>
      </c>
      <c r="D40" s="421">
        <v>3012.24</v>
      </c>
      <c r="E40" s="423">
        <v>2</v>
      </c>
      <c r="F40" s="423"/>
      <c r="G40" s="458">
        <v>1305.599999999999</v>
      </c>
      <c r="H40" s="424">
        <f t="shared" si="354"/>
      </c>
      <c r="I40" s="424">
        <f t="shared" si="2"/>
      </c>
      <c r="J40" s="424">
        <f t="shared" si="65"/>
      </c>
      <c r="K40" s="425">
        <f t="shared" si="105"/>
      </c>
      <c r="L40" s="426">
        <f t="shared" si="165"/>
      </c>
      <c r="M40" s="427">
        <f t="shared" si="135"/>
      </c>
      <c r="N40" s="427">
        <f t="shared" si="195"/>
      </c>
      <c r="O40" s="427">
        <f t="shared" si="248"/>
      </c>
      <c r="P40" s="428">
        <f t="shared" si="301"/>
      </c>
      <c r="Q40" s="429" t="s">
        <v>769</v>
      </c>
      <c r="R40" s="430" t="s">
        <v>791</v>
      </c>
      <c r="S40" s="431">
        <v>8691</v>
      </c>
      <c r="T40" s="431">
        <v>1514</v>
      </c>
      <c r="U40" s="431">
        <v>1835</v>
      </c>
      <c r="V40" s="431">
        <v>124</v>
      </c>
      <c r="W40" s="461">
        <v>4</v>
      </c>
      <c r="X40" s="461">
        <v>0</v>
      </c>
      <c r="Y40" s="461">
        <v>29</v>
      </c>
    </row>
    <row r="41">
      <c r="A41" s="420"/>
      <c r="B41" s="421" t="s">
        <v>767</v>
      </c>
      <c r="C41" s="433" t="s">
        <v>772</v>
      </c>
      <c r="D41" s="421">
        <v>2008.99</v>
      </c>
      <c r="E41" s="423">
        <v>0</v>
      </c>
      <c r="F41" s="423"/>
      <c r="G41" s="462">
        <v>0</v>
      </c>
      <c r="H41" s="424">
        <f t="shared" si="354"/>
      </c>
      <c r="I41" s="424">
        <f t="shared" si="2"/>
      </c>
      <c r="J41" s="424">
        <f t="shared" si="65"/>
      </c>
      <c r="K41" s="425">
        <f t="shared" si="105"/>
      </c>
      <c r="L41" s="426">
        <f t="shared" si="165"/>
      </c>
      <c r="M41" s="427">
        <f t="shared" si="135"/>
      </c>
      <c r="N41" s="427">
        <f t="shared" si="195"/>
      </c>
      <c r="O41" s="427">
        <f t="shared" si="248"/>
      </c>
      <c r="P41" s="428">
        <f t="shared" si="301"/>
      </c>
      <c r="Q41" s="429" t="s">
        <v>769</v>
      </c>
      <c r="R41" s="430" t="s">
        <v>791</v>
      </c>
      <c r="S41" s="431">
        <v>6471</v>
      </c>
      <c r="T41" s="431">
        <v>669</v>
      </c>
      <c r="U41" s="431">
        <v>907</v>
      </c>
      <c r="V41" s="431">
        <v>78</v>
      </c>
      <c r="W41" s="461">
        <v>0</v>
      </c>
      <c r="X41" s="461">
        <v>0</v>
      </c>
      <c r="Y41" s="461">
        <v>12</v>
      </c>
    </row>
    <row r="42">
      <c r="A42" s="420"/>
      <c r="B42" s="421" t="s">
        <v>767</v>
      </c>
      <c r="C42" s="433" t="s">
        <v>773</v>
      </c>
      <c r="D42" s="421">
        <v>2129.78</v>
      </c>
      <c r="E42" s="423">
        <v>5</v>
      </c>
      <c r="F42" s="423"/>
      <c r="G42" s="458">
        <v>8926.8</v>
      </c>
      <c r="H42" s="424">
        <f t="shared" si="354"/>
      </c>
      <c r="I42" s="424">
        <f t="shared" si="2"/>
      </c>
      <c r="J42" s="424">
        <f t="shared" si="65"/>
      </c>
      <c r="K42" s="425">
        <f t="shared" si="105"/>
      </c>
      <c r="L42" s="426">
        <f t="shared" si="165"/>
      </c>
      <c r="M42" s="427">
        <f t="shared" si="135"/>
      </c>
      <c r="N42" s="427">
        <f t="shared" si="195"/>
      </c>
      <c r="O42" s="427">
        <f t="shared" si="248"/>
      </c>
      <c r="P42" s="428">
        <f t="shared" si="301"/>
      </c>
      <c r="Q42" s="429" t="s">
        <v>769</v>
      </c>
      <c r="R42" s="430" t="s">
        <v>791</v>
      </c>
      <c r="S42" s="431">
        <v>9611</v>
      </c>
      <c r="T42" s="419">
        <v>1083</v>
      </c>
      <c r="U42" s="436">
        <v>1379</v>
      </c>
      <c r="V42" s="436">
        <v>144</v>
      </c>
      <c r="W42" s="435">
        <v>6</v>
      </c>
      <c r="X42" s="435">
        <v>1</v>
      </c>
      <c r="Y42" s="435">
        <v>34</v>
      </c>
    </row>
    <row r="43">
      <c r="A43" s="420"/>
      <c r="B43" s="437" t="s">
        <v>774</v>
      </c>
      <c r="C43" s="437"/>
      <c r="D43" s="438">
        <f>SUM(D39:D42)</f>
      </c>
      <c r="E43" s="439">
        <f>SUM(E39:E42)</f>
      </c>
      <c r="F43" s="439"/>
      <c r="G43" s="438">
        <f>SUM(G39:G42)</f>
      </c>
      <c r="H43" s="440">
        <f t="shared" si="354"/>
      </c>
      <c r="I43" s="441">
        <f t="shared" si="2"/>
      </c>
      <c r="J43" s="442">
        <f t="shared" si="65"/>
      </c>
      <c r="K43" s="443">
        <f t="shared" si="105"/>
      </c>
      <c r="L43" s="444">
        <f t="shared" si="165"/>
      </c>
      <c r="M43" s="443">
        <f t="shared" si="135"/>
      </c>
      <c r="N43" s="443">
        <f t="shared" si="195"/>
      </c>
      <c r="O43" s="445">
        <f t="shared" si="248"/>
      </c>
      <c r="P43" s="446">
        <f t="shared" si="301"/>
      </c>
      <c r="Q43" s="444"/>
      <c r="R43" s="444"/>
      <c r="S43" s="447">
        <f>SUM(S39:S42)</f>
      </c>
      <c r="T43" s="447">
        <f>SUM(T39:T42)</f>
      </c>
      <c r="U43" s="447">
        <f>SUM(U39:U42)</f>
      </c>
      <c r="V43" s="447">
        <f>SUM(V39:V42)</f>
      </c>
      <c r="W43" s="447">
        <f>SUM(W39:W42)</f>
      </c>
      <c r="X43" s="447">
        <f>SUM(X39:X42)</f>
      </c>
      <c r="Y43" s="447">
        <f>SUM(Y39:Y42)</f>
      </c>
    </row>
    <row r="44">
      <c r="A44" s="420"/>
      <c r="B44" s="421" t="s">
        <v>775</v>
      </c>
      <c r="C44" s="433" t="s">
        <v>776</v>
      </c>
      <c r="D44" s="421">
        <v>2266.89</v>
      </c>
      <c r="E44" s="423">
        <v>2</v>
      </c>
      <c r="F44" s="423"/>
      <c r="G44" s="421">
        <v>2336.4</v>
      </c>
      <c r="H44" s="424">
        <f t="shared" si="354"/>
      </c>
      <c r="I44" s="424">
        <f t="shared" si="2"/>
      </c>
      <c r="J44" s="424">
        <f t="shared" si="65"/>
      </c>
      <c r="K44" s="425">
        <f t="shared" si="105"/>
      </c>
      <c r="L44" s="426">
        <f t="shared" si="165"/>
      </c>
      <c r="M44" s="427">
        <f t="shared" si="135"/>
      </c>
      <c r="N44" s="427">
        <f t="shared" si="195"/>
      </c>
      <c r="O44" s="427">
        <f t="shared" si="248"/>
      </c>
      <c r="P44" s="428">
        <f t="shared" si="301"/>
      </c>
      <c r="Q44" s="429" t="s">
        <v>777</v>
      </c>
      <c r="R44" s="430" t="s">
        <v>778</v>
      </c>
      <c r="S44" s="436">
        <v>9967</v>
      </c>
      <c r="T44" s="436">
        <v>1291</v>
      </c>
      <c r="U44" s="436">
        <v>1538</v>
      </c>
      <c r="V44" s="436">
        <v>141</v>
      </c>
      <c r="W44" s="435">
        <v>2</v>
      </c>
      <c r="X44" s="435">
        <v>0</v>
      </c>
      <c r="Y44" s="448">
        <v>46</v>
      </c>
    </row>
    <row r="45">
      <c r="A45" s="420"/>
      <c r="B45" s="421" t="s">
        <v>775</v>
      </c>
      <c r="C45" s="422" t="s">
        <v>779</v>
      </c>
      <c r="D45" s="421">
        <v>2328.77</v>
      </c>
      <c r="E45" s="423">
        <v>5</v>
      </c>
      <c r="F45" s="423"/>
      <c r="G45" s="421">
        <v>7616.4</v>
      </c>
      <c r="H45" s="424">
        <f t="shared" si="354"/>
      </c>
      <c r="I45" s="424">
        <f t="shared" si="2"/>
      </c>
      <c r="J45" s="424">
        <f t="shared" si="65"/>
      </c>
      <c r="K45" s="425">
        <f t="shared" si="105"/>
      </c>
      <c r="L45" s="426">
        <f t="shared" si="165"/>
      </c>
      <c r="M45" s="427">
        <f t="shared" si="135"/>
      </c>
      <c r="N45" s="427">
        <f t="shared" si="195"/>
      </c>
      <c r="O45" s="427">
        <f t="shared" si="248"/>
      </c>
      <c r="P45" s="428">
        <f t="shared" si="301"/>
      </c>
      <c r="Q45" s="429" t="s">
        <v>777</v>
      </c>
      <c r="R45" s="430" t="s">
        <v>778</v>
      </c>
      <c r="S45" s="436">
        <v>9568</v>
      </c>
      <c r="T45" s="436">
        <v>1283</v>
      </c>
      <c r="U45" s="436">
        <v>1561</v>
      </c>
      <c r="V45" s="436">
        <v>106</v>
      </c>
      <c r="W45" s="435">
        <v>7</v>
      </c>
      <c r="X45" s="435">
        <v>2</v>
      </c>
      <c r="Y45" s="448">
        <v>24</v>
      </c>
    </row>
    <row r="46">
      <c r="A46" s="420"/>
      <c r="B46" s="421" t="s">
        <v>775</v>
      </c>
      <c r="C46" s="422" t="s">
        <v>780</v>
      </c>
      <c r="D46" s="421">
        <v>1974.03</v>
      </c>
      <c r="E46" s="423">
        <v>3</v>
      </c>
      <c r="F46" s="423"/>
      <c r="G46" s="421">
        <v>1622.9</v>
      </c>
      <c r="H46" s="424">
        <f t="shared" si="354"/>
      </c>
      <c r="I46" s="424">
        <f t="shared" si="2"/>
      </c>
      <c r="J46" s="424">
        <f t="shared" si="65"/>
      </c>
      <c r="K46" s="425">
        <f t="shared" si="105"/>
      </c>
      <c r="L46" s="426">
        <f t="shared" si="165"/>
      </c>
      <c r="M46" s="427">
        <f t="shared" si="135"/>
      </c>
      <c r="N46" s="427">
        <f t="shared" si="195"/>
      </c>
      <c r="O46" s="427">
        <f t="shared" si="248"/>
      </c>
      <c r="P46" s="428">
        <f t="shared" si="301"/>
      </c>
      <c r="Q46" s="429" t="s">
        <v>777</v>
      </c>
      <c r="R46" s="430" t="s">
        <v>778</v>
      </c>
      <c r="S46" s="436">
        <v>10134</v>
      </c>
      <c r="T46" s="436">
        <v>1473</v>
      </c>
      <c r="U46" s="436">
        <v>1811</v>
      </c>
      <c r="V46" s="436">
        <v>128</v>
      </c>
      <c r="W46" s="435">
        <v>3</v>
      </c>
      <c r="X46" s="435">
        <v>1</v>
      </c>
      <c r="Y46" s="448">
        <v>29</v>
      </c>
    </row>
    <row r="47">
      <c r="A47" s="420"/>
      <c r="B47" s="421" t="s">
        <v>775</v>
      </c>
      <c r="C47" s="422" t="s">
        <v>781</v>
      </c>
      <c r="D47" s="421">
        <v>3016.75</v>
      </c>
      <c r="E47" s="423">
        <v>3</v>
      </c>
      <c r="F47" s="423"/>
      <c r="G47" s="421">
        <v>1456.8</v>
      </c>
      <c r="H47" s="424">
        <f t="shared" si="354"/>
      </c>
      <c r="I47" s="424">
        <f t="shared" si="2"/>
      </c>
      <c r="J47" s="424">
        <f t="shared" si="65"/>
      </c>
      <c r="K47" s="425">
        <f t="shared" si="105"/>
      </c>
      <c r="L47" s="426">
        <f t="shared" si="165"/>
      </c>
      <c r="M47" s="427">
        <f t="shared" si="135"/>
      </c>
      <c r="N47" s="427">
        <f t="shared" si="195"/>
      </c>
      <c r="O47" s="427">
        <f t="shared" si="248"/>
      </c>
      <c r="P47" s="428">
        <f t="shared" si="301"/>
      </c>
      <c r="Q47" s="429" t="s">
        <v>777</v>
      </c>
      <c r="R47" s="430" t="s">
        <v>778</v>
      </c>
      <c r="S47" s="436">
        <v>12414</v>
      </c>
      <c r="T47" s="436">
        <v>1770</v>
      </c>
      <c r="U47" s="436">
        <v>2204</v>
      </c>
      <c r="V47" s="436">
        <v>140</v>
      </c>
      <c r="W47" s="435">
        <v>3</v>
      </c>
      <c r="X47" s="435">
        <v>0</v>
      </c>
      <c r="Y47" s="448">
        <v>29</v>
      </c>
    </row>
    <row r="48">
      <c r="A48" s="420"/>
      <c r="B48" s="437" t="s">
        <v>774</v>
      </c>
      <c r="C48" s="437"/>
      <c r="D48" s="438">
        <f>SUM(D44:D47)</f>
      </c>
      <c r="E48" s="439">
        <f>SUM(E44:E47)</f>
      </c>
      <c r="F48" s="439"/>
      <c r="G48" s="438">
        <f>SUM(G44:G47)</f>
      </c>
      <c r="H48" s="440">
        <f t="shared" si="354"/>
      </c>
      <c r="I48" s="441">
        <f t="shared" si="2"/>
      </c>
      <c r="J48" s="442">
        <f t="shared" si="65"/>
      </c>
      <c r="K48" s="443">
        <f t="shared" si="105"/>
      </c>
      <c r="L48" s="444">
        <f t="shared" si="165"/>
      </c>
      <c r="M48" s="443">
        <f t="shared" si="135"/>
      </c>
      <c r="N48" s="443">
        <f t="shared" si="195"/>
      </c>
      <c r="O48" s="445">
        <f t="shared" si="248"/>
      </c>
      <c r="P48" s="446">
        <f t="shared" si="301"/>
      </c>
      <c r="Q48" s="444"/>
      <c r="R48" s="444"/>
      <c r="S48" s="447">
        <f>SUM(S44:S47)</f>
      </c>
      <c r="T48" s="447">
        <f>SUM(T44:T47)</f>
      </c>
      <c r="U48" s="447">
        <f>SUM(U44:U47)</f>
      </c>
      <c r="V48" s="447">
        <f>SUM(V44:V47)</f>
      </c>
      <c r="W48" s="447">
        <f>SUM(W44:W47)</f>
      </c>
      <c r="X48" s="447">
        <f>SUM(X44:X47)</f>
      </c>
      <c r="Y48" s="447">
        <f>SUM(Y44:Y47)</f>
      </c>
    </row>
    <row r="49">
      <c r="A49" s="420"/>
      <c r="B49" s="421" t="s">
        <v>782</v>
      </c>
      <c r="C49" s="422" t="s">
        <v>783</v>
      </c>
      <c r="D49" s="459">
        <v>2418.98</v>
      </c>
      <c r="E49" s="423">
        <v>1</v>
      </c>
      <c r="F49" s="423"/>
      <c r="G49" s="460">
        <v>652.8</v>
      </c>
      <c r="H49" s="424">
        <f t="shared" si="354"/>
      </c>
      <c r="I49" s="424">
        <f t="shared" si="2"/>
      </c>
      <c r="J49" s="424">
        <f t="shared" si="65"/>
      </c>
      <c r="K49" s="425">
        <f t="shared" si="105"/>
      </c>
      <c r="L49" s="426">
        <f t="shared" si="165"/>
      </c>
      <c r="M49" s="427">
        <f t="shared" si="135"/>
      </c>
      <c r="N49" s="427">
        <f t="shared" si="195"/>
      </c>
      <c r="O49" s="427">
        <f t="shared" si="248"/>
      </c>
      <c r="P49" s="428">
        <f t="shared" si="301"/>
      </c>
      <c r="Q49" s="429" t="s">
        <v>777</v>
      </c>
      <c r="R49" s="430" t="s">
        <v>778</v>
      </c>
      <c r="S49" s="436">
        <v>11617</v>
      </c>
      <c r="T49" s="436">
        <v>1121</v>
      </c>
      <c r="U49" s="436">
        <v>1440</v>
      </c>
      <c r="V49" s="436">
        <v>154</v>
      </c>
      <c r="W49" s="435">
        <v>1</v>
      </c>
      <c r="X49" s="435">
        <v>0</v>
      </c>
      <c r="Y49" s="448">
        <v>28</v>
      </c>
    </row>
    <row r="50">
      <c r="A50" s="420"/>
      <c r="B50" s="421" t="s">
        <v>782</v>
      </c>
      <c r="C50" s="451" t="s">
        <v>784</v>
      </c>
      <c r="D50" s="449">
        <v>1792.34</v>
      </c>
      <c r="E50" s="423">
        <v>2</v>
      </c>
      <c r="F50" s="423"/>
      <c r="G50" s="460">
        <v>1272</v>
      </c>
      <c r="H50" s="424">
        <f t="shared" si="354"/>
      </c>
      <c r="I50" s="424">
        <f t="shared" si="2"/>
      </c>
      <c r="J50" s="424">
        <f t="shared" si="65"/>
      </c>
      <c r="K50" s="425">
        <f t="shared" si="105"/>
      </c>
      <c r="L50" s="426">
        <f t="shared" si="165"/>
      </c>
      <c r="M50" s="427">
        <f t="shared" si="135"/>
      </c>
      <c r="N50" s="427">
        <f t="shared" si="195"/>
      </c>
      <c r="O50" s="427">
        <f t="shared" si="248"/>
      </c>
      <c r="P50" s="428">
        <f t="shared" si="301"/>
      </c>
      <c r="Q50" s="429" t="s">
        <v>777</v>
      </c>
      <c r="R50" s="430" t="s">
        <v>778</v>
      </c>
      <c r="S50" s="436">
        <v>10380</v>
      </c>
      <c r="T50" s="436">
        <v>1021</v>
      </c>
      <c r="U50" s="436">
        <v>1400</v>
      </c>
      <c r="V50" s="436">
        <v>108</v>
      </c>
      <c r="W50" s="435">
        <v>3</v>
      </c>
      <c r="X50" s="435">
        <v>0</v>
      </c>
      <c r="Y50" s="448">
        <v>23</v>
      </c>
    </row>
    <row r="51">
      <c r="A51" s="420"/>
      <c r="B51" s="421" t="s">
        <v>782</v>
      </c>
      <c r="C51" s="451" t="s">
        <v>785</v>
      </c>
      <c r="D51" s="459">
        <v>3084.97</v>
      </c>
      <c r="E51" s="423">
        <v>4</v>
      </c>
      <c r="F51" s="423"/>
      <c r="G51" s="460">
        <v>2772</v>
      </c>
      <c r="H51" s="424">
        <f t="shared" si="354"/>
      </c>
      <c r="I51" s="424">
        <f t="shared" si="2"/>
      </c>
      <c r="J51" s="424">
        <f t="shared" si="65"/>
      </c>
      <c r="K51" s="425">
        <f t="shared" si="105"/>
      </c>
      <c r="L51" s="426">
        <f t="shared" si="165"/>
      </c>
      <c r="M51" s="427">
        <f t="shared" si="135"/>
      </c>
      <c r="N51" s="427">
        <f t="shared" si="195"/>
      </c>
      <c r="O51" s="427">
        <f t="shared" si="248"/>
      </c>
      <c r="P51" s="428">
        <f t="shared" si="301"/>
      </c>
      <c r="Q51" s="429" t="s">
        <v>777</v>
      </c>
      <c r="R51" s="430" t="s">
        <v>778</v>
      </c>
      <c r="S51" s="436">
        <v>14319</v>
      </c>
      <c r="T51" s="436">
        <v>1767</v>
      </c>
      <c r="U51" s="436">
        <v>2508</v>
      </c>
      <c r="V51" s="436">
        <v>172</v>
      </c>
      <c r="W51" s="435">
        <v>4</v>
      </c>
      <c r="X51" s="435">
        <v>1</v>
      </c>
      <c r="Y51" s="448">
        <v>26</v>
      </c>
    </row>
    <row r="52">
      <c r="A52" s="420"/>
      <c r="B52" s="421" t="s">
        <v>782</v>
      </c>
      <c r="C52" s="451" t="s">
        <v>786</v>
      </c>
      <c r="D52" s="459">
        <v>2495.63</v>
      </c>
      <c r="E52" s="423">
        <v>6</v>
      </c>
      <c r="F52" s="423"/>
      <c r="G52" s="460">
        <v>3468</v>
      </c>
      <c r="H52" s="424">
        <f t="shared" si="354"/>
      </c>
      <c r="I52" s="424">
        <f t="shared" si="2"/>
      </c>
      <c r="J52" s="424">
        <f t="shared" si="65"/>
      </c>
      <c r="K52" s="425">
        <f t="shared" si="105"/>
      </c>
      <c r="L52" s="426">
        <f t="shared" si="165"/>
      </c>
      <c r="M52" s="427">
        <f t="shared" si="135"/>
      </c>
      <c r="N52" s="427">
        <f t="shared" si="195"/>
      </c>
      <c r="O52" s="427">
        <f t="shared" si="248"/>
      </c>
      <c r="P52" s="428">
        <f t="shared" si="301"/>
      </c>
      <c r="Q52" s="429" t="s">
        <v>777</v>
      </c>
      <c r="R52" s="430" t="s">
        <v>778</v>
      </c>
      <c r="S52" s="436">
        <v>12213</v>
      </c>
      <c r="T52" s="436">
        <v>1482</v>
      </c>
      <c r="U52" s="436">
        <v>1878</v>
      </c>
      <c r="V52" s="436">
        <v>108</v>
      </c>
      <c r="W52" s="435">
        <v>6</v>
      </c>
      <c r="X52" s="435">
        <v>1</v>
      </c>
      <c r="Y52" s="448">
        <v>32</v>
      </c>
    </row>
    <row r="53">
      <c r="A53" s="420"/>
      <c r="B53" s="437" t="s">
        <v>774</v>
      </c>
      <c r="C53" s="437"/>
      <c r="D53" s="438">
        <f>SUM(D49:D52)</f>
      </c>
      <c r="E53" s="439">
        <f>SUM(E49:E52)</f>
      </c>
      <c r="F53" s="439"/>
      <c r="G53" s="438">
        <f>SUM(G49:G52)</f>
      </c>
      <c r="H53" s="440">
        <f t="shared" si="354"/>
      </c>
      <c r="I53" s="441">
        <f t="shared" si="2"/>
      </c>
      <c r="J53" s="442">
        <f t="shared" si="65"/>
      </c>
      <c r="K53" s="443">
        <f t="shared" si="105"/>
      </c>
      <c r="L53" s="444">
        <f t="shared" si="165"/>
      </c>
      <c r="M53" s="443">
        <f t="shared" si="135"/>
      </c>
      <c r="N53" s="443">
        <f t="shared" si="195"/>
      </c>
      <c r="O53" s="445">
        <f t="shared" si="248"/>
      </c>
      <c r="P53" s="446">
        <f t="shared" si="301"/>
      </c>
      <c r="Q53" s="444"/>
      <c r="R53" s="444"/>
      <c r="S53" s="447">
        <f>SUM(S49:S52)</f>
      </c>
      <c r="T53" s="447">
        <f>SUM(T49:T52)</f>
      </c>
      <c r="U53" s="447">
        <f>SUM(U49:U52)</f>
      </c>
      <c r="V53" s="447">
        <f>SUM(V49:V52)</f>
      </c>
      <c r="W53" s="447">
        <f>SUM(W49:W52)</f>
      </c>
      <c r="X53" s="447">
        <f>SUM(X49:X52)</f>
      </c>
      <c r="Y53" s="447">
        <f>SUM(Y49:Y52)</f>
      </c>
    </row>
    <row r="54">
      <c r="A54" s="420"/>
      <c r="B54" s="452" t="s">
        <v>787</v>
      </c>
      <c r="C54" s="452"/>
      <c r="D54" s="453">
        <f>D43+D48+D53</f>
      </c>
      <c r="E54" s="454">
        <f>E43+E48+E53</f>
      </c>
      <c r="F54" s="454"/>
      <c r="G54" s="453">
        <f>G43+G48+G53</f>
      </c>
      <c r="H54" s="452">
        <f t="shared" si="354"/>
      </c>
      <c r="I54" s="452">
        <f t="shared" si="2"/>
      </c>
      <c r="J54" s="452">
        <f t="shared" si="65"/>
      </c>
      <c r="K54" s="455">
        <f t="shared" si="105"/>
      </c>
      <c r="L54" s="452">
        <f t="shared" si="165"/>
      </c>
      <c r="M54" s="455">
        <f t="shared" si="135"/>
      </c>
      <c r="N54" s="455">
        <f t="shared" si="195"/>
      </c>
      <c r="O54" s="455">
        <f t="shared" si="248"/>
      </c>
      <c r="P54" s="452">
        <f t="shared" si="301"/>
      </c>
      <c r="Q54" s="456"/>
      <c r="R54" s="456"/>
      <c r="S54" s="457">
        <f>S43+S48+S53</f>
      </c>
      <c r="T54" s="457">
        <f>T43+T48+T53</f>
      </c>
      <c r="U54" s="457">
        <f>U43+U48+U53</f>
      </c>
      <c r="V54" s="457">
        <f>V43+V48+V53</f>
      </c>
      <c r="W54" s="457">
        <f>W43+W48+W53</f>
      </c>
      <c r="X54" s="457">
        <f>X43+X48+X53</f>
      </c>
      <c r="Y54" s="457">
        <f>Y43+Y48+Y53</f>
      </c>
    </row>
    <row r="55">
      <c r="A55" s="405" t="s">
        <v>738</v>
      </c>
      <c r="B55" s="405"/>
      <c r="C55" s="405"/>
      <c r="D55" s="406" t="s">
        <v>739</v>
      </c>
      <c r="E55" s="406"/>
      <c r="F55" s="406"/>
      <c r="G55" s="406"/>
      <c r="H55" s="406"/>
      <c r="I55" s="406"/>
      <c r="J55" s="406"/>
      <c r="K55" s="407" t="s">
        <v>740</v>
      </c>
      <c r="L55" s="407"/>
      <c r="M55" s="407"/>
      <c r="N55" s="407"/>
      <c r="O55" s="407"/>
      <c r="P55" s="407"/>
      <c r="Q55" s="407"/>
      <c r="R55" s="407"/>
      <c r="S55" s="408" t="s">
        <v>741</v>
      </c>
      <c r="T55" s="408"/>
      <c r="U55" s="408"/>
      <c r="V55" s="408"/>
      <c r="W55" s="408"/>
      <c r="X55" s="408"/>
      <c r="Y55" s="408"/>
    </row>
    <row r="56">
      <c r="A56" s="409" t="s">
        <v>742</v>
      </c>
      <c r="B56" s="409" t="s">
        <v>743</v>
      </c>
      <c r="C56" s="409" t="s">
        <v>744</v>
      </c>
      <c r="D56" s="410" t="s">
        <v>745</v>
      </c>
      <c r="E56" s="411" t="s">
        <v>746</v>
      </c>
      <c r="F56" s="463" t="s">
        <v>792</v>
      </c>
      <c r="G56" s="410" t="s">
        <v>747</v>
      </c>
      <c r="H56" s="412" t="s">
        <v>748</v>
      </c>
      <c r="I56" s="413" t="s">
        <v>749</v>
      </c>
      <c r="J56" s="410" t="s">
        <v>750</v>
      </c>
      <c r="K56" s="414" t="s">
        <v>751</v>
      </c>
      <c r="L56" s="415" t="s">
        <v>752</v>
      </c>
      <c r="M56" s="414" t="s">
        <v>753</v>
      </c>
      <c r="N56" s="414" t="s">
        <v>754</v>
      </c>
      <c r="O56" s="416" t="s">
        <v>755</v>
      </c>
      <c r="P56" s="416" t="s">
        <v>756</v>
      </c>
      <c r="Q56" s="417" t="s">
        <v>757</v>
      </c>
      <c r="R56" s="417" t="s">
        <v>758</v>
      </c>
      <c r="S56" s="431" t="s">
        <v>759</v>
      </c>
      <c r="T56" s="431" t="s">
        <v>760</v>
      </c>
      <c r="U56" s="431" t="s">
        <v>761</v>
      </c>
      <c r="V56" s="431" t="s">
        <v>762</v>
      </c>
      <c r="W56" s="431" t="s">
        <v>763</v>
      </c>
      <c r="X56" s="431" t="s">
        <v>764</v>
      </c>
      <c r="Y56" s="419" t="s">
        <v>765</v>
      </c>
    </row>
    <row r="57">
      <c r="A57" s="420" t="s">
        <v>793</v>
      </c>
      <c r="B57" s="421" t="s">
        <v>767</v>
      </c>
      <c r="C57" s="451" t="s">
        <v>794</v>
      </c>
      <c r="D57" s="421">
        <v>1496.23</v>
      </c>
      <c r="E57" s="423">
        <v>1</v>
      </c>
      <c r="F57" s="423">
        <v>0</v>
      </c>
      <c r="G57" s="464">
        <v>652.8</v>
      </c>
      <c r="H57" s="424">
        <f t="shared" ref="H57:H77" si="355">G57/D57</f>
      </c>
      <c r="I57" s="424">
        <f t="shared" ref="I57:I77" si="3">D57/E57</f>
      </c>
      <c r="J57" s="424">
        <f t="shared" ref="J57:J77" si="66">G57/E57</f>
      </c>
      <c r="K57" s="425">
        <f t="shared" ref="K57:K77" si="106">T57/S57</f>
      </c>
      <c r="L57" s="426">
        <f t="shared" ref="L57:L77" si="166">D57/U57</f>
      </c>
      <c r="M57" s="427">
        <f t="shared" ref="M57:M77" si="136">V57/U57</f>
      </c>
      <c r="N57" s="427">
        <f t="shared" ref="N57:N77" si="196">E57/W57</f>
      </c>
      <c r="O57" s="427">
        <f t="shared" ref="O57:O77" si="249">X57/E57</f>
      </c>
      <c r="P57" s="428">
        <f t="shared" ref="P57:P77" si="302">(Y57*1000)/D57</f>
      </c>
      <c r="Q57" s="429" t="s">
        <v>769</v>
      </c>
      <c r="R57" s="430" t="s">
        <v>795</v>
      </c>
      <c r="S57" s="461">
        <v>6072</v>
      </c>
      <c r="T57" s="461">
        <v>642</v>
      </c>
      <c r="U57" s="461">
        <v>802</v>
      </c>
      <c r="V57" s="461">
        <v>63</v>
      </c>
      <c r="W57" s="461">
        <v>2</v>
      </c>
      <c r="X57" s="461">
        <v>0</v>
      </c>
      <c r="Y57" s="461">
        <v>13</v>
      </c>
    </row>
    <row r="58">
      <c r="A58" s="420"/>
      <c r="B58" s="421" t="s">
        <v>767</v>
      </c>
      <c r="C58" s="421" t="s">
        <v>796</v>
      </c>
      <c r="D58" s="421">
        <v>2024.86</v>
      </c>
      <c r="E58" s="423">
        <v>4</v>
      </c>
      <c r="F58" s="423">
        <v>4</v>
      </c>
      <c r="G58" s="464">
        <v>6477.599999999999</v>
      </c>
      <c r="H58" s="424">
        <f t="shared" si="355"/>
      </c>
      <c r="I58" s="424">
        <f t="shared" si="3"/>
      </c>
      <c r="J58" s="424">
        <f t="shared" si="66"/>
      </c>
      <c r="K58" s="425">
        <f t="shared" si="106"/>
      </c>
      <c r="L58" s="426">
        <f t="shared" si="166"/>
      </c>
      <c r="M58" s="427">
        <f t="shared" si="136"/>
      </c>
      <c r="N58" s="427">
        <f t="shared" si="196"/>
      </c>
      <c r="O58" s="427">
        <f t="shared" si="249"/>
      </c>
      <c r="P58" s="428">
        <f t="shared" si="302"/>
      </c>
      <c r="Q58" s="429" t="s">
        <v>769</v>
      </c>
      <c r="R58" s="430" t="s">
        <v>795</v>
      </c>
      <c r="S58" s="461">
        <v>6679</v>
      </c>
      <c r="T58" s="461">
        <v>838</v>
      </c>
      <c r="U58" s="461">
        <v>1085</v>
      </c>
      <c r="V58" s="461">
        <v>99</v>
      </c>
      <c r="W58" s="461">
        <v>5</v>
      </c>
      <c r="X58" s="461">
        <v>1</v>
      </c>
      <c r="Y58" s="461">
        <v>27</v>
      </c>
    </row>
    <row r="59">
      <c r="A59" s="420"/>
      <c r="B59" s="421" t="s">
        <v>767</v>
      </c>
      <c r="C59" s="421" t="s">
        <v>797</v>
      </c>
      <c r="D59" s="421">
        <v>3518.53</v>
      </c>
      <c r="E59" s="423">
        <v>5</v>
      </c>
      <c r="F59" s="423">
        <v>4</v>
      </c>
      <c r="G59" s="464">
        <v>5284.8</v>
      </c>
      <c r="H59" s="424">
        <f t="shared" si="355"/>
      </c>
      <c r="I59" s="424">
        <f t="shared" si="3"/>
      </c>
      <c r="J59" s="424">
        <f t="shared" si="66"/>
      </c>
      <c r="K59" s="425">
        <f t="shared" si="106"/>
      </c>
      <c r="L59" s="426">
        <f t="shared" si="166"/>
      </c>
      <c r="M59" s="427">
        <f t="shared" si="136"/>
      </c>
      <c r="N59" s="427">
        <f t="shared" si="196"/>
      </c>
      <c r="O59" s="427">
        <f t="shared" si="249"/>
      </c>
      <c r="P59" s="428">
        <f t="shared" si="302"/>
      </c>
      <c r="Q59" s="429" t="s">
        <v>769</v>
      </c>
      <c r="R59" s="430" t="s">
        <v>770</v>
      </c>
      <c r="S59" s="461">
        <v>8666</v>
      </c>
      <c r="T59" s="461">
        <v>1029</v>
      </c>
      <c r="U59" s="461">
        <v>1379</v>
      </c>
      <c r="V59" s="461">
        <v>143</v>
      </c>
      <c r="W59" s="461">
        <v>6</v>
      </c>
      <c r="X59" s="461">
        <v>1</v>
      </c>
      <c r="Y59" s="461">
        <v>29</v>
      </c>
    </row>
    <row r="60">
      <c r="A60" s="420"/>
      <c r="B60" s="421" t="s">
        <v>767</v>
      </c>
      <c r="C60" s="421" t="s">
        <v>798</v>
      </c>
      <c r="D60" s="421">
        <v>2652.1</v>
      </c>
      <c r="E60" s="423">
        <v>5</v>
      </c>
      <c r="F60" s="423">
        <v>2</v>
      </c>
      <c r="G60" s="458">
        <v>7202.8</v>
      </c>
      <c r="H60" s="424">
        <f t="shared" si="355"/>
      </c>
      <c r="I60" s="424">
        <f t="shared" si="3"/>
      </c>
      <c r="J60" s="424">
        <f t="shared" si="66"/>
      </c>
      <c r="K60" s="425">
        <f t="shared" si="106"/>
      </c>
      <c r="L60" s="426">
        <f t="shared" si="166"/>
      </c>
      <c r="M60" s="427">
        <f t="shared" si="136"/>
      </c>
      <c r="N60" s="427">
        <f t="shared" si="196"/>
      </c>
      <c r="O60" s="427">
        <f t="shared" si="249"/>
      </c>
      <c r="P60" s="428">
        <f t="shared" si="302"/>
      </c>
      <c r="Q60" s="429" t="s">
        <v>769</v>
      </c>
      <c r="R60" s="430" t="s">
        <v>770</v>
      </c>
      <c r="S60" s="461">
        <v>6334</v>
      </c>
      <c r="T60" s="461">
        <v>712</v>
      </c>
      <c r="U60" s="461">
        <v>953</v>
      </c>
      <c r="V60" s="461">
        <v>107</v>
      </c>
      <c r="W60" s="461">
        <v>6</v>
      </c>
      <c r="X60" s="435">
        <v>1</v>
      </c>
      <c r="Y60" s="435">
        <v>24</v>
      </c>
    </row>
    <row r="61">
      <c r="A61" s="420"/>
      <c r="B61" s="437" t="s">
        <v>774</v>
      </c>
      <c r="C61" s="437"/>
      <c r="D61" s="438">
        <f>SUM(D57:D60)</f>
      </c>
      <c r="E61" s="439">
        <f>SUM(E57:E60)</f>
      </c>
      <c r="F61" s="439">
        <f>SUM(F57:F60)</f>
      </c>
      <c r="G61" s="438">
        <f>SUM(G57:G60)</f>
      </c>
      <c r="H61" s="440">
        <f t="shared" si="355"/>
      </c>
      <c r="I61" s="441">
        <f t="shared" si="3"/>
      </c>
      <c r="J61" s="442">
        <f t="shared" si="66"/>
      </c>
      <c r="K61" s="443">
        <f t="shared" si="106"/>
      </c>
      <c r="L61" s="444">
        <f t="shared" si="166"/>
      </c>
      <c r="M61" s="443">
        <f t="shared" si="136"/>
      </c>
      <c r="N61" s="443">
        <f t="shared" si="196"/>
      </c>
      <c r="O61" s="445">
        <f t="shared" si="249"/>
      </c>
      <c r="P61" s="446">
        <f t="shared" si="302"/>
      </c>
      <c r="Q61" s="444"/>
      <c r="R61" s="444"/>
      <c r="S61" s="447">
        <f>SUM(S57:S60)</f>
      </c>
      <c r="T61" s="447">
        <f>SUM(T57:T60)</f>
      </c>
      <c r="U61" s="447">
        <f>SUM(U57:U60)</f>
      </c>
      <c r="V61" s="447">
        <f>SUM(V57:V60)</f>
      </c>
      <c r="W61" s="447">
        <f>SUM(W57:W60)</f>
      </c>
      <c r="X61" s="447">
        <f>SUM(X57:X60)</f>
      </c>
      <c r="Y61" s="447">
        <f>SUM(Y57:Y60)</f>
      </c>
    </row>
    <row r="62">
      <c r="A62" s="420"/>
      <c r="B62" s="421" t="s">
        <v>775</v>
      </c>
      <c r="C62" s="422" t="s">
        <v>768</v>
      </c>
      <c r="D62" s="421">
        <v>3301.47</v>
      </c>
      <c r="E62" s="423">
        <v>3</v>
      </c>
      <c r="F62" s="423">
        <v>4</v>
      </c>
      <c r="G62" s="465">
        <v>4830</v>
      </c>
      <c r="H62" s="424">
        <f t="shared" si="355"/>
      </c>
      <c r="I62" s="424">
        <f t="shared" si="3"/>
      </c>
      <c r="J62" s="424">
        <f t="shared" si="66"/>
      </c>
      <c r="K62" s="425">
        <f t="shared" si="106"/>
      </c>
      <c r="L62" s="426">
        <f t="shared" si="166"/>
      </c>
      <c r="M62" s="427">
        <f t="shared" si="136"/>
      </c>
      <c r="N62" s="427">
        <f t="shared" si="196"/>
      </c>
      <c r="O62" s="427">
        <f t="shared" si="249"/>
      </c>
      <c r="P62" s="428">
        <f t="shared" si="302"/>
      </c>
      <c r="Q62" s="429" t="s">
        <v>777</v>
      </c>
      <c r="R62" s="430" t="s">
        <v>770</v>
      </c>
      <c r="S62" s="436">
        <v>8303</v>
      </c>
      <c r="T62" s="436">
        <v>889</v>
      </c>
      <c r="U62" s="436">
        <v>1103</v>
      </c>
      <c r="V62" s="436">
        <v>103</v>
      </c>
      <c r="W62" s="435">
        <v>4</v>
      </c>
      <c r="X62" s="435">
        <v>0</v>
      </c>
      <c r="Y62" s="448">
        <v>25</v>
      </c>
    </row>
    <row r="63">
      <c r="A63" s="420"/>
      <c r="B63" s="421" t="s">
        <v>775</v>
      </c>
      <c r="C63" s="433" t="s">
        <v>771</v>
      </c>
      <c r="D63" s="421">
        <v>3404.87</v>
      </c>
      <c r="E63" s="423">
        <v>6</v>
      </c>
      <c r="F63" s="423">
        <v>6</v>
      </c>
      <c r="G63" s="465">
        <v>10338.4</v>
      </c>
      <c r="H63" s="424">
        <f t="shared" si="355"/>
      </c>
      <c r="I63" s="424">
        <f t="shared" si="3"/>
      </c>
      <c r="J63" s="424">
        <f t="shared" si="66"/>
      </c>
      <c r="K63" s="425">
        <f t="shared" si="106"/>
      </c>
      <c r="L63" s="426">
        <f t="shared" si="166"/>
      </c>
      <c r="M63" s="427">
        <f t="shared" si="136"/>
      </c>
      <c r="N63" s="427">
        <f t="shared" si="196"/>
      </c>
      <c r="O63" s="427">
        <f t="shared" si="249"/>
      </c>
      <c r="P63" s="428">
        <f t="shared" si="302"/>
      </c>
      <c r="Q63" s="429" t="s">
        <v>777</v>
      </c>
      <c r="R63" s="430" t="s">
        <v>770</v>
      </c>
      <c r="S63" s="436">
        <v>8411</v>
      </c>
      <c r="T63" s="436">
        <v>794</v>
      </c>
      <c r="U63" s="436">
        <v>1022</v>
      </c>
      <c r="V63" s="436">
        <v>106</v>
      </c>
      <c r="W63" s="435">
        <v>10</v>
      </c>
      <c r="X63" s="435">
        <v>1</v>
      </c>
      <c r="Y63" s="448">
        <v>20</v>
      </c>
    </row>
    <row r="64">
      <c r="A64" s="420"/>
      <c r="B64" s="421" t="s">
        <v>775</v>
      </c>
      <c r="C64" s="433" t="s">
        <v>772</v>
      </c>
      <c r="D64" s="421">
        <v>2810.27</v>
      </c>
      <c r="E64" s="423">
        <v>3</v>
      </c>
      <c r="F64" s="423">
        <v>2</v>
      </c>
      <c r="G64" s="464">
        <v>2929.2</v>
      </c>
      <c r="H64" s="424">
        <f t="shared" si="355"/>
      </c>
      <c r="I64" s="424">
        <f t="shared" si="3"/>
      </c>
      <c r="J64" s="424">
        <f t="shared" si="66"/>
      </c>
      <c r="K64" s="425">
        <f t="shared" si="106"/>
      </c>
      <c r="L64" s="426">
        <f t="shared" si="166"/>
      </c>
      <c r="M64" s="427">
        <f t="shared" si="136"/>
      </c>
      <c r="N64" s="427">
        <f t="shared" si="196"/>
      </c>
      <c r="O64" s="427">
        <f t="shared" si="249"/>
      </c>
      <c r="P64" s="428">
        <f t="shared" si="302"/>
      </c>
      <c r="Q64" s="429" t="s">
        <v>777</v>
      </c>
      <c r="R64" s="430" t="s">
        <v>770</v>
      </c>
      <c r="S64" s="436">
        <v>8926</v>
      </c>
      <c r="T64" s="436">
        <v>782</v>
      </c>
      <c r="U64" s="436">
        <v>1047</v>
      </c>
      <c r="V64" s="436">
        <v>130</v>
      </c>
      <c r="W64" s="436">
        <v>6</v>
      </c>
      <c r="X64" s="436">
        <v>0</v>
      </c>
      <c r="Y64" s="448">
        <v>28</v>
      </c>
    </row>
    <row r="65">
      <c r="A65" s="420"/>
      <c r="B65" s="421" t="s">
        <v>775</v>
      </c>
      <c r="C65" s="433" t="s">
        <v>773</v>
      </c>
      <c r="D65" s="421">
        <v>3191.42</v>
      </c>
      <c r="E65" s="423">
        <v>2</v>
      </c>
      <c r="F65" s="423">
        <v>2</v>
      </c>
      <c r="G65" s="464">
        <v>2395.2</v>
      </c>
      <c r="H65" s="424">
        <f t="shared" si="355"/>
      </c>
      <c r="I65" s="424">
        <f t="shared" si="3"/>
      </c>
      <c r="J65" s="424">
        <f t="shared" si="66"/>
      </c>
      <c r="K65" s="425">
        <f t="shared" si="106"/>
      </c>
      <c r="L65" s="426">
        <f t="shared" si="166"/>
      </c>
      <c r="M65" s="427">
        <f t="shared" si="136"/>
      </c>
      <c r="N65" s="427">
        <f t="shared" si="196"/>
      </c>
      <c r="O65" s="427">
        <f t="shared" si="249"/>
      </c>
      <c r="P65" s="428">
        <f t="shared" si="302"/>
      </c>
      <c r="Q65" s="429" t="s">
        <v>777</v>
      </c>
      <c r="R65" s="430" t="s">
        <v>770</v>
      </c>
      <c r="S65" s="436">
        <v>10259</v>
      </c>
      <c r="T65" s="436">
        <v>984</v>
      </c>
      <c r="U65" s="436">
        <v>1315</v>
      </c>
      <c r="V65" s="436">
        <v>137</v>
      </c>
      <c r="W65" s="435">
        <v>8</v>
      </c>
      <c r="X65" s="435">
        <v>0</v>
      </c>
      <c r="Y65" s="448">
        <v>66</v>
      </c>
    </row>
    <row r="66">
      <c r="A66" s="420"/>
      <c r="B66" s="437" t="s">
        <v>774</v>
      </c>
      <c r="C66" s="437"/>
      <c r="D66" s="438">
        <f>SUM(D62:D65)</f>
      </c>
      <c r="E66" s="439">
        <f>SUM(E62:E65)</f>
      </c>
      <c r="F66" s="439">
        <f>SUM(F62:F65)</f>
      </c>
      <c r="G66" s="438">
        <f>SUM(G62:G65)</f>
      </c>
      <c r="H66" s="440">
        <f t="shared" si="355"/>
      </c>
      <c r="I66" s="441">
        <f t="shared" si="3"/>
      </c>
      <c r="J66" s="442">
        <f t="shared" si="66"/>
      </c>
      <c r="K66" s="443">
        <f t="shared" si="106"/>
      </c>
      <c r="L66" s="444">
        <f t="shared" si="166"/>
      </c>
      <c r="M66" s="443">
        <f t="shared" si="136"/>
      </c>
      <c r="N66" s="443">
        <f t="shared" si="196"/>
      </c>
      <c r="O66" s="445">
        <f t="shared" si="249"/>
      </c>
      <c r="P66" s="446">
        <f t="shared" si="302"/>
      </c>
      <c r="Q66" s="444"/>
      <c r="R66" s="444"/>
      <c r="S66" s="447">
        <f>SUM(S62:S65)</f>
      </c>
      <c r="T66" s="447">
        <f>SUM(T62:T65)</f>
      </c>
      <c r="U66" s="447">
        <f>SUM(U62:U65)</f>
      </c>
      <c r="V66" s="447">
        <f>SUM(V62:V65)</f>
      </c>
      <c r="W66" s="447">
        <f>SUM(W62:W65)</f>
      </c>
      <c r="X66" s="447">
        <f>SUM(X62:X65)</f>
      </c>
      <c r="Y66" s="447">
        <f>SUM(Y62:Y65)</f>
      </c>
    </row>
    <row customHeight="true" ht="18.452380952380953" r="67">
      <c r="A67" s="420"/>
      <c r="B67" s="421" t="s">
        <v>782</v>
      </c>
      <c r="C67" s="433" t="s">
        <v>776</v>
      </c>
      <c r="D67" s="459">
        <v>3631.92</v>
      </c>
      <c r="E67" s="423">
        <v>3</v>
      </c>
      <c r="F67" s="423">
        <v>3</v>
      </c>
      <c r="G67" s="460">
        <v>2252.4</v>
      </c>
      <c r="H67" s="424">
        <f t="shared" si="355"/>
      </c>
      <c r="I67" s="424">
        <f t="shared" si="3"/>
      </c>
      <c r="J67" s="424">
        <f t="shared" si="66"/>
      </c>
      <c r="K67" s="425">
        <f t="shared" si="106"/>
      </c>
      <c r="L67" s="426">
        <f t="shared" si="166"/>
      </c>
      <c r="M67" s="427">
        <f t="shared" si="136"/>
      </c>
      <c r="N67" s="427">
        <f t="shared" si="196"/>
      </c>
      <c r="O67" s="427">
        <f t="shared" si="249"/>
      </c>
      <c r="P67" s="428">
        <f t="shared" si="302"/>
      </c>
      <c r="Q67" s="429" t="s">
        <v>777</v>
      </c>
      <c r="R67" s="430" t="s">
        <v>778</v>
      </c>
      <c r="S67" s="436">
        <v>10728</v>
      </c>
      <c r="T67" s="436">
        <v>1023</v>
      </c>
      <c r="U67" s="436">
        <v>1347</v>
      </c>
      <c r="V67" s="436">
        <v>146</v>
      </c>
      <c r="W67" s="435">
        <v>4</v>
      </c>
      <c r="X67" s="435">
        <v>0</v>
      </c>
      <c r="Y67" s="448">
        <v>27</v>
      </c>
    </row>
    <row customHeight="true" ht="18.452380952380953" r="68">
      <c r="A68" s="420"/>
      <c r="B68" s="421" t="s">
        <v>782</v>
      </c>
      <c r="C68" s="422" t="s">
        <v>779</v>
      </c>
      <c r="D68" s="449">
        <v>2280.15</v>
      </c>
      <c r="E68" s="423">
        <v>4</v>
      </c>
      <c r="F68" s="423">
        <v>1</v>
      </c>
      <c r="G68" s="460">
        <v>2926.8</v>
      </c>
      <c r="H68" s="424">
        <f t="shared" si="355"/>
      </c>
      <c r="I68" s="424">
        <f t="shared" si="3"/>
      </c>
      <c r="J68" s="424">
        <f t="shared" si="66"/>
      </c>
      <c r="K68" s="425">
        <f t="shared" si="106"/>
      </c>
      <c r="L68" s="426">
        <f t="shared" si="166"/>
      </c>
      <c r="M68" s="427">
        <f t="shared" si="136"/>
      </c>
      <c r="N68" s="427">
        <f t="shared" si="196"/>
      </c>
      <c r="O68" s="427">
        <f t="shared" si="249"/>
      </c>
      <c r="P68" s="428">
        <f t="shared" si="302"/>
      </c>
      <c r="Q68" s="429" t="s">
        <v>777</v>
      </c>
      <c r="R68" s="430" t="s">
        <v>778</v>
      </c>
      <c r="S68" s="436">
        <v>7128</v>
      </c>
      <c r="T68" s="436">
        <v>647</v>
      </c>
      <c r="U68" s="436">
        <v>885</v>
      </c>
      <c r="V68" s="436">
        <v>101</v>
      </c>
      <c r="W68" s="435">
        <v>6</v>
      </c>
      <c r="X68" s="435">
        <v>2</v>
      </c>
      <c r="Y68" s="448">
        <v>19</v>
      </c>
    </row>
    <row customHeight="true" ht="18.452380952380953" r="69">
      <c r="A69" s="420"/>
      <c r="B69" s="421" t="s">
        <v>782</v>
      </c>
      <c r="C69" s="422" t="s">
        <v>780</v>
      </c>
      <c r="D69" s="459">
        <v>2294.82</v>
      </c>
      <c r="E69" s="423">
        <v>4</v>
      </c>
      <c r="F69" s="423">
        <v>3</v>
      </c>
      <c r="G69" s="460">
        <v>2756.8</v>
      </c>
      <c r="H69" s="424">
        <f t="shared" si="355"/>
      </c>
      <c r="I69" s="424">
        <f t="shared" si="3"/>
      </c>
      <c r="J69" s="424">
        <f t="shared" si="66"/>
      </c>
      <c r="K69" s="425">
        <f t="shared" si="106"/>
      </c>
      <c r="L69" s="426">
        <f t="shared" si="166"/>
      </c>
      <c r="M69" s="427">
        <f t="shared" si="136"/>
      </c>
      <c r="N69" s="427">
        <f t="shared" si="196"/>
      </c>
      <c r="O69" s="427">
        <f t="shared" si="249"/>
      </c>
      <c r="P69" s="428">
        <f t="shared" si="302"/>
      </c>
      <c r="Q69" s="429" t="s">
        <v>777</v>
      </c>
      <c r="R69" s="430" t="s">
        <v>778</v>
      </c>
      <c r="S69" s="436">
        <v>11697</v>
      </c>
      <c r="T69" s="436">
        <v>1181</v>
      </c>
      <c r="U69" s="436">
        <v>1374</v>
      </c>
      <c r="V69" s="436">
        <v>98</v>
      </c>
      <c r="W69" s="435">
        <v>5</v>
      </c>
      <c r="X69" s="435">
        <v>1</v>
      </c>
      <c r="Y69" s="448">
        <v>32</v>
      </c>
    </row>
    <row customHeight="true" ht="18.452380952380953" r="70">
      <c r="A70" s="420"/>
      <c r="B70" s="421" t="s">
        <v>782</v>
      </c>
      <c r="C70" s="422" t="s">
        <v>781</v>
      </c>
      <c r="D70" s="459">
        <v>2611.49</v>
      </c>
      <c r="E70" s="423">
        <v>5</v>
      </c>
      <c r="F70" s="423">
        <v>1</v>
      </c>
      <c r="G70" s="460">
        <v>6830.4</v>
      </c>
      <c r="H70" s="424">
        <f t="shared" si="355"/>
      </c>
      <c r="I70" s="424">
        <f t="shared" si="3"/>
      </c>
      <c r="J70" s="424">
        <f t="shared" si="66"/>
      </c>
      <c r="K70" s="425">
        <f t="shared" si="106"/>
      </c>
      <c r="L70" s="426">
        <f t="shared" si="166"/>
      </c>
      <c r="M70" s="427">
        <f t="shared" si="136"/>
      </c>
      <c r="N70" s="427">
        <f t="shared" si="196"/>
      </c>
      <c r="O70" s="427">
        <f t="shared" si="249"/>
      </c>
      <c r="P70" s="428">
        <f t="shared" si="302"/>
      </c>
      <c r="Q70" s="429" t="s">
        <v>777</v>
      </c>
      <c r="R70" s="430" t="s">
        <v>778</v>
      </c>
      <c r="S70" s="436">
        <v>14198</v>
      </c>
      <c r="T70" s="436">
        <v>2128</v>
      </c>
      <c r="U70" s="436">
        <v>2398</v>
      </c>
      <c r="V70" s="436">
        <v>121</v>
      </c>
      <c r="W70" s="435">
        <v>5</v>
      </c>
      <c r="X70" s="435">
        <v>0</v>
      </c>
      <c r="Y70" s="448">
        <v>32</v>
      </c>
    </row>
    <row customHeight="true" ht="18.452380952380953" r="71">
      <c r="A71" s="420"/>
      <c r="B71" s="437" t="s">
        <v>774</v>
      </c>
      <c r="C71" s="437"/>
      <c r="D71" s="438">
        <f>SUM(D67:D70)</f>
      </c>
      <c r="E71" s="439">
        <f>SUM(E67:E70)</f>
      </c>
      <c r="F71" s="439">
        <f>SUM(F67:F70)</f>
      </c>
      <c r="G71" s="438">
        <f>SUM(G67:G70)</f>
      </c>
      <c r="H71" s="440">
        <f t="shared" si="355"/>
      </c>
      <c r="I71" s="441">
        <f t="shared" si="3"/>
      </c>
      <c r="J71" s="442">
        <f t="shared" si="66"/>
      </c>
      <c r="K71" s="443">
        <f t="shared" si="106"/>
      </c>
      <c r="L71" s="444">
        <f t="shared" si="166"/>
      </c>
      <c r="M71" s="443">
        <f t="shared" si="136"/>
      </c>
      <c r="N71" s="443">
        <f t="shared" si="196"/>
      </c>
      <c r="O71" s="445">
        <f t="shared" si="249"/>
      </c>
      <c r="P71" s="446">
        <f t="shared" si="302"/>
      </c>
      <c r="Q71" s="444"/>
      <c r="R71" s="444"/>
      <c r="S71" s="447">
        <f>SUM(S67:S70)</f>
      </c>
      <c r="T71" s="447">
        <f>SUM(T67:T70)</f>
      </c>
      <c r="U71" s="447">
        <f>SUM(U67:U70)</f>
      </c>
      <c r="V71" s="447">
        <f>SUM(V67:V70)</f>
      </c>
      <c r="W71" s="447">
        <f>SUM(W67:W70)</f>
      </c>
      <c r="X71" s="447">
        <f>SUM(X67:X70)</f>
      </c>
      <c r="Y71" s="447">
        <f>SUM(Y67:Y70)</f>
      </c>
    </row>
    <row r="72">
      <c r="A72" s="420"/>
      <c r="B72" s="421" t="s">
        <v>789</v>
      </c>
      <c r="C72" s="422" t="s">
        <v>783</v>
      </c>
      <c r="D72" s="459">
        <v>4105.78</v>
      </c>
      <c r="E72" s="423">
        <v>4</v>
      </c>
      <c r="F72" s="423">
        <v>1</v>
      </c>
      <c r="G72" s="460">
        <v>8091.4</v>
      </c>
      <c r="H72" s="424">
        <f t="shared" si="355"/>
      </c>
      <c r="I72" s="424">
        <f t="shared" si="3"/>
      </c>
      <c r="J72" s="424">
        <f t="shared" si="66"/>
      </c>
      <c r="K72" s="425">
        <f t="shared" si="106"/>
      </c>
      <c r="L72" s="426">
        <f t="shared" si="166"/>
      </c>
      <c r="M72" s="427">
        <f t="shared" si="136"/>
      </c>
      <c r="N72" s="427">
        <f t="shared" si="196"/>
      </c>
      <c r="O72" s="427">
        <f t="shared" si="249"/>
      </c>
      <c r="P72" s="428">
        <f t="shared" si="302"/>
      </c>
      <c r="Q72" s="429" t="s">
        <v>777</v>
      </c>
      <c r="R72" s="430" t="s">
        <v>778</v>
      </c>
      <c r="S72" s="436">
        <v>12337</v>
      </c>
      <c r="T72" s="436">
        <v>1309</v>
      </c>
      <c r="U72" s="436">
        <v>1591</v>
      </c>
      <c r="V72" s="436">
        <v>112</v>
      </c>
      <c r="W72" s="435">
        <v>4</v>
      </c>
      <c r="X72" s="435">
        <v>1</v>
      </c>
      <c r="Y72" s="448">
        <v>27</v>
      </c>
    </row>
    <row r="73">
      <c r="A73" s="420"/>
      <c r="B73" s="421" t="s">
        <v>789</v>
      </c>
      <c r="C73" s="451" t="s">
        <v>784</v>
      </c>
      <c r="D73" s="459">
        <v>3483.91</v>
      </c>
      <c r="E73" s="423">
        <v>6</v>
      </c>
      <c r="F73" s="423">
        <v>5</v>
      </c>
      <c r="G73" s="460">
        <v>7027.2</v>
      </c>
      <c r="H73" s="424">
        <f t="shared" si="355"/>
      </c>
      <c r="I73" s="424">
        <f t="shared" si="3"/>
      </c>
      <c r="J73" s="424">
        <f t="shared" si="66"/>
      </c>
      <c r="K73" s="425">
        <f t="shared" si="106"/>
      </c>
      <c r="L73" s="426">
        <f t="shared" si="166"/>
      </c>
      <c r="M73" s="427">
        <f t="shared" si="136"/>
      </c>
      <c r="N73" s="427">
        <f t="shared" si="196"/>
      </c>
      <c r="O73" s="427">
        <f t="shared" si="249"/>
      </c>
      <c r="P73" s="428">
        <f t="shared" si="302"/>
      </c>
      <c r="Q73" s="429" t="s">
        <v>777</v>
      </c>
      <c r="R73" s="430" t="s">
        <v>778</v>
      </c>
      <c r="S73" s="436">
        <v>12685</v>
      </c>
      <c r="T73" s="436">
        <v>979</v>
      </c>
      <c r="U73" s="436">
        <v>1246</v>
      </c>
      <c r="V73" s="436">
        <v>100</v>
      </c>
      <c r="W73" s="435">
        <v>8</v>
      </c>
      <c r="X73" s="435">
        <v>1</v>
      </c>
      <c r="Y73" s="448">
        <v>23</v>
      </c>
    </row>
    <row r="74">
      <c r="A74" s="420"/>
      <c r="B74" s="421" t="s">
        <v>789</v>
      </c>
      <c r="C74" s="451" t="s">
        <v>785</v>
      </c>
      <c r="D74" s="459">
        <v>3290.12</v>
      </c>
      <c r="E74" s="423">
        <v>2</v>
      </c>
      <c r="F74" s="423">
        <v>1</v>
      </c>
      <c r="G74" s="460">
        <v>770</v>
      </c>
      <c r="H74" s="424">
        <f t="shared" si="355"/>
      </c>
      <c r="I74" s="424">
        <f t="shared" si="3"/>
      </c>
      <c r="J74" s="424">
        <f t="shared" si="66"/>
      </c>
      <c r="K74" s="425">
        <f t="shared" si="106"/>
      </c>
      <c r="L74" s="426">
        <f t="shared" si="166"/>
      </c>
      <c r="M74" s="427">
        <f t="shared" si="136"/>
      </c>
      <c r="N74" s="427">
        <f t="shared" si="196"/>
      </c>
      <c r="O74" s="427">
        <f t="shared" si="249"/>
      </c>
      <c r="P74" s="428">
        <f t="shared" si="302"/>
      </c>
      <c r="Q74" s="429" t="s">
        <v>777</v>
      </c>
      <c r="R74" s="430" t="s">
        <v>778</v>
      </c>
      <c r="S74" s="436">
        <v>16121</v>
      </c>
      <c r="T74" s="436">
        <v>1372</v>
      </c>
      <c r="U74" s="436">
        <v>1752</v>
      </c>
      <c r="V74" s="436">
        <v>156</v>
      </c>
      <c r="W74" s="435">
        <v>4</v>
      </c>
      <c r="X74" s="435">
        <v>0</v>
      </c>
      <c r="Y74" s="448">
        <v>36</v>
      </c>
    </row>
    <row r="75">
      <c r="A75" s="420"/>
      <c r="B75" s="421" t="s">
        <v>789</v>
      </c>
      <c r="C75" s="451" t="s">
        <v>786</v>
      </c>
      <c r="D75" s="459">
        <v>2449.96</v>
      </c>
      <c r="E75" s="423">
        <v>7</v>
      </c>
      <c r="F75" s="423">
        <v>7</v>
      </c>
      <c r="G75" s="460">
        <v>6433</v>
      </c>
      <c r="H75" s="424">
        <f t="shared" si="355"/>
      </c>
      <c r="I75" s="424">
        <f t="shared" si="3"/>
      </c>
      <c r="J75" s="424">
        <f t="shared" si="66"/>
      </c>
      <c r="K75" s="425">
        <f t="shared" si="106"/>
      </c>
      <c r="L75" s="426">
        <f t="shared" si="166"/>
      </c>
      <c r="M75" s="427">
        <f t="shared" si="136"/>
      </c>
      <c r="N75" s="427">
        <f t="shared" si="196"/>
      </c>
      <c r="O75" s="427">
        <f t="shared" si="249"/>
      </c>
      <c r="P75" s="428">
        <f t="shared" si="302"/>
      </c>
      <c r="Q75" s="429" t="s">
        <v>777</v>
      </c>
      <c r="R75" s="430" t="s">
        <v>778</v>
      </c>
      <c r="S75" s="436">
        <v>13444</v>
      </c>
      <c r="T75" s="436">
        <v>902</v>
      </c>
      <c r="U75" s="436">
        <v>1155</v>
      </c>
      <c r="V75" s="436">
        <v>93</v>
      </c>
      <c r="W75" s="435">
        <v>8</v>
      </c>
      <c r="X75" s="435">
        <v>0</v>
      </c>
      <c r="Y75" s="448">
        <v>24</v>
      </c>
    </row>
    <row r="76">
      <c r="A76" s="420"/>
      <c r="B76" s="437" t="s">
        <v>774</v>
      </c>
      <c r="C76" s="437"/>
      <c r="D76" s="438">
        <f>SUM(D72:D75)</f>
      </c>
      <c r="E76" s="439">
        <f>SUM(E72:E75)</f>
      </c>
      <c r="F76" s="439">
        <f>SUM(F72:F75)</f>
      </c>
      <c r="G76" s="438">
        <f>SUM(G72:G75)</f>
      </c>
      <c r="H76" s="440">
        <f t="shared" si="355"/>
      </c>
      <c r="I76" s="441">
        <f t="shared" si="3"/>
      </c>
      <c r="J76" s="442">
        <f t="shared" si="66"/>
      </c>
      <c r="K76" s="443">
        <f t="shared" si="106"/>
      </c>
      <c r="L76" s="444">
        <f t="shared" si="166"/>
      </c>
      <c r="M76" s="443">
        <f t="shared" si="136"/>
      </c>
      <c r="N76" s="443">
        <f t="shared" si="196"/>
      </c>
      <c r="O76" s="445">
        <f t="shared" si="249"/>
      </c>
      <c r="P76" s="446">
        <f t="shared" si="302"/>
      </c>
      <c r="Q76" s="444"/>
      <c r="R76" s="444"/>
      <c r="S76" s="447">
        <f>SUM(S72:S75)</f>
      </c>
      <c r="T76" s="447">
        <f>SUM(T72:T75)</f>
      </c>
      <c r="U76" s="447">
        <f>SUM(U72:U75)</f>
      </c>
      <c r="V76" s="447">
        <f>SUM(V72:V75)</f>
      </c>
      <c r="W76" s="447">
        <f>SUM(W72:W75)</f>
      </c>
      <c r="X76" s="447">
        <f>SUM(X72:X75)</f>
      </c>
      <c r="Y76" s="447">
        <f>SUM(Y72:Y75)</f>
      </c>
    </row>
    <row r="77">
      <c r="A77" s="420"/>
      <c r="B77" s="452" t="s">
        <v>787</v>
      </c>
      <c r="C77" s="452"/>
      <c r="D77" s="466">
        <f>D61+D66+D76+D71</f>
      </c>
      <c r="E77" s="454">
        <f>E61+E66+E76+E71</f>
      </c>
      <c r="F77" s="454">
        <f>F61+F66+F76+F71</f>
      </c>
      <c r="G77" s="466">
        <f>G61+G66+G71+G76</f>
      </c>
      <c r="H77" s="452">
        <f t="shared" si="355"/>
      </c>
      <c r="I77" s="452">
        <f t="shared" si="3"/>
      </c>
      <c r="J77" s="452">
        <f t="shared" si="66"/>
      </c>
      <c r="K77" s="455">
        <f t="shared" si="106"/>
      </c>
      <c r="L77" s="452">
        <f t="shared" si="166"/>
      </c>
      <c r="M77" s="455">
        <f t="shared" si="136"/>
      </c>
      <c r="N77" s="455">
        <f t="shared" si="196"/>
      </c>
      <c r="O77" s="455">
        <f t="shared" si="249"/>
      </c>
      <c r="P77" s="452">
        <f t="shared" si="302"/>
      </c>
      <c r="Q77" s="456"/>
      <c r="R77" s="456"/>
      <c r="S77" s="454">
        <f>S61+S66+S76+S71</f>
      </c>
      <c r="T77" s="454">
        <f>T61+T66+T76+T71</f>
      </c>
      <c r="U77" s="454">
        <f>U61+U66+U76+U71</f>
      </c>
      <c r="V77" s="454">
        <f>V61+V66+V76+V71</f>
      </c>
      <c r="W77" s="454">
        <f>W61+W66+W76+W71</f>
      </c>
      <c r="X77" s="454">
        <f>X61+X66+X76+X71</f>
      </c>
      <c r="Y77" s="454">
        <f>Y61+Y66+Y76+Y71</f>
      </c>
    </row>
    <row r="78">
      <c r="A78" s="405" t="s">
        <v>738</v>
      </c>
      <c r="B78" s="405"/>
      <c r="C78" s="405"/>
      <c r="D78" s="406" t="s">
        <v>739</v>
      </c>
      <c r="E78" s="406"/>
      <c r="F78" s="406"/>
      <c r="G78" s="406"/>
      <c r="H78" s="406"/>
      <c r="I78" s="406"/>
      <c r="J78" s="406"/>
      <c r="K78" s="407" t="s">
        <v>740</v>
      </c>
      <c r="L78" s="407"/>
      <c r="M78" s="407"/>
      <c r="N78" s="407"/>
      <c r="O78" s="407"/>
      <c r="P78" s="407"/>
      <c r="Q78" s="407"/>
      <c r="R78" s="407"/>
      <c r="S78" s="408" t="s">
        <v>741</v>
      </c>
      <c r="T78" s="408"/>
      <c r="U78" s="408"/>
      <c r="V78" s="408"/>
      <c r="W78" s="408"/>
      <c r="X78" s="408"/>
      <c r="Y78" s="408"/>
    </row>
    <row r="79">
      <c r="A79" s="409" t="s">
        <v>742</v>
      </c>
      <c r="B79" s="409" t="s">
        <v>743</v>
      </c>
      <c r="C79" s="409" t="s">
        <v>744</v>
      </c>
      <c r="D79" s="410" t="s">
        <v>745</v>
      </c>
      <c r="E79" s="411" t="s">
        <v>746</v>
      </c>
      <c r="F79" s="463" t="s">
        <v>792</v>
      </c>
      <c r="G79" s="410" t="s">
        <v>747</v>
      </c>
      <c r="H79" s="412" t="s">
        <v>748</v>
      </c>
      <c r="I79" s="413" t="s">
        <v>749</v>
      </c>
      <c r="J79" s="410" t="s">
        <v>750</v>
      </c>
      <c r="K79" s="414" t="s">
        <v>751</v>
      </c>
      <c r="L79" s="415" t="s">
        <v>752</v>
      </c>
      <c r="M79" s="414" t="s">
        <v>753</v>
      </c>
      <c r="N79" s="414" t="s">
        <v>754</v>
      </c>
      <c r="O79" s="416" t="s">
        <v>755</v>
      </c>
      <c r="P79" s="416" t="s">
        <v>756</v>
      </c>
      <c r="Q79" s="417" t="s">
        <v>757</v>
      </c>
      <c r="R79" s="417" t="s">
        <v>758</v>
      </c>
      <c r="S79" s="431" t="s">
        <v>759</v>
      </c>
      <c r="T79" s="431" t="s">
        <v>760</v>
      </c>
      <c r="U79" s="431" t="s">
        <v>761</v>
      </c>
      <c r="V79" s="431" t="s">
        <v>762</v>
      </c>
      <c r="W79" s="431" t="s">
        <v>763</v>
      </c>
      <c r="X79" s="431" t="s">
        <v>764</v>
      </c>
      <c r="Y79" s="419" t="s">
        <v>765</v>
      </c>
    </row>
    <row r="80">
      <c r="A80" s="420" t="s">
        <v>799</v>
      </c>
      <c r="B80" s="421" t="s">
        <v>767</v>
      </c>
      <c r="C80" s="451" t="s">
        <v>794</v>
      </c>
      <c r="D80" s="421">
        <v>3447.93</v>
      </c>
      <c r="E80" s="423">
        <v>0</v>
      </c>
      <c r="F80" s="423">
        <v>0</v>
      </c>
      <c r="G80" s="467">
        <v>0</v>
      </c>
      <c r="H80" s="424">
        <f t="shared" ref="H80:H100" si="356">G80/D80</f>
      </c>
      <c r="I80" s="424">
        <f t="shared" ref="I80:I100" si="4">D80/E80</f>
      </c>
      <c r="J80" s="424">
        <f t="shared" ref="J80:J100" si="67">G80/E80</f>
      </c>
      <c r="K80" s="425">
        <f t="shared" ref="K80:K100" si="107">T80/S80</f>
      </c>
      <c r="L80" s="426">
        <f t="shared" ref="L80:L100" si="167">D80/U80</f>
      </c>
      <c r="M80" s="427">
        <f t="shared" ref="M80:M100" si="137">V80/U80</f>
      </c>
      <c r="N80" s="427">
        <f t="shared" ref="N80:N100" si="197">E80/W80</f>
      </c>
      <c r="O80" s="427">
        <f t="shared" ref="O80:O100" si="250">X80/E80</f>
      </c>
      <c r="P80" s="428">
        <f t="shared" ref="P80:P100" si="303">(Y80*1000)/D80</f>
      </c>
      <c r="Q80" s="429" t="s">
        <v>769</v>
      </c>
      <c r="R80" s="430" t="s">
        <v>800</v>
      </c>
      <c r="S80" s="461">
        <v>12232</v>
      </c>
      <c r="T80" s="461">
        <v>1423</v>
      </c>
      <c r="U80" s="461">
        <v>1787</v>
      </c>
      <c r="V80" s="461">
        <v>153</v>
      </c>
      <c r="W80" s="461">
        <v>1</v>
      </c>
      <c r="X80" s="461">
        <v>0</v>
      </c>
      <c r="Y80" s="461">
        <v>39</v>
      </c>
    </row>
    <row r="81">
      <c r="A81" s="420"/>
      <c r="B81" s="421" t="s">
        <v>767</v>
      </c>
      <c r="C81" s="421" t="s">
        <v>796</v>
      </c>
      <c r="D81" s="421">
        <v>1442.21</v>
      </c>
      <c r="E81" s="423">
        <v>2</v>
      </c>
      <c r="F81" s="423">
        <v>1</v>
      </c>
      <c r="G81" s="467">
        <v>1166.1</v>
      </c>
      <c r="H81" s="424">
        <f t="shared" si="356"/>
      </c>
      <c r="I81" s="424">
        <f t="shared" si="4"/>
      </c>
      <c r="J81" s="424">
        <f t="shared" si="67"/>
      </c>
      <c r="K81" s="425">
        <f t="shared" si="107"/>
      </c>
      <c r="L81" s="426">
        <f t="shared" si="167"/>
      </c>
      <c r="M81" s="427">
        <f t="shared" si="137"/>
      </c>
      <c r="N81" s="427">
        <f t="shared" si="197"/>
      </c>
      <c r="O81" s="427">
        <f t="shared" si="250"/>
      </c>
      <c r="P81" s="428">
        <f t="shared" si="303"/>
      </c>
      <c r="Q81" s="429" t="s">
        <v>769</v>
      </c>
      <c r="R81" s="430" t="s">
        <v>800</v>
      </c>
      <c r="S81" s="461">
        <v>3605</v>
      </c>
      <c r="T81" s="461">
        <v>363</v>
      </c>
      <c r="U81" s="461">
        <v>548</v>
      </c>
      <c r="V81" s="461">
        <v>49</v>
      </c>
      <c r="W81" s="461">
        <v>2</v>
      </c>
      <c r="X81" s="461">
        <v>1</v>
      </c>
      <c r="Y81" s="461">
        <v>13</v>
      </c>
    </row>
    <row r="82">
      <c r="A82" s="420"/>
      <c r="B82" s="421" t="s">
        <v>767</v>
      </c>
      <c r="C82" s="421" t="s">
        <v>797</v>
      </c>
      <c r="D82" s="421">
        <v>2084.02</v>
      </c>
      <c r="E82" s="423">
        <v>2</v>
      </c>
      <c r="F82" s="423">
        <v>1</v>
      </c>
      <c r="G82" s="467">
        <v>1850.4</v>
      </c>
      <c r="H82" s="424">
        <f t="shared" si="356"/>
      </c>
      <c r="I82" s="424">
        <f t="shared" si="4"/>
      </c>
      <c r="J82" s="424">
        <f t="shared" si="67"/>
      </c>
      <c r="K82" s="425">
        <f t="shared" si="107"/>
      </c>
      <c r="L82" s="426">
        <f t="shared" si="167"/>
      </c>
      <c r="M82" s="427">
        <f t="shared" si="137"/>
      </c>
      <c r="N82" s="427">
        <f t="shared" si="197"/>
      </c>
      <c r="O82" s="427">
        <f t="shared" si="250"/>
      </c>
      <c r="P82" s="428">
        <f t="shared" si="303"/>
      </c>
      <c r="Q82" s="429" t="s">
        <v>769</v>
      </c>
      <c r="R82" s="430" t="s">
        <v>800</v>
      </c>
      <c r="S82" s="461">
        <v>4245</v>
      </c>
      <c r="T82" s="461">
        <v>562</v>
      </c>
      <c r="U82" s="461">
        <v>798</v>
      </c>
      <c r="V82" s="461">
        <v>84</v>
      </c>
      <c r="W82" s="461">
        <v>3</v>
      </c>
      <c r="X82" s="461">
        <v>0</v>
      </c>
      <c r="Y82" s="461">
        <v>23</v>
      </c>
    </row>
    <row r="83">
      <c r="A83" s="420"/>
      <c r="B83" s="421" t="s">
        <v>767</v>
      </c>
      <c r="C83" s="421" t="s">
        <v>798</v>
      </c>
      <c r="D83" s="421">
        <v>2897.24</v>
      </c>
      <c r="E83" s="423">
        <v>5</v>
      </c>
      <c r="F83" s="423">
        <v>3</v>
      </c>
      <c r="G83" s="462">
        <v>8540.8</v>
      </c>
      <c r="H83" s="424">
        <f t="shared" si="356"/>
      </c>
      <c r="I83" s="424">
        <f t="shared" si="4"/>
      </c>
      <c r="J83" s="424">
        <f t="shared" si="67"/>
      </c>
      <c r="K83" s="425">
        <f t="shared" si="107"/>
      </c>
      <c r="L83" s="426">
        <f t="shared" si="167"/>
      </c>
      <c r="M83" s="427">
        <f t="shared" si="137"/>
      </c>
      <c r="N83" s="427">
        <f t="shared" si="197"/>
      </c>
      <c r="O83" s="427">
        <f t="shared" si="250"/>
      </c>
      <c r="P83" s="428">
        <f t="shared" si="303"/>
      </c>
      <c r="Q83" s="429" t="s">
        <v>769</v>
      </c>
      <c r="R83" s="430" t="s">
        <v>800</v>
      </c>
      <c r="S83" s="461">
        <v>6229</v>
      </c>
      <c r="T83" s="461">
        <v>751</v>
      </c>
      <c r="U83" s="461">
        <v>1073</v>
      </c>
      <c r="V83" s="461">
        <v>138</v>
      </c>
      <c r="W83" s="461">
        <v>7</v>
      </c>
      <c r="X83" s="435">
        <v>1</v>
      </c>
      <c r="Y83" s="435">
        <v>37</v>
      </c>
    </row>
    <row r="84">
      <c r="A84" s="420"/>
      <c r="B84" s="437" t="s">
        <v>774</v>
      </c>
      <c r="C84" s="437"/>
      <c r="D84" s="438">
        <f>SUM(D80:D83)</f>
      </c>
      <c r="E84" s="439">
        <f>SUM(E80:E83)</f>
      </c>
      <c r="F84" s="439">
        <f>SUM(F80:F83)</f>
      </c>
      <c r="G84" s="438">
        <f>SUM(G80:G83)</f>
      </c>
      <c r="H84" s="440">
        <f t="shared" si="356"/>
      </c>
      <c r="I84" s="441">
        <f t="shared" si="4"/>
      </c>
      <c r="J84" s="442">
        <f t="shared" si="67"/>
      </c>
      <c r="K84" s="443">
        <f t="shared" si="107"/>
      </c>
      <c r="L84" s="444">
        <f t="shared" si="167"/>
      </c>
      <c r="M84" s="443">
        <f t="shared" si="137"/>
      </c>
      <c r="N84" s="443">
        <f t="shared" si="197"/>
      </c>
      <c r="O84" s="445">
        <f t="shared" si="250"/>
      </c>
      <c r="P84" s="446">
        <f t="shared" si="303"/>
      </c>
      <c r="Q84" s="444"/>
      <c r="R84" s="444"/>
      <c r="S84" s="447">
        <f>SUM(S80:S83)</f>
      </c>
      <c r="T84" s="447">
        <f>SUM(T80:T83)</f>
      </c>
      <c r="U84" s="447">
        <f>SUM(U80:U83)</f>
      </c>
      <c r="V84" s="447">
        <f>SUM(V80:V83)</f>
      </c>
      <c r="W84" s="447">
        <f>SUM(W80:W83)</f>
      </c>
      <c r="X84" s="447">
        <f>SUM(X80:X83)</f>
      </c>
      <c r="Y84" s="447">
        <f>SUM(Y80:Y83)</f>
      </c>
    </row>
    <row r="85">
      <c r="A85" s="420"/>
      <c r="B85" s="421" t="s">
        <v>775</v>
      </c>
      <c r="C85" s="422" t="s">
        <v>768</v>
      </c>
      <c r="D85" s="421">
        <v>3039.86</v>
      </c>
      <c r="E85" s="423">
        <v>5</v>
      </c>
      <c r="F85" s="423">
        <v>5</v>
      </c>
      <c r="G85" s="468">
        <v>8191.2</v>
      </c>
      <c r="H85" s="424">
        <f t="shared" si="356"/>
      </c>
      <c r="I85" s="424">
        <f t="shared" si="4"/>
      </c>
      <c r="J85" s="424">
        <f t="shared" si="67"/>
      </c>
      <c r="K85" s="425">
        <f t="shared" si="107"/>
      </c>
      <c r="L85" s="426">
        <f t="shared" si="167"/>
      </c>
      <c r="M85" s="427">
        <f t="shared" si="137"/>
      </c>
      <c r="N85" s="427">
        <f t="shared" si="197"/>
      </c>
      <c r="O85" s="427">
        <f t="shared" si="250"/>
      </c>
      <c r="P85" s="428">
        <f t="shared" si="303"/>
      </c>
      <c r="Q85" s="429" t="s">
        <v>777</v>
      </c>
      <c r="R85" s="430" t="s">
        <v>800</v>
      </c>
      <c r="S85" s="436">
        <v>8606</v>
      </c>
      <c r="T85" s="436">
        <v>862</v>
      </c>
      <c r="U85" s="436">
        <v>1168</v>
      </c>
      <c r="V85" s="436">
        <v>131</v>
      </c>
      <c r="W85" s="435">
        <v>5</v>
      </c>
      <c r="X85" s="435">
        <v>1</v>
      </c>
      <c r="Y85" s="448">
        <v>53</v>
      </c>
    </row>
    <row r="86">
      <c r="A86" s="420"/>
      <c r="B86" s="421" t="s">
        <v>775</v>
      </c>
      <c r="C86" s="433" t="s">
        <v>771</v>
      </c>
      <c r="D86" s="421">
        <v>3528.99</v>
      </c>
      <c r="E86" s="423">
        <v>3</v>
      </c>
      <c r="F86" s="423">
        <v>2</v>
      </c>
      <c r="G86" s="468">
        <v>3048</v>
      </c>
      <c r="H86" s="424">
        <f t="shared" si="356"/>
      </c>
      <c r="I86" s="424">
        <f t="shared" si="4"/>
      </c>
      <c r="J86" s="424">
        <f t="shared" si="67"/>
      </c>
      <c r="K86" s="425">
        <f t="shared" si="107"/>
      </c>
      <c r="L86" s="426">
        <f t="shared" si="167"/>
      </c>
      <c r="M86" s="427">
        <f t="shared" si="137"/>
      </c>
      <c r="N86" s="427">
        <f t="shared" si="197"/>
      </c>
      <c r="O86" s="427">
        <f t="shared" si="250"/>
      </c>
      <c r="P86" s="428">
        <f t="shared" si="303"/>
      </c>
      <c r="Q86" s="429" t="s">
        <v>777</v>
      </c>
      <c r="R86" s="430" t="s">
        <v>800</v>
      </c>
      <c r="S86" s="436">
        <v>8821</v>
      </c>
      <c r="T86" s="436">
        <v>925</v>
      </c>
      <c r="U86" s="436">
        <v>1232</v>
      </c>
      <c r="V86" s="436">
        <v>121</v>
      </c>
      <c r="W86" s="435">
        <v>3</v>
      </c>
      <c r="X86" s="435">
        <v>0</v>
      </c>
      <c r="Y86" s="448">
        <v>30</v>
      </c>
    </row>
    <row r="87">
      <c r="A87" s="420"/>
      <c r="B87" s="421" t="s">
        <v>775</v>
      </c>
      <c r="C87" s="433" t="s">
        <v>772</v>
      </c>
      <c r="D87" s="421">
        <v>2943.54</v>
      </c>
      <c r="E87" s="423">
        <v>0</v>
      </c>
      <c r="F87" s="423">
        <v>0</v>
      </c>
      <c r="G87" s="467">
        <v>0</v>
      </c>
      <c r="H87" s="424">
        <f t="shared" si="356"/>
      </c>
      <c r="I87" s="424">
        <f t="shared" si="4"/>
      </c>
      <c r="J87" s="424">
        <f t="shared" si="67"/>
      </c>
      <c r="K87" s="425">
        <f t="shared" si="107"/>
      </c>
      <c r="L87" s="426">
        <f t="shared" si="167"/>
      </c>
      <c r="M87" s="427">
        <f t="shared" si="137"/>
      </c>
      <c r="N87" s="427">
        <f t="shared" si="197"/>
      </c>
      <c r="O87" s="427">
        <f t="shared" si="250"/>
      </c>
      <c r="P87" s="428">
        <f t="shared" si="303"/>
      </c>
      <c r="Q87" s="429" t="s">
        <v>777</v>
      </c>
      <c r="R87" s="430" t="s">
        <v>800</v>
      </c>
      <c r="S87" s="436">
        <v>7142</v>
      </c>
      <c r="T87" s="436">
        <v>493</v>
      </c>
      <c r="U87" s="436">
        <v>664</v>
      </c>
      <c r="V87" s="436">
        <v>82</v>
      </c>
      <c r="W87" s="435">
        <v>0</v>
      </c>
      <c r="X87" s="435">
        <v>0</v>
      </c>
      <c r="Y87" s="448">
        <v>21</v>
      </c>
    </row>
    <row r="88">
      <c r="A88" s="420"/>
      <c r="B88" s="421" t="s">
        <v>775</v>
      </c>
      <c r="C88" s="433" t="s">
        <v>773</v>
      </c>
      <c r="D88" s="421">
        <v>1791.79</v>
      </c>
      <c r="E88" s="423">
        <v>0</v>
      </c>
      <c r="F88" s="423">
        <v>0</v>
      </c>
      <c r="G88" s="467">
        <v>0</v>
      </c>
      <c r="H88" s="424">
        <f t="shared" si="356"/>
      </c>
      <c r="I88" s="424">
        <f t="shared" si="4"/>
      </c>
      <c r="J88" s="424">
        <f t="shared" si="67"/>
      </c>
      <c r="K88" s="425">
        <f t="shared" si="107"/>
      </c>
      <c r="L88" s="426">
        <f t="shared" si="167"/>
      </c>
      <c r="M88" s="427">
        <f t="shared" si="137"/>
      </c>
      <c r="N88" s="427">
        <f t="shared" si="197"/>
      </c>
      <c r="O88" s="427">
        <f t="shared" si="250"/>
      </c>
      <c r="P88" s="428">
        <f t="shared" si="303"/>
      </c>
      <c r="Q88" s="429" t="s">
        <v>777</v>
      </c>
      <c r="R88" s="430" t="s">
        <v>800</v>
      </c>
      <c r="S88" s="436">
        <v>7991</v>
      </c>
      <c r="T88" s="436">
        <v>706</v>
      </c>
      <c r="U88" s="436">
        <v>962</v>
      </c>
      <c r="V88" s="436">
        <v>100</v>
      </c>
      <c r="W88" s="435">
        <v>0</v>
      </c>
      <c r="X88" s="435">
        <v>0</v>
      </c>
      <c r="Y88" s="448">
        <v>19</v>
      </c>
    </row>
    <row r="89">
      <c r="A89" s="420"/>
      <c r="B89" s="437" t="s">
        <v>774</v>
      </c>
      <c r="C89" s="437"/>
      <c r="D89" s="438">
        <f>SUM(D85:D88)</f>
      </c>
      <c r="E89" s="439">
        <f>SUM(E85:E88)</f>
      </c>
      <c r="F89" s="439">
        <f>SUM(F85:F88)</f>
      </c>
      <c r="G89" s="438">
        <f>SUM(G85:G88)</f>
      </c>
      <c r="H89" s="440">
        <f t="shared" si="356"/>
      </c>
      <c r="I89" s="441">
        <f t="shared" si="4"/>
      </c>
      <c r="J89" s="442">
        <f t="shared" si="67"/>
      </c>
      <c r="K89" s="443">
        <f t="shared" si="107"/>
      </c>
      <c r="L89" s="444">
        <f t="shared" si="167"/>
      </c>
      <c r="M89" s="443">
        <f t="shared" si="137"/>
      </c>
      <c r="N89" s="443">
        <f t="shared" si="197"/>
      </c>
      <c r="O89" s="445">
        <f t="shared" si="250"/>
      </c>
      <c r="P89" s="446">
        <f t="shared" si="303"/>
      </c>
      <c r="Q89" s="444"/>
      <c r="R89" s="444"/>
      <c r="S89" s="447">
        <f>SUM(S85:S88)</f>
      </c>
      <c r="T89" s="447">
        <f>SUM(T85:T88)</f>
      </c>
      <c r="U89" s="447">
        <f>SUM(U85:U88)</f>
      </c>
      <c r="V89" s="447">
        <f>SUM(V85:V88)</f>
      </c>
      <c r="W89" s="447">
        <f>SUM(W85:W88)</f>
      </c>
      <c r="X89" s="447">
        <f>SUM(X85:X88)</f>
      </c>
      <c r="Y89" s="447">
        <f>SUM(Y85:Y88)</f>
      </c>
    </row>
    <row r="90">
      <c r="A90" s="420"/>
      <c r="B90" s="421" t="s">
        <v>789</v>
      </c>
      <c r="C90" s="433" t="s">
        <v>776</v>
      </c>
      <c r="D90" s="459">
        <v>2328.48</v>
      </c>
      <c r="E90" s="423">
        <v>1</v>
      </c>
      <c r="F90" s="423">
        <v>1</v>
      </c>
      <c r="G90" s="460">
        <v>652.8</v>
      </c>
      <c r="H90" s="424">
        <f t="shared" si="356"/>
      </c>
      <c r="I90" s="424">
        <f t="shared" si="4"/>
      </c>
      <c r="J90" s="424">
        <f t="shared" si="67"/>
      </c>
      <c r="K90" s="425">
        <f t="shared" si="107"/>
      </c>
      <c r="L90" s="426">
        <f t="shared" si="167"/>
      </c>
      <c r="M90" s="427">
        <f t="shared" si="137"/>
      </c>
      <c r="N90" s="427">
        <f t="shared" si="197"/>
      </c>
      <c r="O90" s="427">
        <f t="shared" si="250"/>
      </c>
      <c r="P90" s="428">
        <f t="shared" si="303"/>
      </c>
      <c r="Q90" s="429" t="s">
        <v>777</v>
      </c>
      <c r="R90" s="430" t="s">
        <v>778</v>
      </c>
      <c r="S90" s="436">
        <v>9536</v>
      </c>
      <c r="T90" s="436">
        <v>889</v>
      </c>
      <c r="U90" s="436">
        <v>1180</v>
      </c>
      <c r="V90" s="436">
        <v>122</v>
      </c>
      <c r="W90" s="435">
        <v>3</v>
      </c>
      <c r="X90" s="435">
        <v>0</v>
      </c>
      <c r="Y90" s="448">
        <v>23</v>
      </c>
    </row>
    <row r="91">
      <c r="A91" s="420"/>
      <c r="B91" s="421" t="s">
        <v>789</v>
      </c>
      <c r="C91" s="422" t="s">
        <v>779</v>
      </c>
      <c r="D91" s="449">
        <v>1795.47</v>
      </c>
      <c r="E91" s="423">
        <v>1</v>
      </c>
      <c r="F91" s="423">
        <v>1</v>
      </c>
      <c r="G91" s="460">
        <v>652.8</v>
      </c>
      <c r="H91" s="424">
        <f t="shared" si="356"/>
      </c>
      <c r="I91" s="424">
        <f t="shared" si="4"/>
      </c>
      <c r="J91" s="424">
        <f t="shared" si="67"/>
      </c>
      <c r="K91" s="425">
        <f t="shared" si="107"/>
      </c>
      <c r="L91" s="426">
        <f t="shared" si="167"/>
      </c>
      <c r="M91" s="427">
        <f t="shared" si="137"/>
      </c>
      <c r="N91" s="427">
        <f t="shared" si="197"/>
      </c>
      <c r="O91" s="427">
        <f t="shared" si="250"/>
      </c>
      <c r="P91" s="428">
        <f t="shared" si="303"/>
      </c>
      <c r="Q91" s="429" t="s">
        <v>777</v>
      </c>
      <c r="R91" s="430" t="s">
        <v>778</v>
      </c>
      <c r="S91" s="436">
        <v>9571</v>
      </c>
      <c r="T91" s="436">
        <v>841</v>
      </c>
      <c r="U91" s="436">
        <v>1135</v>
      </c>
      <c r="V91" s="436">
        <v>101</v>
      </c>
      <c r="W91" s="435">
        <v>2</v>
      </c>
      <c r="X91" s="435">
        <v>0</v>
      </c>
      <c r="Y91" s="448">
        <v>28</v>
      </c>
    </row>
    <row r="92">
      <c r="A92" s="420"/>
      <c r="B92" s="421" t="s">
        <v>789</v>
      </c>
      <c r="C92" s="422" t="s">
        <v>780</v>
      </c>
      <c r="D92" s="459">
        <v>1736.33</v>
      </c>
      <c r="E92" s="423">
        <v>3</v>
      </c>
      <c r="F92" s="423">
        <v>2</v>
      </c>
      <c r="G92" s="460">
        <v>2001.6</v>
      </c>
      <c r="H92" s="424">
        <f t="shared" si="356"/>
      </c>
      <c r="I92" s="424">
        <f t="shared" si="4"/>
      </c>
      <c r="J92" s="424">
        <f t="shared" si="67"/>
      </c>
      <c r="K92" s="425">
        <f t="shared" si="107"/>
      </c>
      <c r="L92" s="426">
        <f t="shared" si="167"/>
      </c>
      <c r="M92" s="427">
        <f t="shared" si="137"/>
      </c>
      <c r="N92" s="427">
        <f t="shared" si="197"/>
      </c>
      <c r="O92" s="427">
        <f t="shared" si="250"/>
      </c>
      <c r="P92" s="428">
        <f t="shared" si="303"/>
      </c>
      <c r="Q92" s="429" t="s">
        <v>777</v>
      </c>
      <c r="R92" s="430" t="s">
        <v>778</v>
      </c>
      <c r="S92" s="436">
        <v>9749</v>
      </c>
      <c r="T92" s="436">
        <v>843</v>
      </c>
      <c r="U92" s="436">
        <v>1161</v>
      </c>
      <c r="V92" s="436">
        <v>122</v>
      </c>
      <c r="W92" s="435">
        <v>5</v>
      </c>
      <c r="X92" s="435">
        <v>0</v>
      </c>
      <c r="Y92" s="448">
        <v>23</v>
      </c>
    </row>
    <row r="93">
      <c r="A93" s="420"/>
      <c r="B93" s="421" t="s">
        <v>789</v>
      </c>
      <c r="C93" s="422" t="s">
        <v>781</v>
      </c>
      <c r="D93" s="459">
        <v>2833.55</v>
      </c>
      <c r="E93" s="423">
        <v>4</v>
      </c>
      <c r="F93" s="423">
        <v>3</v>
      </c>
      <c r="G93" s="460">
        <v>3936</v>
      </c>
      <c r="H93" s="424">
        <f t="shared" si="356"/>
      </c>
      <c r="I93" s="424">
        <f t="shared" si="4"/>
      </c>
      <c r="J93" s="424">
        <f t="shared" si="67"/>
      </c>
      <c r="K93" s="425">
        <f t="shared" si="107"/>
      </c>
      <c r="L93" s="426">
        <f t="shared" si="167"/>
      </c>
      <c r="M93" s="427">
        <f t="shared" si="137"/>
      </c>
      <c r="N93" s="427">
        <f t="shared" si="197"/>
      </c>
      <c r="O93" s="427">
        <f t="shared" si="250"/>
      </c>
      <c r="P93" s="428">
        <f t="shared" si="303"/>
      </c>
      <c r="Q93" s="429" t="s">
        <v>777</v>
      </c>
      <c r="R93" s="430" t="s">
        <v>778</v>
      </c>
      <c r="S93" s="436">
        <v>12356</v>
      </c>
      <c r="T93" s="436">
        <v>1255</v>
      </c>
      <c r="U93" s="436">
        <v>1702</v>
      </c>
      <c r="V93" s="436">
        <v>116</v>
      </c>
      <c r="W93" s="435">
        <v>6</v>
      </c>
      <c r="X93" s="435">
        <v>1</v>
      </c>
      <c r="Y93" s="448">
        <v>10</v>
      </c>
    </row>
    <row r="94">
      <c r="A94" s="420"/>
      <c r="B94" s="437" t="s">
        <v>774</v>
      </c>
      <c r="C94" s="437"/>
      <c r="D94" s="438">
        <f>SUM(D90:D93)</f>
      </c>
      <c r="E94" s="439">
        <f>SUM(E90:E93)</f>
      </c>
      <c r="F94" s="439">
        <f>SUM(F90:F93)</f>
      </c>
      <c r="G94" s="438">
        <f>SUM(G90:G93)</f>
      </c>
      <c r="H94" s="440">
        <f t="shared" si="356"/>
      </c>
      <c r="I94" s="441">
        <f t="shared" si="4"/>
      </c>
      <c r="J94" s="442">
        <f t="shared" si="67"/>
      </c>
      <c r="K94" s="443">
        <f t="shared" si="107"/>
      </c>
      <c r="L94" s="444">
        <f t="shared" si="167"/>
      </c>
      <c r="M94" s="443">
        <f t="shared" si="137"/>
      </c>
      <c r="N94" s="443">
        <f t="shared" si="197"/>
      </c>
      <c r="O94" s="445">
        <f t="shared" si="250"/>
      </c>
      <c r="P94" s="446">
        <f t="shared" si="303"/>
      </c>
      <c r="Q94" s="444"/>
      <c r="R94" s="444"/>
      <c r="S94" s="447">
        <f>SUM(S90:S93)</f>
      </c>
      <c r="T94" s="447">
        <f>SUM(T90:T93)</f>
      </c>
      <c r="U94" s="447">
        <f>SUM(U90:U93)</f>
      </c>
      <c r="V94" s="447">
        <f>SUM(V90:V93)</f>
      </c>
      <c r="W94" s="447">
        <f>SUM(W90:W93)</f>
      </c>
      <c r="X94" s="447">
        <f>SUM(X90:X93)</f>
      </c>
      <c r="Y94" s="447">
        <f>SUM(Y90:Y93)</f>
      </c>
    </row>
    <row r="95">
      <c r="A95" s="420"/>
      <c r="B95" s="421" t="s">
        <v>782</v>
      </c>
      <c r="C95" s="422" t="s">
        <v>783</v>
      </c>
      <c r="D95" s="459">
        <v>3051.82</v>
      </c>
      <c r="E95" s="423">
        <v>3</v>
      </c>
      <c r="F95" s="423">
        <v>3</v>
      </c>
      <c r="G95" s="460">
        <v>1707.6</v>
      </c>
      <c r="H95" s="424">
        <f t="shared" si="356"/>
      </c>
      <c r="I95" s="424">
        <f t="shared" si="4"/>
      </c>
      <c r="J95" s="424">
        <f t="shared" si="67"/>
      </c>
      <c r="K95" s="425">
        <f t="shared" si="107"/>
      </c>
      <c r="L95" s="426">
        <f t="shared" si="167"/>
      </c>
      <c r="M95" s="427">
        <f t="shared" si="137"/>
      </c>
      <c r="N95" s="427">
        <f t="shared" si="197"/>
      </c>
      <c r="O95" s="427">
        <f t="shared" si="250"/>
      </c>
      <c r="P95" s="428">
        <f t="shared" si="303"/>
      </c>
      <c r="Q95" s="429" t="s">
        <v>777</v>
      </c>
      <c r="R95" s="430" t="s">
        <v>778</v>
      </c>
      <c r="S95" s="436">
        <v>14673</v>
      </c>
      <c r="T95" s="436">
        <v>1468</v>
      </c>
      <c r="U95" s="436">
        <v>1958</v>
      </c>
      <c r="V95" s="436">
        <v>168</v>
      </c>
      <c r="W95" s="435">
        <v>4</v>
      </c>
      <c r="X95" s="435">
        <v>0</v>
      </c>
      <c r="Y95" s="448">
        <v>58</v>
      </c>
    </row>
    <row r="96">
      <c r="A96" s="420"/>
      <c r="B96" s="421" t="s">
        <v>782</v>
      </c>
      <c r="C96" s="451" t="s">
        <v>784</v>
      </c>
      <c r="D96" s="459">
        <v>1803.78</v>
      </c>
      <c r="E96" s="423">
        <v>3</v>
      </c>
      <c r="F96" s="423">
        <v>3</v>
      </c>
      <c r="G96" s="460">
        <v>3048</v>
      </c>
      <c r="H96" s="424">
        <f t="shared" si="356"/>
      </c>
      <c r="I96" s="424">
        <f t="shared" si="4"/>
      </c>
      <c r="J96" s="424">
        <f t="shared" si="67"/>
      </c>
      <c r="K96" s="425">
        <f t="shared" si="107"/>
      </c>
      <c r="L96" s="426">
        <f t="shared" si="167"/>
      </c>
      <c r="M96" s="427">
        <f t="shared" si="137"/>
      </c>
      <c r="N96" s="427">
        <f t="shared" si="197"/>
      </c>
      <c r="O96" s="427">
        <f t="shared" si="250"/>
      </c>
      <c r="P96" s="428">
        <f t="shared" si="303"/>
      </c>
      <c r="Q96" s="429" t="s">
        <v>777</v>
      </c>
      <c r="R96" s="430" t="s">
        <v>778</v>
      </c>
      <c r="S96" s="436">
        <v>11338</v>
      </c>
      <c r="T96" s="436">
        <v>815</v>
      </c>
      <c r="U96" s="436">
        <v>1189</v>
      </c>
      <c r="V96" s="436">
        <v>131</v>
      </c>
      <c r="W96" s="435">
        <v>3</v>
      </c>
      <c r="X96" s="435">
        <v>0</v>
      </c>
      <c r="Y96" s="448">
        <v>25</v>
      </c>
    </row>
    <row r="97">
      <c r="A97" s="420"/>
      <c r="B97" s="421" t="s">
        <v>782</v>
      </c>
      <c r="C97" s="451" t="s">
        <v>785</v>
      </c>
      <c r="D97" s="459">
        <v>3083.43</v>
      </c>
      <c r="E97" s="423">
        <v>4</v>
      </c>
      <c r="F97" s="423">
        <v>3</v>
      </c>
      <c r="G97" s="460">
        <v>2850.4</v>
      </c>
      <c r="H97" s="424">
        <f t="shared" si="356"/>
      </c>
      <c r="I97" s="424">
        <f t="shared" si="4"/>
      </c>
      <c r="J97" s="424">
        <f t="shared" si="67"/>
      </c>
      <c r="K97" s="425">
        <f t="shared" si="107"/>
      </c>
      <c r="L97" s="426">
        <f t="shared" si="167"/>
      </c>
      <c r="M97" s="427">
        <f t="shared" si="137"/>
      </c>
      <c r="N97" s="427">
        <f t="shared" si="197"/>
      </c>
      <c r="O97" s="427">
        <f t="shared" si="250"/>
      </c>
      <c r="P97" s="428">
        <f t="shared" si="303"/>
      </c>
      <c r="Q97" s="429" t="s">
        <v>777</v>
      </c>
      <c r="R97" s="430" t="s">
        <v>778</v>
      </c>
      <c r="S97" s="436">
        <v>20650</v>
      </c>
      <c r="T97" s="436">
        <v>1682</v>
      </c>
      <c r="U97" s="436">
        <v>2215</v>
      </c>
      <c r="V97" s="436">
        <v>167</v>
      </c>
      <c r="W97" s="435">
        <v>6</v>
      </c>
      <c r="X97" s="435">
        <v>0</v>
      </c>
      <c r="Y97" s="448">
        <v>37</v>
      </c>
    </row>
    <row r="98">
      <c r="A98" s="420"/>
      <c r="B98" s="421" t="s">
        <v>782</v>
      </c>
      <c r="C98" s="451" t="s">
        <v>786</v>
      </c>
      <c r="D98" s="459">
        <v>1828.47</v>
      </c>
      <c r="E98" s="423">
        <v>8</v>
      </c>
      <c r="F98" s="423">
        <v>4</v>
      </c>
      <c r="G98" s="460">
        <v>10510.8</v>
      </c>
      <c r="H98" s="424">
        <f t="shared" si="356"/>
      </c>
      <c r="I98" s="424">
        <f t="shared" si="4"/>
      </c>
      <c r="J98" s="424">
        <f t="shared" si="67"/>
      </c>
      <c r="K98" s="425">
        <f t="shared" si="107"/>
      </c>
      <c r="L98" s="426">
        <f t="shared" si="167"/>
      </c>
      <c r="M98" s="427">
        <f t="shared" si="137"/>
      </c>
      <c r="N98" s="427">
        <f t="shared" si="197"/>
      </c>
      <c r="O98" s="427">
        <f t="shared" si="250"/>
      </c>
      <c r="P98" s="428">
        <f t="shared" si="303"/>
      </c>
      <c r="Q98" s="429" t="s">
        <v>777</v>
      </c>
      <c r="R98" s="430" t="s">
        <v>778</v>
      </c>
      <c r="S98" s="436">
        <v>11880</v>
      </c>
      <c r="T98" s="436">
        <v>963</v>
      </c>
      <c r="U98" s="436">
        <v>1299</v>
      </c>
      <c r="V98" s="436">
        <v>71</v>
      </c>
      <c r="W98" s="435">
        <v>9</v>
      </c>
      <c r="X98" s="435">
        <v>2</v>
      </c>
      <c r="Y98" s="448">
        <v>20</v>
      </c>
    </row>
    <row r="99">
      <c r="A99" s="420"/>
      <c r="B99" s="437" t="s">
        <v>774</v>
      </c>
      <c r="C99" s="437"/>
      <c r="D99" s="438">
        <f>SUM(D95:D98)</f>
      </c>
      <c r="E99" s="439">
        <f>SUM(E95:E98)</f>
      </c>
      <c r="F99" s="439">
        <f>SUM(F95:F98)</f>
      </c>
      <c r="G99" s="438">
        <f>SUM(G95:G98)</f>
      </c>
      <c r="H99" s="440">
        <f t="shared" si="356"/>
      </c>
      <c r="I99" s="441">
        <f t="shared" si="4"/>
      </c>
      <c r="J99" s="442">
        <f t="shared" si="67"/>
      </c>
      <c r="K99" s="443">
        <f t="shared" si="107"/>
      </c>
      <c r="L99" s="444">
        <f t="shared" si="167"/>
      </c>
      <c r="M99" s="443">
        <f t="shared" si="137"/>
      </c>
      <c r="N99" s="443">
        <f t="shared" si="197"/>
      </c>
      <c r="O99" s="445">
        <f t="shared" si="250"/>
      </c>
      <c r="P99" s="446">
        <f t="shared" si="303"/>
      </c>
      <c r="Q99" s="444"/>
      <c r="R99" s="444"/>
      <c r="S99" s="447">
        <f>SUM(S95:S98)</f>
      </c>
      <c r="T99" s="447">
        <f>SUM(T95:T98)</f>
      </c>
      <c r="U99" s="447">
        <f>SUM(U95:U98)</f>
      </c>
      <c r="V99" s="447">
        <f>SUM(V95:V98)</f>
      </c>
      <c r="W99" s="447">
        <f>SUM(W95:W98)</f>
      </c>
      <c r="X99" s="447">
        <f>SUM(X95:X98)</f>
      </c>
      <c r="Y99" s="447">
        <f>SUM(Y95:Y98)</f>
      </c>
    </row>
    <row r="100">
      <c r="A100" s="420"/>
      <c r="B100" s="452" t="s">
        <v>787</v>
      </c>
      <c r="C100" s="452"/>
      <c r="D100" s="466">
        <f>D84+D89+D99+D94</f>
      </c>
      <c r="E100" s="454">
        <f>E84+E89+E99+E94</f>
      </c>
      <c r="F100" s="454">
        <f>F84+F89+F99+F94</f>
      </c>
      <c r="G100" s="466">
        <f>G84+G89+G94+G99</f>
      </c>
      <c r="H100" s="452">
        <f t="shared" si="356"/>
      </c>
      <c r="I100" s="452">
        <f t="shared" si="4"/>
      </c>
      <c r="J100" s="452">
        <f t="shared" si="67"/>
      </c>
      <c r="K100" s="455">
        <f t="shared" si="107"/>
      </c>
      <c r="L100" s="452">
        <f t="shared" si="167"/>
      </c>
      <c r="M100" s="455">
        <f t="shared" si="137"/>
      </c>
      <c r="N100" s="455">
        <f t="shared" si="197"/>
      </c>
      <c r="O100" s="455">
        <f t="shared" si="250"/>
      </c>
      <c r="P100" s="452">
        <f t="shared" si="303"/>
      </c>
      <c r="Q100" s="456"/>
      <c r="R100" s="456"/>
      <c r="S100" s="454">
        <f>S84+S89+S99+S94</f>
      </c>
      <c r="T100" s="454">
        <f>T84+T89+T99+T94</f>
      </c>
      <c r="U100" s="454">
        <f>U84+U89+U99+U94</f>
      </c>
      <c r="V100" s="454">
        <f>V84+V89+V99+V94</f>
      </c>
      <c r="W100" s="454">
        <f>W84+W89+W99+W94</f>
      </c>
      <c r="X100" s="454">
        <f>X84+X89+X99+X94</f>
      </c>
      <c r="Y100" s="454">
        <f>Y84+Y89+Y99+Y94</f>
      </c>
    </row>
    <row customHeight="true" ht="16.666666666666668" r="101">
      <c r="A101" s="405" t="s">
        <v>738</v>
      </c>
      <c r="B101" s="405"/>
      <c r="C101" s="405"/>
      <c r="D101" s="406" t="s">
        <v>739</v>
      </c>
      <c r="E101" s="406"/>
      <c r="F101" s="406"/>
      <c r="G101" s="406"/>
      <c r="H101" s="406"/>
      <c r="I101" s="406"/>
      <c r="J101" s="406"/>
      <c r="K101" s="407" t="s">
        <v>740</v>
      </c>
      <c r="L101" s="407"/>
      <c r="M101" s="407"/>
      <c r="N101" s="407"/>
      <c r="O101" s="407"/>
      <c r="P101" s="407"/>
      <c r="Q101" s="407"/>
      <c r="R101" s="407"/>
      <c r="S101" s="408" t="s">
        <v>741</v>
      </c>
      <c r="T101" s="408"/>
      <c r="U101" s="408"/>
      <c r="V101" s="408"/>
      <c r="W101" s="408"/>
      <c r="X101" s="408"/>
      <c r="Y101" s="408"/>
    </row>
    <row customHeight="true" ht="16.666666666666668" r="102">
      <c r="A102" s="409" t="s">
        <v>742</v>
      </c>
      <c r="B102" s="409" t="s">
        <v>743</v>
      </c>
      <c r="C102" s="409" t="s">
        <v>744</v>
      </c>
      <c r="D102" s="410" t="s">
        <v>745</v>
      </c>
      <c r="E102" s="411" t="s">
        <v>746</v>
      </c>
      <c r="F102" s="463" t="s">
        <v>792</v>
      </c>
      <c r="G102" s="410" t="s">
        <v>747</v>
      </c>
      <c r="H102" s="412" t="s">
        <v>748</v>
      </c>
      <c r="I102" s="413" t="s">
        <v>749</v>
      </c>
      <c r="J102" s="410" t="s">
        <v>750</v>
      </c>
      <c r="K102" s="414" t="s">
        <v>751</v>
      </c>
      <c r="L102" s="415" t="s">
        <v>752</v>
      </c>
      <c r="M102" s="414" t="s">
        <v>753</v>
      </c>
      <c r="N102" s="414" t="s">
        <v>754</v>
      </c>
      <c r="O102" s="416" t="s">
        <v>755</v>
      </c>
      <c r="P102" s="416" t="s">
        <v>756</v>
      </c>
      <c r="Q102" s="417" t="s">
        <v>757</v>
      </c>
      <c r="R102" s="417" t="s">
        <v>758</v>
      </c>
      <c r="S102" s="431" t="s">
        <v>759</v>
      </c>
      <c r="T102" s="431" t="s">
        <v>760</v>
      </c>
      <c r="U102" s="431" t="s">
        <v>761</v>
      </c>
      <c r="V102" s="431" t="s">
        <v>762</v>
      </c>
      <c r="W102" s="431" t="s">
        <v>763</v>
      </c>
      <c r="X102" s="431" t="s">
        <v>764</v>
      </c>
      <c r="Y102" s="419" t="s">
        <v>765</v>
      </c>
    </row>
    <row r="103">
      <c r="A103" s="420" t="s">
        <v>801</v>
      </c>
      <c r="B103" s="421" t="s">
        <v>767</v>
      </c>
      <c r="C103" s="451" t="s">
        <v>794</v>
      </c>
      <c r="D103" s="421">
        <v>2074.91</v>
      </c>
      <c r="E103" s="423">
        <v>1</v>
      </c>
      <c r="F103" s="423">
        <v>1</v>
      </c>
      <c r="G103" s="467">
        <v>1197.6</v>
      </c>
      <c r="H103" s="424">
        <f t="shared" ref="H103:H123" si="357">G103/D103</f>
      </c>
      <c r="I103" s="424">
        <f t="shared" ref="I103:I123" si="5">D103/E103</f>
      </c>
      <c r="J103" s="424">
        <f t="shared" ref="J103:J123" si="68">G103/E103</f>
      </c>
      <c r="K103" s="425">
        <f t="shared" ref="K103:K123" si="108">T103/S103</f>
      </c>
      <c r="L103" s="426">
        <f t="shared" ref="L103:L123" si="168">D103/U103</f>
      </c>
      <c r="M103" s="427">
        <f t="shared" ref="M103:M123" si="138">V103/U103</f>
      </c>
      <c r="N103" s="427">
        <f t="shared" ref="N103:N123" si="198">E103/W103</f>
      </c>
      <c r="O103" s="427">
        <f t="shared" ref="O103:O123" si="251">X103/E103</f>
      </c>
      <c r="P103" s="428">
        <f t="shared" ref="P103:P123" si="304">(Y103*1000)/D103</f>
      </c>
      <c r="Q103" s="429" t="s">
        <v>769</v>
      </c>
      <c r="R103" s="430" t="s">
        <v>800</v>
      </c>
      <c r="S103" s="461">
        <v>8511</v>
      </c>
      <c r="T103" s="461">
        <v>1241</v>
      </c>
      <c r="U103" s="461">
        <v>1596</v>
      </c>
      <c r="V103" s="461">
        <v>144</v>
      </c>
      <c r="W103" s="461">
        <v>1</v>
      </c>
      <c r="X103" s="461">
        <v>0</v>
      </c>
      <c r="Y103" s="461">
        <v>38</v>
      </c>
    </row>
    <row r="104">
      <c r="A104" s="420"/>
      <c r="B104" s="421" t="s">
        <v>767</v>
      </c>
      <c r="C104" s="421" t="s">
        <v>796</v>
      </c>
      <c r="D104" s="421">
        <v>3169.75</v>
      </c>
      <c r="E104" s="423">
        <v>2</v>
      </c>
      <c r="F104" s="423">
        <v>1</v>
      </c>
      <c r="G104" s="467">
        <v>2336.4</v>
      </c>
      <c r="H104" s="424">
        <f t="shared" si="357"/>
      </c>
      <c r="I104" s="424">
        <f t="shared" si="5"/>
      </c>
      <c r="J104" s="424">
        <f t="shared" si="68"/>
      </c>
      <c r="K104" s="425">
        <f t="shared" si="108"/>
      </c>
      <c r="L104" s="426">
        <f t="shared" si="168"/>
      </c>
      <c r="M104" s="427">
        <f t="shared" si="138"/>
      </c>
      <c r="N104" s="427">
        <f t="shared" si="198"/>
      </c>
      <c r="O104" s="427">
        <f t="shared" si="251"/>
      </c>
      <c r="P104" s="428">
        <f t="shared" si="304"/>
      </c>
      <c r="Q104" s="429" t="s">
        <v>769</v>
      </c>
      <c r="R104" s="430" t="s">
        <v>800</v>
      </c>
      <c r="S104" s="461">
        <v>9357</v>
      </c>
      <c r="T104" s="461">
        <v>1290</v>
      </c>
      <c r="U104" s="461">
        <v>1608</v>
      </c>
      <c r="V104" s="461">
        <v>152</v>
      </c>
      <c r="W104" s="461">
        <v>3</v>
      </c>
      <c r="X104" s="461">
        <v>1</v>
      </c>
      <c r="Y104" s="461">
        <v>29</v>
      </c>
    </row>
    <row r="105">
      <c r="A105" s="420"/>
      <c r="B105" s="421" t="s">
        <v>767</v>
      </c>
      <c r="C105" s="421" t="s">
        <v>797</v>
      </c>
      <c r="D105" s="421">
        <v>2639.67</v>
      </c>
      <c r="E105" s="423">
        <v>2</v>
      </c>
      <c r="F105" s="423">
        <v>2</v>
      </c>
      <c r="G105" s="467">
        <v>3451.2</v>
      </c>
      <c r="H105" s="424">
        <f t="shared" si="357"/>
      </c>
      <c r="I105" s="424">
        <f t="shared" si="5"/>
      </c>
      <c r="J105" s="424">
        <f t="shared" si="68"/>
      </c>
      <c r="K105" s="425">
        <f t="shared" si="108"/>
      </c>
      <c r="L105" s="426">
        <f t="shared" si="168"/>
      </c>
      <c r="M105" s="427">
        <f t="shared" si="138"/>
      </c>
      <c r="N105" s="427">
        <f t="shared" si="198"/>
      </c>
      <c r="O105" s="427">
        <f t="shared" si="251"/>
      </c>
      <c r="P105" s="428">
        <f t="shared" si="304"/>
      </c>
      <c r="Q105" s="429" t="s">
        <v>769</v>
      </c>
      <c r="R105" s="430" t="s">
        <v>800</v>
      </c>
      <c r="S105" s="461">
        <v>7528</v>
      </c>
      <c r="T105" s="461">
        <v>927</v>
      </c>
      <c r="U105" s="461">
        <v>1231</v>
      </c>
      <c r="V105" s="461">
        <v>133</v>
      </c>
      <c r="W105" s="461">
        <v>3</v>
      </c>
      <c r="X105" s="461">
        <v>0</v>
      </c>
      <c r="Y105" s="461">
        <v>28</v>
      </c>
    </row>
    <row r="106">
      <c r="A106" s="420"/>
      <c r="B106" s="421" t="s">
        <v>767</v>
      </c>
      <c r="C106" s="421" t="s">
        <v>798</v>
      </c>
      <c r="D106" s="421">
        <v>2329.43</v>
      </c>
      <c r="E106" s="423">
        <v>8</v>
      </c>
      <c r="F106" s="423">
        <v>5</v>
      </c>
      <c r="G106" s="462">
        <v>6739.4</v>
      </c>
      <c r="H106" s="424">
        <f t="shared" si="357"/>
      </c>
      <c r="I106" s="424">
        <f t="shared" si="5"/>
      </c>
      <c r="J106" s="424">
        <f t="shared" si="68"/>
      </c>
      <c r="K106" s="425">
        <f t="shared" si="108"/>
      </c>
      <c r="L106" s="426">
        <f t="shared" si="168"/>
      </c>
      <c r="M106" s="427">
        <f t="shared" si="138"/>
      </c>
      <c r="N106" s="427">
        <f t="shared" si="198"/>
      </c>
      <c r="O106" s="427">
        <f t="shared" si="251"/>
      </c>
      <c r="P106" s="428">
        <f t="shared" si="304"/>
      </c>
      <c r="Q106" s="429" t="s">
        <v>769</v>
      </c>
      <c r="R106" s="430" t="s">
        <v>800</v>
      </c>
      <c r="S106" s="461">
        <v>6778</v>
      </c>
      <c r="T106" s="461">
        <v>721</v>
      </c>
      <c r="U106" s="461">
        <v>1100</v>
      </c>
      <c r="V106" s="461">
        <v>160</v>
      </c>
      <c r="W106" s="461">
        <v>6</v>
      </c>
      <c r="X106" s="435">
        <v>1</v>
      </c>
      <c r="Y106" s="435">
        <v>31</v>
      </c>
    </row>
    <row r="107">
      <c r="A107" s="420"/>
      <c r="B107" s="437" t="s">
        <v>774</v>
      </c>
      <c r="C107" s="437"/>
      <c r="D107" s="438">
        <f>SUM(D103:D106)</f>
      </c>
      <c r="E107" s="439">
        <f>SUM(E103:E106)</f>
      </c>
      <c r="F107" s="439">
        <f>SUM(F103:F106)</f>
      </c>
      <c r="G107" s="438">
        <f>SUM(G103:G106)</f>
      </c>
      <c r="H107" s="440">
        <f t="shared" si="357"/>
      </c>
      <c r="I107" s="441">
        <f t="shared" si="5"/>
      </c>
      <c r="J107" s="442">
        <f t="shared" si="68"/>
      </c>
      <c r="K107" s="443">
        <f t="shared" si="108"/>
      </c>
      <c r="L107" s="444">
        <f t="shared" si="168"/>
      </c>
      <c r="M107" s="443">
        <f t="shared" si="138"/>
      </c>
      <c r="N107" s="443">
        <f t="shared" si="198"/>
      </c>
      <c r="O107" s="445">
        <f t="shared" si="251"/>
      </c>
      <c r="P107" s="446">
        <f t="shared" si="304"/>
      </c>
      <c r="Q107" s="444"/>
      <c r="R107" s="444"/>
      <c r="S107" s="447">
        <f>SUM(S103:S106)</f>
      </c>
      <c r="T107" s="447">
        <f>SUM(T103:T106)</f>
      </c>
      <c r="U107" s="447">
        <f>SUM(U103:U106)</f>
      </c>
      <c r="V107" s="447">
        <f>SUM(V103:V106)</f>
      </c>
      <c r="W107" s="447">
        <f>SUM(W103:W106)</f>
      </c>
      <c r="X107" s="447">
        <f>SUM(X103:X106)</f>
      </c>
      <c r="Y107" s="447">
        <f>SUM(Y103:Y106)</f>
      </c>
    </row>
    <row r="108">
      <c r="A108" s="420"/>
      <c r="B108" s="421" t="s">
        <v>789</v>
      </c>
      <c r="C108" s="422" t="s">
        <v>768</v>
      </c>
      <c r="D108" s="421">
        <v>2245.57</v>
      </c>
      <c r="E108" s="423">
        <v>0</v>
      </c>
      <c r="F108" s="423">
        <v>0</v>
      </c>
      <c r="G108" s="468">
        <v>0</v>
      </c>
      <c r="H108" s="424">
        <f t="shared" si="357"/>
      </c>
      <c r="I108" s="424">
        <f t="shared" si="5"/>
      </c>
      <c r="J108" s="424">
        <f t="shared" si="68"/>
      </c>
      <c r="K108" s="425">
        <f t="shared" si="108"/>
      </c>
      <c r="L108" s="426">
        <f t="shared" si="168"/>
      </c>
      <c r="M108" s="427">
        <f t="shared" si="138"/>
      </c>
      <c r="N108" s="427">
        <f t="shared" si="198"/>
      </c>
      <c r="O108" s="427">
        <f t="shared" si="251"/>
      </c>
      <c r="P108" s="428">
        <f t="shared" si="304"/>
      </c>
      <c r="Q108" s="429" t="s">
        <v>777</v>
      </c>
      <c r="R108" s="430" t="s">
        <v>800</v>
      </c>
      <c r="S108" s="436">
        <v>8223</v>
      </c>
      <c r="T108" s="436">
        <v>868</v>
      </c>
      <c r="U108" s="436">
        <v>1285</v>
      </c>
      <c r="V108" s="436">
        <v>119</v>
      </c>
      <c r="W108" s="435">
        <v>3</v>
      </c>
      <c r="X108" s="435">
        <v>0</v>
      </c>
      <c r="Y108" s="448">
        <v>29</v>
      </c>
    </row>
    <row r="109">
      <c r="A109" s="420"/>
      <c r="B109" s="421" t="s">
        <v>789</v>
      </c>
      <c r="C109" s="433" t="s">
        <v>771</v>
      </c>
      <c r="D109" s="421">
        <v>1634.43</v>
      </c>
      <c r="E109" s="423">
        <v>0</v>
      </c>
      <c r="F109" s="423">
        <v>0</v>
      </c>
      <c r="G109" s="468">
        <v>0</v>
      </c>
      <c r="H109" s="424">
        <f t="shared" si="357"/>
      </c>
      <c r="I109" s="424">
        <f t="shared" si="5"/>
      </c>
      <c r="J109" s="424">
        <f t="shared" si="68"/>
      </c>
      <c r="K109" s="425">
        <f t="shared" si="108"/>
      </c>
      <c r="L109" s="426">
        <f t="shared" si="168"/>
      </c>
      <c r="M109" s="427">
        <f t="shared" si="138"/>
      </c>
      <c r="N109" s="427">
        <f t="shared" si="198"/>
      </c>
      <c r="O109" s="427">
        <f t="shared" si="251"/>
      </c>
      <c r="P109" s="428">
        <f t="shared" si="304"/>
      </c>
      <c r="Q109" s="429" t="s">
        <v>777</v>
      </c>
      <c r="R109" s="430" t="s">
        <v>800</v>
      </c>
      <c r="S109" s="436">
        <v>6336</v>
      </c>
      <c r="T109" s="436">
        <v>705</v>
      </c>
      <c r="U109" s="436">
        <v>1116</v>
      </c>
      <c r="V109" s="436">
        <v>106</v>
      </c>
      <c r="W109" s="435">
        <v>0</v>
      </c>
      <c r="X109" s="435">
        <v>0</v>
      </c>
      <c r="Y109" s="448">
        <v>17</v>
      </c>
    </row>
    <row r="110">
      <c r="A110" s="420"/>
      <c r="B110" s="421" t="s">
        <v>789</v>
      </c>
      <c r="C110" s="433" t="s">
        <v>772</v>
      </c>
      <c r="D110" s="421">
        <v>1985.78</v>
      </c>
      <c r="E110" s="423">
        <v>0</v>
      </c>
      <c r="F110" s="423">
        <v>0</v>
      </c>
      <c r="G110" s="467">
        <v>0</v>
      </c>
      <c r="H110" s="424">
        <f t="shared" si="357"/>
      </c>
      <c r="I110" s="424">
        <f t="shared" si="5"/>
      </c>
      <c r="J110" s="424">
        <f t="shared" si="68"/>
      </c>
      <c r="K110" s="425">
        <f t="shared" si="108"/>
      </c>
      <c r="L110" s="426">
        <f t="shared" si="168"/>
      </c>
      <c r="M110" s="427">
        <f t="shared" si="138"/>
      </c>
      <c r="N110" s="427">
        <f t="shared" si="198"/>
      </c>
      <c r="O110" s="427">
        <f t="shared" si="251"/>
      </c>
      <c r="P110" s="428">
        <f t="shared" si="304"/>
      </c>
      <c r="Q110" s="429" t="s">
        <v>777</v>
      </c>
      <c r="R110" s="430" t="s">
        <v>800</v>
      </c>
      <c r="S110" s="436">
        <v>7189</v>
      </c>
      <c r="T110" s="436">
        <v>890</v>
      </c>
      <c r="U110" s="436">
        <v>1334</v>
      </c>
      <c r="V110" s="436">
        <v>148</v>
      </c>
      <c r="W110" s="435">
        <v>1</v>
      </c>
      <c r="X110" s="435">
        <v>0</v>
      </c>
      <c r="Y110" s="448">
        <v>24</v>
      </c>
      <c r="AA110" s="469"/>
      <c r="AB110" s="469"/>
      <c r="AC110" s="469"/>
      <c r="AD110" s="469"/>
      <c r="AE110" s="469"/>
      <c r="AF110" s="469"/>
      <c r="AG110" s="469"/>
      <c r="AH110" s="469"/>
      <c r="AI110" s="469"/>
      <c r="AJ110" s="469"/>
      <c r="AK110" s="470"/>
    </row>
    <row r="111">
      <c r="A111" s="420"/>
      <c r="B111" s="421" t="s">
        <v>789</v>
      </c>
      <c r="C111" s="433" t="s">
        <v>773</v>
      </c>
      <c r="D111" s="421">
        <v>1141.94</v>
      </c>
      <c r="E111" s="423">
        <v>0</v>
      </c>
      <c r="F111" s="423">
        <v>0</v>
      </c>
      <c r="G111" s="467">
        <v>0</v>
      </c>
      <c r="H111" s="424">
        <f t="shared" si="357"/>
      </c>
      <c r="I111" s="424">
        <f t="shared" si="5"/>
      </c>
      <c r="J111" s="424">
        <f t="shared" si="68"/>
      </c>
      <c r="K111" s="425">
        <f t="shared" si="108"/>
      </c>
      <c r="L111" s="426">
        <f t="shared" si="168"/>
      </c>
      <c r="M111" s="427">
        <f t="shared" si="138"/>
      </c>
      <c r="N111" s="427">
        <f t="shared" si="198"/>
      </c>
      <c r="O111" s="427">
        <f t="shared" si="251"/>
      </c>
      <c r="P111" s="428">
        <f t="shared" si="304"/>
      </c>
      <c r="Q111" s="429" t="s">
        <v>777</v>
      </c>
      <c r="R111" s="430" t="s">
        <v>800</v>
      </c>
      <c r="S111" s="436">
        <v>5637</v>
      </c>
      <c r="T111" s="436">
        <v>704</v>
      </c>
      <c r="U111" s="436">
        <v>1009</v>
      </c>
      <c r="V111" s="436">
        <v>85</v>
      </c>
      <c r="W111" s="435">
        <v>0</v>
      </c>
      <c r="X111" s="435">
        <v>0</v>
      </c>
      <c r="Y111" s="448">
        <v>14</v>
      </c>
      <c r="AA111" s="471"/>
      <c r="AB111" s="471"/>
      <c r="AC111" s="471"/>
      <c r="AD111" s="471"/>
      <c r="AE111" s="471"/>
      <c r="AF111" s="471"/>
      <c r="AG111" s="471"/>
      <c r="AH111" s="471"/>
      <c r="AI111" s="471"/>
      <c r="AJ111" s="471"/>
      <c r="AK111" s="470"/>
    </row>
    <row r="112">
      <c r="A112" s="420"/>
      <c r="B112" s="437" t="s">
        <v>774</v>
      </c>
      <c r="C112" s="437"/>
      <c r="D112" s="438">
        <f>SUM(D108:D111)</f>
      </c>
      <c r="E112" s="439">
        <f>SUM(E108:E111)</f>
      </c>
      <c r="F112" s="439">
        <f>SUM(F108:F111)</f>
      </c>
      <c r="G112" s="438">
        <f>SUM(G108:G111)</f>
      </c>
      <c r="H112" s="440">
        <f t="shared" si="357"/>
      </c>
      <c r="I112" s="441">
        <f t="shared" si="5"/>
      </c>
      <c r="J112" s="442">
        <f t="shared" si="68"/>
      </c>
      <c r="K112" s="443">
        <f t="shared" si="108"/>
      </c>
      <c r="L112" s="444">
        <f t="shared" si="168"/>
      </c>
      <c r="M112" s="443">
        <f t="shared" si="138"/>
      </c>
      <c r="N112" s="443">
        <f t="shared" si="198"/>
      </c>
      <c r="O112" s="445">
        <f t="shared" si="251"/>
      </c>
      <c r="P112" s="446">
        <f t="shared" si="304"/>
      </c>
      <c r="Q112" s="444"/>
      <c r="R112" s="444"/>
      <c r="S112" s="447">
        <f>SUM(S108:S111)</f>
      </c>
      <c r="T112" s="447">
        <f>SUM(T108:T111)</f>
      </c>
      <c r="U112" s="447">
        <f>SUM(U108:U111)</f>
      </c>
      <c r="V112" s="447">
        <f>SUM(V108:V111)</f>
      </c>
      <c r="W112" s="447">
        <f>SUM(W108:W111)</f>
      </c>
      <c r="X112" s="447">
        <f>SUM(X108:X111)</f>
      </c>
      <c r="Y112" s="447">
        <f>SUM(Y108:Y111)</f>
      </c>
      <c r="AA112" s="472"/>
      <c r="AB112" s="473"/>
      <c r="AC112" s="474"/>
      <c r="AD112" s="472"/>
      <c r="AE112" s="472"/>
      <c r="AF112" s="472"/>
      <c r="AG112" s="475"/>
      <c r="AH112" s="475"/>
      <c r="AI112" s="475"/>
      <c r="AJ112" s="474"/>
      <c r="AK112" s="470"/>
    </row>
    <row r="113">
      <c r="A113" s="420"/>
      <c r="B113" s="421" t="s">
        <v>775</v>
      </c>
      <c r="C113" s="433" t="s">
        <v>776</v>
      </c>
      <c r="D113" s="459">
        <v>1500.38</v>
      </c>
      <c r="E113" s="423">
        <v>1</v>
      </c>
      <c r="F113" s="423">
        <v>1</v>
      </c>
      <c r="G113" s="460">
        <v>402</v>
      </c>
      <c r="H113" s="424">
        <f t="shared" si="357"/>
      </c>
      <c r="I113" s="424">
        <f t="shared" si="5"/>
      </c>
      <c r="J113" s="424">
        <f t="shared" si="68"/>
      </c>
      <c r="K113" s="425">
        <f t="shared" si="108"/>
      </c>
      <c r="L113" s="426">
        <f t="shared" si="168"/>
      </c>
      <c r="M113" s="427">
        <f t="shared" si="138"/>
      </c>
      <c r="N113" s="427">
        <f t="shared" si="198"/>
      </c>
      <c r="O113" s="427">
        <f t="shared" si="251"/>
      </c>
      <c r="P113" s="428">
        <f t="shared" si="304"/>
      </c>
      <c r="Q113" s="429" t="s">
        <v>777</v>
      </c>
      <c r="R113" s="430" t="s">
        <v>802</v>
      </c>
      <c r="S113" s="436">
        <v>6010</v>
      </c>
      <c r="T113" s="436">
        <v>648</v>
      </c>
      <c r="U113" s="436">
        <v>929</v>
      </c>
      <c r="V113" s="436">
        <v>106</v>
      </c>
      <c r="W113" s="435">
        <v>3</v>
      </c>
      <c r="X113" s="435">
        <v>0</v>
      </c>
      <c r="Y113" s="448">
        <v>30</v>
      </c>
      <c r="AA113" s="472"/>
      <c r="AB113" s="473"/>
      <c r="AC113" s="474"/>
      <c r="AD113" s="472"/>
      <c r="AE113" s="474"/>
      <c r="AF113" s="474"/>
      <c r="AG113" s="475"/>
      <c r="AH113" s="475"/>
      <c r="AI113" s="475"/>
      <c r="AJ113" s="474"/>
      <c r="AK113" s="470"/>
    </row>
    <row r="114">
      <c r="A114" s="420"/>
      <c r="B114" s="421" t="s">
        <v>775</v>
      </c>
      <c r="C114" s="422" t="s">
        <v>779</v>
      </c>
      <c r="D114" s="459">
        <v>1995.81</v>
      </c>
      <c r="E114" s="423">
        <v>2</v>
      </c>
      <c r="F114" s="423">
        <v>2</v>
      </c>
      <c r="G114" s="460">
        <v>4070.4</v>
      </c>
      <c r="H114" s="424">
        <f t="shared" si="357"/>
      </c>
      <c r="I114" s="424">
        <f t="shared" si="5"/>
      </c>
      <c r="J114" s="424">
        <f t="shared" si="68"/>
      </c>
      <c r="K114" s="425">
        <f t="shared" si="108"/>
      </c>
      <c r="L114" s="426">
        <f t="shared" si="168"/>
      </c>
      <c r="M114" s="427">
        <f t="shared" si="138"/>
      </c>
      <c r="N114" s="427">
        <f t="shared" si="198"/>
      </c>
      <c r="O114" s="427">
        <f t="shared" si="251"/>
      </c>
      <c r="P114" s="428">
        <f t="shared" si="304"/>
      </c>
      <c r="Q114" s="429" t="s">
        <v>777</v>
      </c>
      <c r="R114" s="430" t="s">
        <v>802</v>
      </c>
      <c r="S114" s="436">
        <v>10274</v>
      </c>
      <c r="T114" s="436">
        <v>1216</v>
      </c>
      <c r="U114" s="436">
        <v>1590</v>
      </c>
      <c r="V114" s="436">
        <v>166</v>
      </c>
      <c r="W114" s="435">
        <v>4</v>
      </c>
      <c r="X114" s="435">
        <v>0</v>
      </c>
      <c r="Y114" s="448">
        <v>25</v>
      </c>
      <c r="AA114" s="472"/>
      <c r="AB114" s="473"/>
      <c r="AC114" s="474"/>
      <c r="AD114" s="474"/>
      <c r="AE114" s="472"/>
      <c r="AF114" s="472"/>
      <c r="AG114" s="475"/>
      <c r="AH114" s="475"/>
      <c r="AI114" s="475"/>
      <c r="AJ114" s="474"/>
      <c r="AK114" s="470"/>
    </row>
    <row r="115">
      <c r="A115" s="420"/>
      <c r="B115" s="421" t="s">
        <v>775</v>
      </c>
      <c r="C115" s="422" t="s">
        <v>780</v>
      </c>
      <c r="D115" s="459">
        <v>1931.67</v>
      </c>
      <c r="E115" s="423">
        <v>2</v>
      </c>
      <c r="F115" s="423">
        <v>2</v>
      </c>
      <c r="G115" s="460">
        <v>2797.2</v>
      </c>
      <c r="H115" s="424">
        <f t="shared" si="357"/>
      </c>
      <c r="I115" s="424">
        <f t="shared" si="5"/>
      </c>
      <c r="J115" s="424">
        <f t="shared" si="68"/>
      </c>
      <c r="K115" s="425">
        <f t="shared" si="108"/>
      </c>
      <c r="L115" s="426">
        <f t="shared" si="168"/>
      </c>
      <c r="M115" s="427">
        <f t="shared" si="138"/>
      </c>
      <c r="N115" s="427">
        <f t="shared" si="198"/>
      </c>
      <c r="O115" s="427">
        <f t="shared" si="251"/>
      </c>
      <c r="P115" s="428">
        <f t="shared" si="304"/>
      </c>
      <c r="Q115" s="429" t="s">
        <v>777</v>
      </c>
      <c r="R115" s="430" t="s">
        <v>802</v>
      </c>
      <c r="S115" s="436">
        <v>10800</v>
      </c>
      <c r="T115" s="436">
        <v>1393</v>
      </c>
      <c r="U115" s="436">
        <v>1763</v>
      </c>
      <c r="V115" s="436">
        <v>161</v>
      </c>
      <c r="W115" s="435">
        <v>4</v>
      </c>
      <c r="X115" s="435">
        <v>0</v>
      </c>
      <c r="Y115" s="448">
        <v>23</v>
      </c>
      <c r="AA115" s="472"/>
      <c r="AB115" s="473"/>
      <c r="AC115" s="474"/>
      <c r="AD115" s="472"/>
      <c r="AE115" s="472"/>
      <c r="AF115" s="472"/>
      <c r="AG115" s="475"/>
      <c r="AH115" s="475"/>
      <c r="AI115" s="475"/>
      <c r="AJ115" s="474"/>
      <c r="AK115" s="470"/>
    </row>
    <row r="116">
      <c r="A116" s="420"/>
      <c r="B116" s="421" t="s">
        <v>775</v>
      </c>
      <c r="C116" s="422" t="s">
        <v>781</v>
      </c>
      <c r="D116" s="459">
        <v>2608.36</v>
      </c>
      <c r="E116" s="423">
        <v>1</v>
      </c>
      <c r="F116" s="423">
        <v>1</v>
      </c>
      <c r="G116" s="460">
        <v>1197.6</v>
      </c>
      <c r="H116" s="424">
        <f t="shared" si="357"/>
      </c>
      <c r="I116" s="424">
        <f t="shared" si="5"/>
      </c>
      <c r="J116" s="424">
        <f t="shared" si="68"/>
      </c>
      <c r="K116" s="425">
        <f t="shared" si="108"/>
      </c>
      <c r="L116" s="426">
        <f t="shared" si="168"/>
      </c>
      <c r="M116" s="427">
        <f t="shared" si="138"/>
      </c>
      <c r="N116" s="427">
        <f t="shared" si="198"/>
      </c>
      <c r="O116" s="427">
        <f t="shared" si="251"/>
      </c>
      <c r="P116" s="428">
        <f t="shared" si="304"/>
      </c>
      <c r="Q116" s="429" t="s">
        <v>777</v>
      </c>
      <c r="R116" s="430" t="s">
        <v>802</v>
      </c>
      <c r="S116" s="436">
        <v>12127</v>
      </c>
      <c r="T116" s="436">
        <v>1614</v>
      </c>
      <c r="U116" s="436">
        <v>2113</v>
      </c>
      <c r="V116" s="436">
        <v>175</v>
      </c>
      <c r="W116" s="435">
        <v>1</v>
      </c>
      <c r="X116" s="435">
        <v>0</v>
      </c>
      <c r="Y116" s="448">
        <v>32</v>
      </c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0"/>
    </row>
    <row r="117">
      <c r="A117" s="420"/>
      <c r="B117" s="437" t="s">
        <v>774</v>
      </c>
      <c r="C117" s="437"/>
      <c r="D117" s="438">
        <f>SUM(D113:D116)</f>
      </c>
      <c r="E117" s="439">
        <f>SUM(E113:E116)</f>
      </c>
      <c r="F117" s="439">
        <f>SUM(F113:F116)</f>
      </c>
      <c r="G117" s="438">
        <f>SUM(G113:G116)</f>
      </c>
      <c r="H117" s="440">
        <f t="shared" si="357"/>
      </c>
      <c r="I117" s="441">
        <f t="shared" si="5"/>
      </c>
      <c r="J117" s="442">
        <f t="shared" si="68"/>
      </c>
      <c r="K117" s="443">
        <f t="shared" si="108"/>
      </c>
      <c r="L117" s="444">
        <f t="shared" si="168"/>
      </c>
      <c r="M117" s="443">
        <f t="shared" si="138"/>
      </c>
      <c r="N117" s="443">
        <f t="shared" si="198"/>
      </c>
      <c r="O117" s="445">
        <f t="shared" si="251"/>
      </c>
      <c r="P117" s="446">
        <f t="shared" si="304"/>
      </c>
      <c r="Q117" s="444"/>
      <c r="R117" s="444"/>
      <c r="S117" s="447">
        <f>SUM(S113:S116)</f>
      </c>
      <c r="T117" s="447">
        <f>SUM(T113:T116)</f>
      </c>
      <c r="U117" s="447">
        <f>SUM(U113:U116)</f>
      </c>
      <c r="V117" s="447">
        <f>SUM(V113:V116)</f>
      </c>
      <c r="W117" s="447">
        <f>SUM(W113:W116)</f>
      </c>
      <c r="X117" s="447">
        <f>SUM(X113:X116)</f>
      </c>
      <c r="Y117" s="447">
        <f>SUM(Y113:Y116)</f>
      </c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0"/>
    </row>
    <row r="118">
      <c r="A118" s="420"/>
      <c r="B118" s="421" t="s">
        <v>782</v>
      </c>
      <c r="C118" s="422" t="s">
        <v>783</v>
      </c>
      <c r="D118" s="459">
        <v>2662.64</v>
      </c>
      <c r="E118" s="423">
        <v>0</v>
      </c>
      <c r="F118" s="423">
        <v>0</v>
      </c>
      <c r="G118" s="460">
        <v>0</v>
      </c>
      <c r="H118" s="424">
        <f t="shared" si="357"/>
      </c>
      <c r="I118" s="424">
        <f t="shared" si="5"/>
      </c>
      <c r="J118" s="424">
        <f t="shared" si="68"/>
      </c>
      <c r="K118" s="425">
        <f t="shared" si="108"/>
      </c>
      <c r="L118" s="426">
        <f t="shared" si="168"/>
      </c>
      <c r="M118" s="427">
        <f t="shared" si="138"/>
      </c>
      <c r="N118" s="427">
        <f t="shared" si="198"/>
      </c>
      <c r="O118" s="427">
        <f t="shared" si="251"/>
      </c>
      <c r="P118" s="428">
        <f t="shared" si="304"/>
      </c>
      <c r="Q118" s="429" t="s">
        <v>777</v>
      </c>
      <c r="R118" s="430" t="s">
        <v>802</v>
      </c>
      <c r="S118" s="436">
        <v>13659</v>
      </c>
      <c r="T118" s="436">
        <v>1535</v>
      </c>
      <c r="U118" s="436">
        <v>1989</v>
      </c>
      <c r="V118" s="436">
        <v>140</v>
      </c>
      <c r="W118" s="435">
        <v>4</v>
      </c>
      <c r="X118" s="435">
        <v>0</v>
      </c>
      <c r="Y118" s="448">
        <v>26</v>
      </c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0"/>
    </row>
    <row r="119">
      <c r="A119" s="420"/>
      <c r="B119" s="421" t="s">
        <v>782</v>
      </c>
      <c r="C119" s="451" t="s">
        <v>784</v>
      </c>
      <c r="D119" s="459">
        <v>2737.81</v>
      </c>
      <c r="E119" s="423">
        <v>0</v>
      </c>
      <c r="F119" s="423">
        <v>0</v>
      </c>
      <c r="G119" s="460">
        <v>0</v>
      </c>
      <c r="H119" s="424">
        <f t="shared" si="357"/>
      </c>
      <c r="I119" s="424">
        <f t="shared" si="5"/>
      </c>
      <c r="J119" s="424">
        <f t="shared" si="68"/>
      </c>
      <c r="K119" s="425">
        <f t="shared" si="108"/>
      </c>
      <c r="L119" s="426">
        <f t="shared" si="168"/>
      </c>
      <c r="M119" s="427">
        <f t="shared" si="138"/>
      </c>
      <c r="N119" s="427">
        <f t="shared" si="198"/>
      </c>
      <c r="O119" s="427">
        <f t="shared" si="251"/>
      </c>
      <c r="P119" s="428">
        <f t="shared" si="304"/>
      </c>
      <c r="Q119" s="429" t="s">
        <v>777</v>
      </c>
      <c r="R119" s="430" t="s">
        <v>802</v>
      </c>
      <c r="S119" s="436">
        <v>14060</v>
      </c>
      <c r="T119" s="436">
        <v>1660</v>
      </c>
      <c r="U119" s="436">
        <v>2285</v>
      </c>
      <c r="V119" s="436">
        <v>160</v>
      </c>
      <c r="W119" s="435">
        <v>2</v>
      </c>
      <c r="X119" s="435">
        <v>0</v>
      </c>
      <c r="Y119" s="448">
        <v>29</v>
      </c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0"/>
    </row>
    <row r="120">
      <c r="A120" s="420"/>
      <c r="B120" s="421" t="s">
        <v>782</v>
      </c>
      <c r="C120" s="451" t="s">
        <v>785</v>
      </c>
      <c r="D120" s="459">
        <v>1929.22</v>
      </c>
      <c r="E120" s="423">
        <v>6</v>
      </c>
      <c r="F120" s="423">
        <v>2</v>
      </c>
      <c r="G120" s="460">
        <v>3426.3</v>
      </c>
      <c r="H120" s="424">
        <f t="shared" si="357"/>
      </c>
      <c r="I120" s="424">
        <f t="shared" si="5"/>
      </c>
      <c r="J120" s="424">
        <f t="shared" si="68"/>
      </c>
      <c r="K120" s="425">
        <f t="shared" si="108"/>
      </c>
      <c r="L120" s="426">
        <f t="shared" si="168"/>
      </c>
      <c r="M120" s="427">
        <f t="shared" si="138"/>
      </c>
      <c r="N120" s="427">
        <f t="shared" si="198"/>
      </c>
      <c r="O120" s="427">
        <f t="shared" si="251"/>
      </c>
      <c r="P120" s="428">
        <f t="shared" si="304"/>
      </c>
      <c r="Q120" s="429" t="s">
        <v>777</v>
      </c>
      <c r="R120" s="430" t="s">
        <v>802</v>
      </c>
      <c r="S120" s="436">
        <v>8935</v>
      </c>
      <c r="T120" s="436">
        <v>1142</v>
      </c>
      <c r="U120" s="436">
        <v>1530</v>
      </c>
      <c r="V120" s="436">
        <v>139</v>
      </c>
      <c r="W120" s="435">
        <v>7</v>
      </c>
      <c r="X120" s="435">
        <v>1</v>
      </c>
      <c r="Y120" s="448">
        <v>29</v>
      </c>
    </row>
    <row r="121">
      <c r="A121" s="420"/>
      <c r="B121" s="421" t="s">
        <v>782</v>
      </c>
      <c r="C121" s="451" t="s">
        <v>786</v>
      </c>
      <c r="D121" s="459">
        <v>1299.37</v>
      </c>
      <c r="E121" s="423">
        <v>2</v>
      </c>
      <c r="F121" s="423">
        <v>1</v>
      </c>
      <c r="G121" s="460">
        <v>936.1</v>
      </c>
      <c r="H121" s="424">
        <f t="shared" si="357"/>
      </c>
      <c r="I121" s="424">
        <f t="shared" si="5"/>
      </c>
      <c r="J121" s="424">
        <f t="shared" si="68"/>
      </c>
      <c r="K121" s="425">
        <f t="shared" si="108"/>
      </c>
      <c r="L121" s="426">
        <f t="shared" si="168"/>
      </c>
      <c r="M121" s="427">
        <f t="shared" si="138"/>
      </c>
      <c r="N121" s="427">
        <f t="shared" si="198"/>
      </c>
      <c r="O121" s="427">
        <f t="shared" si="251"/>
      </c>
      <c r="P121" s="428">
        <f t="shared" si="304"/>
      </c>
      <c r="Q121" s="429" t="s">
        <v>777</v>
      </c>
      <c r="R121" s="430" t="s">
        <v>802</v>
      </c>
      <c r="S121" s="436">
        <v>5265</v>
      </c>
      <c r="T121" s="436">
        <v>771</v>
      </c>
      <c r="U121" s="436">
        <v>1072</v>
      </c>
      <c r="V121" s="436">
        <v>55</v>
      </c>
      <c r="W121" s="435">
        <v>2</v>
      </c>
      <c r="X121" s="435">
        <v>1</v>
      </c>
      <c r="Y121" s="448">
        <v>14</v>
      </c>
      <c r="AA121" s="477"/>
      <c r="AB121" s="477"/>
      <c r="AC121" s="477"/>
      <c r="AD121" s="477"/>
      <c r="AE121" s="477"/>
      <c r="AF121" s="477"/>
      <c r="AG121" s="477"/>
      <c r="AH121" s="477"/>
      <c r="AI121" s="477"/>
      <c r="AJ121" s="477"/>
      <c r="AK121" s="477"/>
    </row>
    <row r="122">
      <c r="A122" s="420"/>
      <c r="B122" s="437" t="s">
        <v>774</v>
      </c>
      <c r="C122" s="437"/>
      <c r="D122" s="438">
        <f>SUM(D118:D121)</f>
      </c>
      <c r="E122" s="439">
        <f>SUM(E118:E121)</f>
      </c>
      <c r="F122" s="439">
        <f>SUM(F118:F121)</f>
      </c>
      <c r="G122" s="438">
        <f>SUM(G118:G121)</f>
      </c>
      <c r="H122" s="440">
        <f t="shared" si="357"/>
      </c>
      <c r="I122" s="441">
        <f t="shared" si="5"/>
      </c>
      <c r="J122" s="442">
        <f t="shared" si="68"/>
      </c>
      <c r="K122" s="443">
        <f t="shared" si="108"/>
      </c>
      <c r="L122" s="444">
        <f t="shared" si="168"/>
      </c>
      <c r="M122" s="443">
        <f t="shared" si="138"/>
      </c>
      <c r="N122" s="443">
        <f t="shared" si="198"/>
      </c>
      <c r="O122" s="445">
        <f t="shared" si="251"/>
      </c>
      <c r="P122" s="446">
        <f t="shared" si="304"/>
      </c>
      <c r="Q122" s="444"/>
      <c r="R122" s="444"/>
      <c r="S122" s="447">
        <f>SUM(S118:S121)</f>
      </c>
      <c r="T122" s="447">
        <f>SUM(T118:T121)</f>
      </c>
      <c r="U122" s="447">
        <f>SUM(U118:U121)</f>
      </c>
      <c r="V122" s="447">
        <f>SUM(V118:V121)</f>
      </c>
      <c r="W122" s="447">
        <f>SUM(W118:W121)</f>
      </c>
      <c r="X122" s="447">
        <f>SUM(X118:X121)</f>
      </c>
      <c r="Y122" s="447">
        <f>SUM(Y118:Y121)</f>
      </c>
      <c r="AA122" s="478"/>
      <c r="AB122" s="478"/>
      <c r="AC122" s="479"/>
      <c r="AD122" s="478"/>
      <c r="AE122" s="478"/>
      <c r="AF122" s="478"/>
      <c r="AG122" s="478"/>
      <c r="AH122" s="480"/>
      <c r="AI122" s="480"/>
      <c r="AJ122" s="480"/>
      <c r="AK122" s="480"/>
    </row>
    <row r="123">
      <c r="A123" s="420"/>
      <c r="B123" s="452" t="s">
        <v>787</v>
      </c>
      <c r="C123" s="452"/>
      <c r="D123" s="466">
        <f>D107+D112+D122+D117</f>
      </c>
      <c r="E123" s="454">
        <f>E107+E112+E122+E117</f>
      </c>
      <c r="F123" s="454">
        <f>F107+F112+F122+F117</f>
      </c>
      <c r="G123" s="466">
        <f>G107+G112+G117+G122</f>
      </c>
      <c r="H123" s="452">
        <f t="shared" si="357"/>
      </c>
      <c r="I123" s="452">
        <f t="shared" si="5"/>
      </c>
      <c r="J123" s="452">
        <f t="shared" si="68"/>
      </c>
      <c r="K123" s="455">
        <f t="shared" si="108"/>
      </c>
      <c r="L123" s="452">
        <f t="shared" si="168"/>
      </c>
      <c r="M123" s="455">
        <f t="shared" si="138"/>
      </c>
      <c r="N123" s="455">
        <f t="shared" si="198"/>
      </c>
      <c r="O123" s="455">
        <f t="shared" si="251"/>
      </c>
      <c r="P123" s="452">
        <f t="shared" si="304"/>
      </c>
      <c r="Q123" s="456"/>
      <c r="R123" s="456"/>
      <c r="S123" s="454">
        <f>S107+S112+S122+S117</f>
      </c>
      <c r="T123" s="454">
        <f>T107+T112+T122+T117</f>
      </c>
      <c r="U123" s="454">
        <f>U107+U112+U122+U117</f>
      </c>
      <c r="V123" s="454">
        <f>V107+V112+V122+V117</f>
      </c>
      <c r="W123" s="454">
        <f>W107+W112+W122+W117</f>
      </c>
      <c r="X123" s="454">
        <f>X107+X112+X122+X117</f>
      </c>
      <c r="Y123" s="454">
        <f>Y107+Y112+Y122+Y117</f>
      </c>
      <c r="AA123" s="465"/>
      <c r="AB123" s="465"/>
      <c r="AC123" s="481"/>
      <c r="AD123" s="482"/>
      <c r="AE123" s="481"/>
      <c r="AF123" s="483"/>
      <c r="AG123" s="483"/>
      <c r="AH123" s="484"/>
      <c r="AI123" s="484"/>
      <c r="AJ123" s="485"/>
      <c r="AK123" s="485"/>
    </row>
    <row r="124">
      <c r="A124" s="405" t="s">
        <v>738</v>
      </c>
      <c r="B124" s="405"/>
      <c r="C124" s="405"/>
      <c r="D124" s="406" t="s">
        <v>739</v>
      </c>
      <c r="E124" s="406"/>
      <c r="F124" s="406"/>
      <c r="G124" s="406"/>
      <c r="H124" s="406"/>
      <c r="I124" s="406"/>
      <c r="J124" s="406"/>
      <c r="K124" s="407" t="s">
        <v>740</v>
      </c>
      <c r="L124" s="407"/>
      <c r="M124" s="407"/>
      <c r="N124" s="407"/>
      <c r="O124" s="407"/>
      <c r="P124" s="407"/>
      <c r="Q124" s="407"/>
      <c r="R124" s="407"/>
      <c r="S124" s="408" t="s">
        <v>741</v>
      </c>
      <c r="T124" s="408"/>
      <c r="U124" s="408"/>
      <c r="V124" s="408"/>
      <c r="W124" s="408"/>
      <c r="X124" s="408"/>
      <c r="Y124" s="408"/>
    </row>
    <row r="125">
      <c r="A125" s="409" t="s">
        <v>742</v>
      </c>
      <c r="B125" s="409" t="s">
        <v>743</v>
      </c>
      <c r="C125" s="409" t="s">
        <v>744</v>
      </c>
      <c r="D125" s="410" t="s">
        <v>745</v>
      </c>
      <c r="E125" s="411" t="s">
        <v>746</v>
      </c>
      <c r="F125" s="463" t="s">
        <v>792</v>
      </c>
      <c r="G125" s="410" t="s">
        <v>747</v>
      </c>
      <c r="H125" s="412" t="s">
        <v>748</v>
      </c>
      <c r="I125" s="413" t="s">
        <v>749</v>
      </c>
      <c r="J125" s="410" t="s">
        <v>750</v>
      </c>
      <c r="K125" s="414" t="s">
        <v>751</v>
      </c>
      <c r="L125" s="415" t="s">
        <v>752</v>
      </c>
      <c r="M125" s="414" t="s">
        <v>753</v>
      </c>
      <c r="N125" s="414" t="s">
        <v>754</v>
      </c>
      <c r="O125" s="416" t="s">
        <v>755</v>
      </c>
      <c r="P125" s="416" t="s">
        <v>756</v>
      </c>
      <c r="Q125" s="417" t="s">
        <v>757</v>
      </c>
      <c r="R125" s="417" t="s">
        <v>758</v>
      </c>
      <c r="S125" s="431" t="s">
        <v>759</v>
      </c>
      <c r="T125" s="431" t="s">
        <v>760</v>
      </c>
      <c r="U125" s="431" t="s">
        <v>761</v>
      </c>
      <c r="V125" s="431" t="s">
        <v>762</v>
      </c>
      <c r="W125" s="431" t="s">
        <v>763</v>
      </c>
      <c r="X125" s="431" t="s">
        <v>764</v>
      </c>
      <c r="Y125" s="419" t="s">
        <v>765</v>
      </c>
    </row>
    <row r="126">
      <c r="A126" s="420" t="s">
        <v>803</v>
      </c>
      <c r="B126" s="421" t="s">
        <v>775</v>
      </c>
      <c r="C126" s="451" t="s">
        <v>794</v>
      </c>
      <c r="D126" s="421">
        <v>1840.89</v>
      </c>
      <c r="E126" s="423">
        <v>1</v>
      </c>
      <c r="F126" s="423">
        <v>1</v>
      </c>
      <c r="G126" s="467">
        <v>652.8</v>
      </c>
      <c r="H126" s="424">
        <f t="shared" ref="H126:H146" si="358">G126/D126</f>
      </c>
      <c r="I126" s="424">
        <f t="shared" ref="I126:I146" si="6">D126/E126</f>
      </c>
      <c r="J126" s="424">
        <f t="shared" ref="J126:J146" si="69">G126/E126</f>
      </c>
      <c r="K126" s="425">
        <f t="shared" ref="K126:K146" si="109">T126/S126</f>
      </c>
      <c r="L126" s="426">
        <f t="shared" ref="L126:L146" si="169">D126/U126</f>
      </c>
      <c r="M126" s="427">
        <f t="shared" ref="M126:M146" si="139">V126/U126</f>
      </c>
      <c r="N126" s="427">
        <f t="shared" ref="N126:N146" si="199">E126/W126</f>
      </c>
      <c r="O126" s="427">
        <f t="shared" ref="O126:O146" si="252">X126/E126</f>
      </c>
      <c r="P126" s="428">
        <f t="shared" ref="P126:P146" si="305">(Y126*1000)/D126</f>
      </c>
      <c r="Q126" s="429" t="s">
        <v>769</v>
      </c>
      <c r="R126" s="430" t="s">
        <v>800</v>
      </c>
      <c r="S126" s="461">
        <v>8296</v>
      </c>
      <c r="T126" s="461">
        <v>1226</v>
      </c>
      <c r="U126" s="461">
        <v>1654</v>
      </c>
      <c r="V126" s="461">
        <v>155</v>
      </c>
      <c r="W126" s="461">
        <v>1</v>
      </c>
      <c r="X126" s="461">
        <v>0</v>
      </c>
      <c r="Y126" s="461">
        <v>33</v>
      </c>
    </row>
    <row r="127">
      <c r="A127" s="420"/>
      <c r="B127" s="421" t="s">
        <v>775</v>
      </c>
      <c r="C127" s="421" t="s">
        <v>796</v>
      </c>
      <c r="D127" s="421">
        <v>2513.88</v>
      </c>
      <c r="E127" s="423">
        <v>8</v>
      </c>
      <c r="F127" s="423">
        <v>5</v>
      </c>
      <c r="G127" s="467">
        <v>9141.6</v>
      </c>
      <c r="H127" s="424">
        <f t="shared" si="358"/>
      </c>
      <c r="I127" s="424">
        <f t="shared" si="6"/>
      </c>
      <c r="J127" s="424">
        <f t="shared" si="69"/>
      </c>
      <c r="K127" s="425">
        <f t="shared" si="109"/>
      </c>
      <c r="L127" s="426">
        <f t="shared" si="169"/>
      </c>
      <c r="M127" s="427">
        <f t="shared" si="139"/>
      </c>
      <c r="N127" s="427">
        <f t="shared" si="199"/>
      </c>
      <c r="O127" s="427">
        <f t="shared" si="252"/>
      </c>
      <c r="P127" s="428">
        <f t="shared" si="305"/>
      </c>
      <c r="Q127" s="429" t="s">
        <v>769</v>
      </c>
      <c r="R127" s="430" t="s">
        <v>800</v>
      </c>
      <c r="S127" s="461">
        <v>8247</v>
      </c>
      <c r="T127" s="461">
        <v>1149</v>
      </c>
      <c r="U127" s="461">
        <v>1531</v>
      </c>
      <c r="V127" s="461">
        <v>160</v>
      </c>
      <c r="W127" s="461">
        <v>11</v>
      </c>
      <c r="X127" s="461">
        <v>2</v>
      </c>
      <c r="Y127" s="461">
        <v>31</v>
      </c>
    </row>
    <row r="128">
      <c r="A128" s="420"/>
      <c r="B128" s="421" t="s">
        <v>775</v>
      </c>
      <c r="C128" s="421" t="s">
        <v>797</v>
      </c>
      <c r="D128" s="421">
        <v>1631.76</v>
      </c>
      <c r="E128" s="423">
        <v>4</v>
      </c>
      <c r="F128" s="423">
        <v>2</v>
      </c>
      <c r="G128" s="467">
        <v>3351</v>
      </c>
      <c r="H128" s="424">
        <f t="shared" si="358"/>
      </c>
      <c r="I128" s="424">
        <f t="shared" si="6"/>
      </c>
      <c r="J128" s="424">
        <f t="shared" si="69"/>
      </c>
      <c r="K128" s="425">
        <f t="shared" si="109"/>
      </c>
      <c r="L128" s="426">
        <f t="shared" si="169"/>
      </c>
      <c r="M128" s="427">
        <f t="shared" si="139"/>
      </c>
      <c r="N128" s="427">
        <f t="shared" si="199"/>
      </c>
      <c r="O128" s="427">
        <f t="shared" si="252"/>
      </c>
      <c r="P128" s="428">
        <f t="shared" si="305"/>
      </c>
      <c r="Q128" s="429" t="s">
        <v>769</v>
      </c>
      <c r="R128" s="430" t="s">
        <v>800</v>
      </c>
      <c r="S128" s="461">
        <v>5116</v>
      </c>
      <c r="T128" s="461">
        <v>737</v>
      </c>
      <c r="U128" s="461">
        <v>1023</v>
      </c>
      <c r="V128" s="461">
        <v>79</v>
      </c>
      <c r="W128" s="461">
        <v>4</v>
      </c>
      <c r="X128" s="461">
        <v>1</v>
      </c>
      <c r="Y128" s="461">
        <v>21</v>
      </c>
    </row>
    <row r="129">
      <c r="A129" s="420"/>
      <c r="B129" s="421" t="s">
        <v>775</v>
      </c>
      <c r="C129" s="421" t="s">
        <v>798</v>
      </c>
      <c r="D129" s="421">
        <v>1995.71</v>
      </c>
      <c r="E129" s="423">
        <v>7</v>
      </c>
      <c r="F129" s="423">
        <v>4</v>
      </c>
      <c r="G129" s="462">
        <v>8197.2</v>
      </c>
      <c r="H129" s="424">
        <f t="shared" si="358"/>
      </c>
      <c r="I129" s="424">
        <f t="shared" si="6"/>
      </c>
      <c r="J129" s="424">
        <f t="shared" si="69"/>
      </c>
      <c r="K129" s="425">
        <f t="shared" si="109"/>
      </c>
      <c r="L129" s="426">
        <f t="shared" si="169"/>
      </c>
      <c r="M129" s="427">
        <f t="shared" si="139"/>
      </c>
      <c r="N129" s="427">
        <f t="shared" si="199"/>
      </c>
      <c r="O129" s="427">
        <f t="shared" si="252"/>
      </c>
      <c r="P129" s="428">
        <f t="shared" si="305"/>
      </c>
      <c r="Q129" s="429" t="s">
        <v>769</v>
      </c>
      <c r="R129" s="430" t="s">
        <v>800</v>
      </c>
      <c r="S129" s="461">
        <v>4842</v>
      </c>
      <c r="T129" s="461">
        <v>584</v>
      </c>
      <c r="U129" s="461">
        <v>895</v>
      </c>
      <c r="V129" s="461">
        <v>96</v>
      </c>
      <c r="W129" s="461">
        <v>7</v>
      </c>
      <c r="X129" s="435">
        <v>1</v>
      </c>
      <c r="Y129" s="435">
        <v>18</v>
      </c>
    </row>
    <row r="130">
      <c r="A130" s="420"/>
      <c r="B130" s="437" t="s">
        <v>774</v>
      </c>
      <c r="C130" s="437"/>
      <c r="D130" s="438">
        <f>SUM(D126:D129)</f>
      </c>
      <c r="E130" s="439">
        <f>SUM(E127:E129)</f>
      </c>
      <c r="F130" s="439">
        <f>SUM(F127:F129)</f>
      </c>
      <c r="G130" s="438">
        <f>SUM(G127:G129)</f>
      </c>
      <c r="H130" s="440">
        <f t="shared" si="358"/>
      </c>
      <c r="I130" s="441">
        <f t="shared" si="6"/>
      </c>
      <c r="J130" s="442">
        <f t="shared" si="69"/>
      </c>
      <c r="K130" s="443">
        <f t="shared" si="109"/>
      </c>
      <c r="L130" s="444">
        <f t="shared" si="169"/>
      </c>
      <c r="M130" s="443">
        <f t="shared" si="139"/>
      </c>
      <c r="N130" s="443">
        <f t="shared" si="199"/>
      </c>
      <c r="O130" s="445">
        <f t="shared" si="252"/>
      </c>
      <c r="P130" s="446">
        <f t="shared" si="305"/>
      </c>
      <c r="Q130" s="444"/>
      <c r="R130" s="444"/>
      <c r="S130" s="447">
        <f>SUM(S127:S129)</f>
      </c>
      <c r="T130" s="447">
        <f>SUM(T127:T129)</f>
      </c>
      <c r="U130" s="447">
        <f>SUM(U127:U129)</f>
      </c>
      <c r="V130" s="447">
        <f>SUM(V127:V129)</f>
      </c>
      <c r="W130" s="447">
        <f>SUM(W127:W129)</f>
      </c>
      <c r="X130" s="447">
        <f>SUM(X127:X129)</f>
      </c>
      <c r="Y130" s="447">
        <f>SUM(Y127:Y129)</f>
      </c>
    </row>
    <row r="131">
      <c r="A131" s="420"/>
      <c r="B131" s="421" t="s">
        <v>782</v>
      </c>
      <c r="C131" s="422" t="s">
        <v>768</v>
      </c>
      <c r="D131" s="421">
        <v>2029.39</v>
      </c>
      <c r="E131" s="423">
        <v>2</v>
      </c>
      <c r="F131" s="423">
        <v>2</v>
      </c>
      <c r="G131" s="468">
        <v>2295.6</v>
      </c>
      <c r="H131" s="424">
        <f t="shared" si="358"/>
      </c>
      <c r="I131" s="424">
        <f t="shared" si="6"/>
      </c>
      <c r="J131" s="424">
        <f t="shared" si="69"/>
      </c>
      <c r="K131" s="425">
        <f t="shared" si="109"/>
      </c>
      <c r="L131" s="426">
        <f t="shared" si="169"/>
      </c>
      <c r="M131" s="427">
        <f t="shared" si="139"/>
      </c>
      <c r="N131" s="427">
        <f t="shared" si="199"/>
      </c>
      <c r="O131" s="427">
        <f t="shared" si="252"/>
      </c>
      <c r="P131" s="428">
        <f t="shared" si="305"/>
      </c>
      <c r="Q131" s="429" t="s">
        <v>777</v>
      </c>
      <c r="R131" s="430" t="s">
        <v>800</v>
      </c>
      <c r="S131" s="436">
        <v>6156</v>
      </c>
      <c r="T131" s="436">
        <v>799</v>
      </c>
      <c r="U131" s="436">
        <v>1144</v>
      </c>
      <c r="V131" s="436">
        <v>104</v>
      </c>
      <c r="W131" s="435">
        <v>2</v>
      </c>
      <c r="X131" s="435">
        <v>1</v>
      </c>
      <c r="Y131" s="448">
        <v>24</v>
      </c>
    </row>
    <row r="132">
      <c r="A132" s="420"/>
      <c r="B132" s="421" t="s">
        <v>782</v>
      </c>
      <c r="C132" s="433" t="s">
        <v>771</v>
      </c>
      <c r="D132" s="421">
        <v>2544.92</v>
      </c>
      <c r="E132" s="423">
        <v>5</v>
      </c>
      <c r="F132" s="423">
        <v>2</v>
      </c>
      <c r="G132" s="468">
        <v>5774.9</v>
      </c>
      <c r="H132" s="424">
        <f t="shared" si="358"/>
      </c>
      <c r="I132" s="424">
        <f t="shared" si="6"/>
      </c>
      <c r="J132" s="424">
        <f t="shared" si="69"/>
      </c>
      <c r="K132" s="425">
        <f t="shared" si="109"/>
      </c>
      <c r="L132" s="426">
        <f t="shared" si="169"/>
      </c>
      <c r="M132" s="427">
        <f t="shared" si="139"/>
      </c>
      <c r="N132" s="427">
        <f t="shared" si="199"/>
      </c>
      <c r="O132" s="427">
        <f t="shared" si="252"/>
      </c>
      <c r="P132" s="428">
        <f t="shared" si="305"/>
      </c>
      <c r="Q132" s="429" t="s">
        <v>777</v>
      </c>
      <c r="R132" s="430" t="s">
        <v>800</v>
      </c>
      <c r="S132" s="436">
        <v>6666</v>
      </c>
      <c r="T132" s="436">
        <v>966</v>
      </c>
      <c r="U132" s="436">
        <v>1324</v>
      </c>
      <c r="V132" s="436">
        <v>126</v>
      </c>
      <c r="W132" s="435">
        <v>11</v>
      </c>
      <c r="X132" s="435">
        <v>1</v>
      </c>
      <c r="Y132" s="448">
        <v>58</v>
      </c>
      <c r="AA132" s="469"/>
      <c r="AB132" s="469"/>
      <c r="AC132" s="469"/>
      <c r="AD132" s="469"/>
      <c r="AE132" s="469"/>
      <c r="AF132" s="469"/>
      <c r="AG132" s="469"/>
      <c r="AH132" s="469"/>
      <c r="AI132" s="469"/>
      <c r="AJ132" s="469"/>
      <c r="AK132" s="470"/>
    </row>
    <row r="133">
      <c r="A133" s="420"/>
      <c r="B133" s="421" t="s">
        <v>782</v>
      </c>
      <c r="C133" s="433" t="s">
        <v>772</v>
      </c>
      <c r="D133" s="421">
        <v>2600.76</v>
      </c>
      <c r="E133" s="423">
        <v>3</v>
      </c>
      <c r="F133" s="423">
        <v>3</v>
      </c>
      <c r="G133" s="467">
        <v>2001.6</v>
      </c>
      <c r="H133" s="424">
        <f t="shared" si="358"/>
      </c>
      <c r="I133" s="424">
        <f t="shared" si="6"/>
      </c>
      <c r="J133" s="424">
        <f t="shared" si="69"/>
      </c>
      <c r="K133" s="425">
        <f t="shared" si="109"/>
      </c>
      <c r="L133" s="426">
        <f t="shared" si="169"/>
      </c>
      <c r="M133" s="427">
        <f t="shared" si="139"/>
      </c>
      <c r="N133" s="427">
        <f t="shared" si="199"/>
      </c>
      <c r="O133" s="427">
        <f t="shared" si="252"/>
      </c>
      <c r="P133" s="428">
        <f t="shared" si="305"/>
      </c>
      <c r="Q133" s="429" t="s">
        <v>777</v>
      </c>
      <c r="R133" s="430" t="s">
        <v>800</v>
      </c>
      <c r="S133" s="436">
        <v>6360</v>
      </c>
      <c r="T133" s="436">
        <v>889</v>
      </c>
      <c r="U133" s="436">
        <v>1223</v>
      </c>
      <c r="V133" s="436">
        <v>144</v>
      </c>
      <c r="W133" s="435">
        <v>3</v>
      </c>
      <c r="X133" s="435">
        <v>0</v>
      </c>
      <c r="Y133" s="448">
        <v>47</v>
      </c>
      <c r="AA133" s="471"/>
      <c r="AB133" s="471"/>
      <c r="AC133" s="471"/>
      <c r="AD133" s="471"/>
      <c r="AE133" s="471"/>
      <c r="AF133" s="471"/>
      <c r="AG133" s="471"/>
      <c r="AH133" s="471"/>
      <c r="AI133" s="471"/>
      <c r="AJ133" s="471"/>
      <c r="AK133" s="470"/>
    </row>
    <row r="134">
      <c r="A134" s="420"/>
      <c r="B134" s="421" t="s">
        <v>782</v>
      </c>
      <c r="C134" s="433" t="s">
        <v>773</v>
      </c>
      <c r="D134" s="421">
        <v>2496.87</v>
      </c>
      <c r="E134" s="423">
        <v>6</v>
      </c>
      <c r="F134" s="423">
        <v>3</v>
      </c>
      <c r="G134" s="467">
        <v>8898</v>
      </c>
      <c r="H134" s="424">
        <f t="shared" si="358"/>
      </c>
      <c r="I134" s="424">
        <f t="shared" si="6"/>
      </c>
      <c r="J134" s="424">
        <f t="shared" si="69"/>
      </c>
      <c r="K134" s="425">
        <f t="shared" si="109"/>
      </c>
      <c r="L134" s="426">
        <f t="shared" si="169"/>
      </c>
      <c r="M134" s="427">
        <f t="shared" si="139"/>
      </c>
      <c r="N134" s="427">
        <f t="shared" si="199"/>
      </c>
      <c r="O134" s="427">
        <f t="shared" si="252"/>
      </c>
      <c r="P134" s="428">
        <f t="shared" si="305"/>
      </c>
      <c r="Q134" s="429" t="s">
        <v>777</v>
      </c>
      <c r="R134" s="430" t="s">
        <v>800</v>
      </c>
      <c r="S134" s="436">
        <v>5488</v>
      </c>
      <c r="T134" s="436">
        <v>693</v>
      </c>
      <c r="U134" s="436">
        <v>1013</v>
      </c>
      <c r="V134" s="436">
        <v>116</v>
      </c>
      <c r="W134" s="435">
        <v>7</v>
      </c>
      <c r="X134" s="435">
        <v>0</v>
      </c>
      <c r="Y134" s="448">
        <v>31</v>
      </c>
      <c r="AA134" s="472"/>
      <c r="AB134" s="473"/>
      <c r="AC134" s="474"/>
      <c r="AD134" s="472"/>
      <c r="AE134" s="472"/>
      <c r="AF134" s="472"/>
      <c r="AG134" s="475"/>
      <c r="AH134" s="475"/>
      <c r="AI134" s="475"/>
      <c r="AJ134" s="474"/>
      <c r="AK134" s="470"/>
    </row>
    <row r="135">
      <c r="A135" s="420"/>
      <c r="B135" s="437" t="s">
        <v>774</v>
      </c>
      <c r="C135" s="437"/>
      <c r="D135" s="438">
        <f>SUM(D131:D134)</f>
      </c>
      <c r="E135" s="439">
        <f>SUM(E131:E134)</f>
      </c>
      <c r="F135" s="439">
        <f>SUM(F131:F134)</f>
      </c>
      <c r="G135" s="438">
        <f>SUM(G131:G134)</f>
      </c>
      <c r="H135" s="440">
        <f t="shared" si="358"/>
      </c>
      <c r="I135" s="441">
        <f t="shared" si="6"/>
      </c>
      <c r="J135" s="442">
        <f t="shared" si="69"/>
      </c>
      <c r="K135" s="443">
        <f t="shared" si="109"/>
      </c>
      <c r="L135" s="444">
        <f t="shared" si="169"/>
      </c>
      <c r="M135" s="443">
        <f t="shared" si="139"/>
      </c>
      <c r="N135" s="443">
        <f t="shared" si="199"/>
      </c>
      <c r="O135" s="445">
        <f t="shared" si="252"/>
      </c>
      <c r="P135" s="446">
        <f t="shared" si="305"/>
      </c>
      <c r="Q135" s="444"/>
      <c r="R135" s="444"/>
      <c r="S135" s="447">
        <f>SUM(S131:S134)</f>
      </c>
      <c r="T135" s="447">
        <f>SUM(T131:T134)</f>
      </c>
      <c r="U135" s="447">
        <f>SUM(U131:U134)</f>
      </c>
      <c r="V135" s="447">
        <f>SUM(V131:V134)</f>
      </c>
      <c r="W135" s="447">
        <f>SUM(W131:W134)</f>
      </c>
      <c r="X135" s="447">
        <f>SUM(X131:X134)</f>
      </c>
      <c r="Y135" s="447">
        <f>SUM(Y131:Y134)</f>
      </c>
      <c r="AA135" s="472"/>
      <c r="AB135" s="473"/>
      <c r="AC135" s="474"/>
      <c r="AD135" s="472"/>
      <c r="AE135" s="472"/>
      <c r="AF135" s="472"/>
      <c r="AG135" s="475"/>
      <c r="AH135" s="475"/>
      <c r="AI135" s="475"/>
      <c r="AJ135" s="474"/>
      <c r="AK135" s="470"/>
    </row>
    <row r="136">
      <c r="A136" s="420"/>
      <c r="B136" s="421" t="s">
        <v>767</v>
      </c>
      <c r="C136" s="433" t="s">
        <v>776</v>
      </c>
      <c r="D136" s="459">
        <v>1680.46</v>
      </c>
      <c r="E136" s="423">
        <v>1</v>
      </c>
      <c r="F136" s="423">
        <v>1</v>
      </c>
      <c r="G136" s="460">
        <v>402</v>
      </c>
      <c r="H136" s="424">
        <f t="shared" si="358"/>
      </c>
      <c r="I136" s="424">
        <f t="shared" si="6"/>
      </c>
      <c r="J136" s="424">
        <f t="shared" si="69"/>
      </c>
      <c r="K136" s="425">
        <f t="shared" si="109"/>
      </c>
      <c r="L136" s="426">
        <f t="shared" si="169"/>
      </c>
      <c r="M136" s="427">
        <f t="shared" si="139"/>
      </c>
      <c r="N136" s="427">
        <f t="shared" si="199"/>
      </c>
      <c r="O136" s="427">
        <f t="shared" si="252"/>
      </c>
      <c r="P136" s="428">
        <f t="shared" si="305"/>
      </c>
      <c r="Q136" s="429" t="s">
        <v>777</v>
      </c>
      <c r="R136" s="430" t="s">
        <v>802</v>
      </c>
      <c r="S136" s="436">
        <v>13996</v>
      </c>
      <c r="T136" s="436">
        <v>1856</v>
      </c>
      <c r="U136" s="436">
        <v>2558</v>
      </c>
      <c r="V136" s="436">
        <v>269</v>
      </c>
      <c r="W136" s="435">
        <v>2</v>
      </c>
      <c r="X136" s="435">
        <v>0</v>
      </c>
      <c r="Y136" s="448">
        <v>26</v>
      </c>
      <c r="AA136" s="472"/>
      <c r="AB136" s="473"/>
      <c r="AC136" s="474"/>
      <c r="AD136" s="474"/>
      <c r="AE136" s="472"/>
      <c r="AF136" s="472"/>
      <c r="AG136" s="475"/>
      <c r="AH136" s="475"/>
      <c r="AI136" s="475"/>
      <c r="AJ136" s="474"/>
      <c r="AK136" s="470"/>
    </row>
    <row r="137">
      <c r="A137" s="420"/>
      <c r="B137" s="421" t="s">
        <v>767</v>
      </c>
      <c r="C137" s="422" t="s">
        <v>779</v>
      </c>
      <c r="D137" s="459">
        <v>1549.95</v>
      </c>
      <c r="E137" s="423">
        <v>1</v>
      </c>
      <c r="F137" s="423">
        <v>1</v>
      </c>
      <c r="G137" s="460">
        <v>402</v>
      </c>
      <c r="H137" s="424">
        <f t="shared" si="358"/>
      </c>
      <c r="I137" s="424">
        <f t="shared" si="6"/>
      </c>
      <c r="J137" s="424">
        <f t="shared" si="69"/>
      </c>
      <c r="K137" s="425">
        <f t="shared" si="109"/>
      </c>
      <c r="L137" s="426">
        <f t="shared" si="169"/>
      </c>
      <c r="M137" s="427">
        <f t="shared" si="139"/>
      </c>
      <c r="N137" s="427">
        <f t="shared" si="199"/>
      </c>
      <c r="O137" s="427">
        <f t="shared" si="252"/>
      </c>
      <c r="P137" s="428">
        <f t="shared" si="305"/>
      </c>
      <c r="Q137" s="429" t="s">
        <v>777</v>
      </c>
      <c r="R137" s="430" t="s">
        <v>802</v>
      </c>
      <c r="S137" s="436">
        <v>4357</v>
      </c>
      <c r="T137" s="436">
        <v>510</v>
      </c>
      <c r="U137" s="436">
        <v>823</v>
      </c>
      <c r="V137" s="436">
        <v>95</v>
      </c>
      <c r="W137" s="435">
        <v>1</v>
      </c>
      <c r="X137" s="435">
        <v>0</v>
      </c>
      <c r="Y137" s="448">
        <v>19</v>
      </c>
      <c r="AA137" s="472"/>
      <c r="AB137" s="473"/>
      <c r="AC137" s="474"/>
      <c r="AD137" s="472"/>
      <c r="AE137" s="472"/>
      <c r="AF137" s="472"/>
      <c r="AG137" s="475"/>
      <c r="AH137" s="475"/>
      <c r="AI137" s="475"/>
      <c r="AJ137" s="474"/>
      <c r="AK137" s="470"/>
    </row>
    <row r="138">
      <c r="A138" s="420"/>
      <c r="B138" s="421" t="s">
        <v>767</v>
      </c>
      <c r="C138" s="422" t="s">
        <v>780</v>
      </c>
      <c r="D138" s="459">
        <v>1789.15</v>
      </c>
      <c r="E138" s="423">
        <v>5</v>
      </c>
      <c r="F138" s="423">
        <v>5</v>
      </c>
      <c r="G138" s="460">
        <v>4102.8</v>
      </c>
      <c r="H138" s="424">
        <f t="shared" si="358"/>
      </c>
      <c r="I138" s="424">
        <f t="shared" si="6"/>
      </c>
      <c r="J138" s="424">
        <f t="shared" si="69"/>
      </c>
      <c r="K138" s="425">
        <f t="shared" si="109"/>
      </c>
      <c r="L138" s="426">
        <f t="shared" si="169"/>
      </c>
      <c r="M138" s="427">
        <f t="shared" si="139"/>
      </c>
      <c r="N138" s="427">
        <f t="shared" si="199"/>
      </c>
      <c r="O138" s="427">
        <f t="shared" si="252"/>
      </c>
      <c r="P138" s="428">
        <f t="shared" si="305"/>
      </c>
      <c r="Q138" s="429" t="s">
        <v>777</v>
      </c>
      <c r="R138" s="430" t="s">
        <v>802</v>
      </c>
      <c r="S138" s="436">
        <v>5001</v>
      </c>
      <c r="T138" s="436">
        <v>770</v>
      </c>
      <c r="U138" s="436">
        <v>1199</v>
      </c>
      <c r="V138" s="436">
        <v>127</v>
      </c>
      <c r="W138" s="435">
        <v>8</v>
      </c>
      <c r="X138" s="435">
        <v>0</v>
      </c>
      <c r="Y138" s="448">
        <v>23</v>
      </c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0"/>
    </row>
    <row r="139">
      <c r="A139" s="420"/>
      <c r="B139" s="421" t="s">
        <v>767</v>
      </c>
      <c r="C139" s="422" t="s">
        <v>781</v>
      </c>
      <c r="D139" s="459">
        <v>2619.64</v>
      </c>
      <c r="E139" s="423">
        <v>3</v>
      </c>
      <c r="F139" s="423">
        <v>2</v>
      </c>
      <c r="G139" s="460">
        <v>2252.4</v>
      </c>
      <c r="H139" s="424">
        <f t="shared" si="358"/>
      </c>
      <c r="I139" s="424">
        <f t="shared" si="6"/>
      </c>
      <c r="J139" s="424">
        <f t="shared" si="69"/>
      </c>
      <c r="K139" s="425">
        <f t="shared" si="109"/>
      </c>
      <c r="L139" s="426">
        <f t="shared" si="169"/>
      </c>
      <c r="M139" s="427">
        <f t="shared" si="139"/>
      </c>
      <c r="N139" s="427">
        <f t="shared" si="199"/>
      </c>
      <c r="O139" s="427">
        <f t="shared" si="252"/>
      </c>
      <c r="P139" s="428">
        <f t="shared" si="305"/>
      </c>
      <c r="Q139" s="429" t="s">
        <v>777</v>
      </c>
      <c r="R139" s="430" t="s">
        <v>802</v>
      </c>
      <c r="S139" s="436">
        <v>6458</v>
      </c>
      <c r="T139" s="436">
        <v>961</v>
      </c>
      <c r="U139" s="436">
        <v>1433</v>
      </c>
      <c r="V139" s="436">
        <v>169</v>
      </c>
      <c r="W139" s="435">
        <v>4</v>
      </c>
      <c r="X139" s="435">
        <v>0</v>
      </c>
      <c r="Y139" s="448">
        <v>36</v>
      </c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0"/>
    </row>
    <row r="140">
      <c r="A140" s="420"/>
      <c r="B140" s="437" t="s">
        <v>774</v>
      </c>
      <c r="C140" s="437"/>
      <c r="D140" s="438">
        <f>SUM(D136:D139)</f>
      </c>
      <c r="E140" s="439">
        <f>SUM(E136:E139)</f>
      </c>
      <c r="F140" s="439">
        <f>SUM(F136:F139)</f>
      </c>
      <c r="G140" s="438">
        <f>SUM(G136:G139)</f>
      </c>
      <c r="H140" s="440">
        <f t="shared" si="358"/>
      </c>
      <c r="I140" s="441">
        <f t="shared" si="6"/>
      </c>
      <c r="J140" s="442">
        <f t="shared" si="69"/>
      </c>
      <c r="K140" s="443">
        <f t="shared" si="109"/>
      </c>
      <c r="L140" s="444">
        <f t="shared" si="169"/>
      </c>
      <c r="M140" s="443">
        <f t="shared" si="139"/>
      </c>
      <c r="N140" s="443">
        <f t="shared" si="199"/>
      </c>
      <c r="O140" s="445">
        <f t="shared" si="252"/>
      </c>
      <c r="P140" s="446">
        <f t="shared" si="305"/>
      </c>
      <c r="Q140" s="444"/>
      <c r="R140" s="444"/>
      <c r="S140" s="447">
        <f>SUM(S136:S139)</f>
      </c>
      <c r="T140" s="447">
        <f>SUM(T136:T139)</f>
      </c>
      <c r="U140" s="447">
        <f>SUM(U136:U139)</f>
      </c>
      <c r="V140" s="447">
        <f>SUM(V136:V139)</f>
      </c>
      <c r="W140" s="447">
        <f>SUM(W136:W139)</f>
      </c>
      <c r="X140" s="447">
        <f>SUM(X136:X139)</f>
      </c>
      <c r="Y140" s="447">
        <f>SUM(Y136:Y139)</f>
      </c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0"/>
    </row>
    <row r="141">
      <c r="A141" s="420"/>
      <c r="B141" s="421" t="s">
        <v>789</v>
      </c>
      <c r="C141" s="422" t="s">
        <v>783</v>
      </c>
      <c r="D141" s="459">
        <v>2727.2</v>
      </c>
      <c r="E141" s="423">
        <v>5</v>
      </c>
      <c r="F141" s="423">
        <v>3</v>
      </c>
      <c r="G141" s="460">
        <v>4941.2</v>
      </c>
      <c r="H141" s="424">
        <f t="shared" si="358"/>
      </c>
      <c r="I141" s="424">
        <f t="shared" si="6"/>
      </c>
      <c r="J141" s="424">
        <f t="shared" si="69"/>
      </c>
      <c r="K141" s="425">
        <f t="shared" si="109"/>
      </c>
      <c r="L141" s="426">
        <f t="shared" si="169"/>
      </c>
      <c r="M141" s="427">
        <f t="shared" si="139"/>
      </c>
      <c r="N141" s="427">
        <f t="shared" si="199"/>
      </c>
      <c r="O141" s="427">
        <f t="shared" si="252"/>
      </c>
      <c r="P141" s="428">
        <f t="shared" si="305"/>
      </c>
      <c r="Q141" s="429" t="s">
        <v>777</v>
      </c>
      <c r="R141" s="430" t="s">
        <v>802</v>
      </c>
      <c r="S141" s="436">
        <v>7616</v>
      </c>
      <c r="T141" s="436">
        <v>1158</v>
      </c>
      <c r="U141" s="436">
        <v>1699</v>
      </c>
      <c r="V141" s="436">
        <v>174</v>
      </c>
      <c r="W141" s="435">
        <v>9</v>
      </c>
      <c r="X141" s="435">
        <v>2</v>
      </c>
      <c r="Y141" s="448">
        <v>22</v>
      </c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0"/>
    </row>
    <row r="142">
      <c r="A142" s="420"/>
      <c r="B142" s="421" t="s">
        <v>789</v>
      </c>
      <c r="C142" s="451" t="s">
        <v>784</v>
      </c>
      <c r="D142" s="459">
        <v>2684.94</v>
      </c>
      <c r="E142" s="423">
        <v>5</v>
      </c>
      <c r="F142" s="423">
        <v>3</v>
      </c>
      <c r="G142" s="460">
        <v>3812.4</v>
      </c>
      <c r="H142" s="424">
        <f t="shared" si="358"/>
      </c>
      <c r="I142" s="424">
        <f t="shared" si="6"/>
      </c>
      <c r="J142" s="424">
        <f t="shared" si="69"/>
      </c>
      <c r="K142" s="425">
        <f t="shared" si="109"/>
      </c>
      <c r="L142" s="426">
        <f t="shared" si="169"/>
      </c>
      <c r="M142" s="427">
        <f t="shared" si="139"/>
      </c>
      <c r="N142" s="427">
        <f t="shared" si="199"/>
      </c>
      <c r="O142" s="427">
        <f t="shared" si="252"/>
      </c>
      <c r="P142" s="428">
        <f t="shared" si="305"/>
      </c>
      <c r="Q142" s="429" t="s">
        <v>777</v>
      </c>
      <c r="R142" s="430" t="s">
        <v>802</v>
      </c>
      <c r="S142" s="436">
        <v>8040</v>
      </c>
      <c r="T142" s="436">
        <v>1193</v>
      </c>
      <c r="U142" s="436">
        <v>1705</v>
      </c>
      <c r="V142" s="436">
        <v>167</v>
      </c>
      <c r="W142" s="435">
        <v>5</v>
      </c>
      <c r="X142" s="435">
        <v>0</v>
      </c>
      <c r="Y142" s="448">
        <v>39</v>
      </c>
    </row>
    <row r="143">
      <c r="A143" s="420"/>
      <c r="B143" s="421" t="s">
        <v>789</v>
      </c>
      <c r="C143" s="451" t="s">
        <v>785</v>
      </c>
      <c r="D143" s="459">
        <v>3137.62</v>
      </c>
      <c r="E143" s="423">
        <v>3</v>
      </c>
      <c r="F143" s="423">
        <v>3</v>
      </c>
      <c r="G143" s="460">
        <v>1456.8</v>
      </c>
      <c r="H143" s="424">
        <f t="shared" si="358"/>
      </c>
      <c r="I143" s="424">
        <f t="shared" si="6"/>
      </c>
      <c r="J143" s="424">
        <f t="shared" si="69"/>
      </c>
      <c r="K143" s="425">
        <f t="shared" si="109"/>
      </c>
      <c r="L143" s="426">
        <f t="shared" si="169"/>
      </c>
      <c r="M143" s="427">
        <f t="shared" si="139"/>
      </c>
      <c r="N143" s="427">
        <f t="shared" si="199"/>
      </c>
      <c r="O143" s="427">
        <f t="shared" si="252"/>
      </c>
      <c r="P143" s="428">
        <f t="shared" si="305"/>
      </c>
      <c r="Q143" s="429" t="s">
        <v>777</v>
      </c>
      <c r="R143" s="430" t="s">
        <v>802</v>
      </c>
      <c r="S143" s="436">
        <v>8628</v>
      </c>
      <c r="T143" s="436">
        <v>1257</v>
      </c>
      <c r="U143" s="436">
        <v>1737</v>
      </c>
      <c r="V143" s="436">
        <v>161</v>
      </c>
      <c r="W143" s="435">
        <v>5</v>
      </c>
      <c r="X143" s="435">
        <v>0</v>
      </c>
      <c r="Y143" s="448">
        <v>29</v>
      </c>
      <c r="AA143" s="477"/>
      <c r="AB143" s="477"/>
      <c r="AC143" s="477"/>
      <c r="AD143" s="477"/>
      <c r="AE143" s="477"/>
      <c r="AF143" s="477"/>
      <c r="AG143" s="477"/>
      <c r="AH143" s="477"/>
      <c r="AI143" s="477"/>
      <c r="AJ143" s="477"/>
      <c r="AK143" s="477"/>
    </row>
    <row r="144">
      <c r="A144" s="420"/>
      <c r="B144" s="421" t="s">
        <v>789</v>
      </c>
      <c r="C144" s="451" t="s">
        <v>786</v>
      </c>
      <c r="D144" s="459">
        <v>2320.66</v>
      </c>
      <c r="E144" s="423">
        <v>11</v>
      </c>
      <c r="F144" s="423">
        <v>2</v>
      </c>
      <c r="G144" s="460">
        <v>13279.2</v>
      </c>
      <c r="H144" s="424">
        <f t="shared" si="358"/>
      </c>
      <c r="I144" s="424">
        <f t="shared" si="6"/>
      </c>
      <c r="J144" s="424">
        <f t="shared" si="69"/>
      </c>
      <c r="K144" s="425">
        <f t="shared" si="109"/>
      </c>
      <c r="L144" s="426">
        <f t="shared" si="169"/>
      </c>
      <c r="M144" s="427">
        <f t="shared" si="139"/>
      </c>
      <c r="N144" s="427">
        <f t="shared" si="199"/>
      </c>
      <c r="O144" s="427">
        <f t="shared" si="252"/>
      </c>
      <c r="P144" s="428">
        <f t="shared" si="305"/>
      </c>
      <c r="Q144" s="429" t="s">
        <v>777</v>
      </c>
      <c r="R144" s="430" t="s">
        <v>802</v>
      </c>
      <c r="S144" s="436">
        <v>8514</v>
      </c>
      <c r="T144" s="436">
        <v>1049</v>
      </c>
      <c r="U144" s="436">
        <v>1387</v>
      </c>
      <c r="V144" s="436">
        <v>123</v>
      </c>
      <c r="W144" s="435">
        <v>9</v>
      </c>
      <c r="X144" s="435">
        <v>2</v>
      </c>
      <c r="Y144" s="448">
        <v>26</v>
      </c>
      <c r="AA144" s="478"/>
      <c r="AB144" s="478"/>
      <c r="AC144" s="479"/>
      <c r="AD144" s="478"/>
      <c r="AE144" s="478"/>
      <c r="AF144" s="478"/>
      <c r="AG144" s="478"/>
      <c r="AH144" s="480"/>
      <c r="AI144" s="480"/>
      <c r="AJ144" s="480"/>
      <c r="AK144" s="480"/>
    </row>
    <row r="145">
      <c r="A145" s="420"/>
      <c r="B145" s="437" t="s">
        <v>774</v>
      </c>
      <c r="C145" s="437"/>
      <c r="D145" s="438">
        <f>SUM(D141:D144)</f>
      </c>
      <c r="E145" s="439">
        <f>SUM(E141:E144)</f>
      </c>
      <c r="F145" s="439">
        <f>SUM(F141:F144)</f>
      </c>
      <c r="G145" s="438">
        <f>SUM(G141:G144)</f>
      </c>
      <c r="H145" s="440">
        <f t="shared" si="358"/>
      </c>
      <c r="I145" s="441">
        <f t="shared" si="6"/>
      </c>
      <c r="J145" s="442">
        <f t="shared" si="69"/>
      </c>
      <c r="K145" s="443">
        <f t="shared" si="109"/>
      </c>
      <c r="L145" s="444">
        <f t="shared" si="169"/>
      </c>
      <c r="M145" s="443">
        <f t="shared" si="139"/>
      </c>
      <c r="N145" s="443">
        <f t="shared" si="199"/>
      </c>
      <c r="O145" s="445">
        <f t="shared" si="252"/>
      </c>
      <c r="P145" s="446">
        <f t="shared" si="305"/>
      </c>
      <c r="Q145" s="444"/>
      <c r="R145" s="444"/>
      <c r="S145" s="447">
        <f>SUM(S141:S144)</f>
      </c>
      <c r="T145" s="447">
        <f>SUM(T141:T144)</f>
      </c>
      <c r="U145" s="447">
        <f>SUM(U141:U144)</f>
      </c>
      <c r="V145" s="447">
        <f>SUM(V141:V144)</f>
      </c>
      <c r="W145" s="447">
        <f>SUM(W141:W144)</f>
      </c>
      <c r="X145" s="447">
        <f>SUM(X141:X144)</f>
      </c>
      <c r="Y145" s="447">
        <f>SUM(Y141:Y144)</f>
      </c>
      <c r="AA145" s="465"/>
      <c r="AB145" s="465"/>
      <c r="AC145" s="481"/>
      <c r="AD145" s="482"/>
      <c r="AE145" s="481"/>
      <c r="AF145" s="483"/>
      <c r="AG145" s="483"/>
      <c r="AH145" s="484"/>
      <c r="AI145" s="484"/>
      <c r="AJ145" s="485"/>
      <c r="AK145" s="485"/>
    </row>
    <row r="146">
      <c r="A146" s="420"/>
      <c r="B146" s="452" t="s">
        <v>787</v>
      </c>
      <c r="C146" s="452"/>
      <c r="D146" s="466">
        <f>D130+D135+D145+D140</f>
      </c>
      <c r="E146" s="454">
        <f>E130+E135+E145+E140</f>
      </c>
      <c r="F146" s="454">
        <f>F130+F135+F145+F140</f>
      </c>
      <c r="G146" s="466">
        <f>G130+G135+G140+G145</f>
      </c>
      <c r="H146" s="452">
        <f t="shared" si="358"/>
      </c>
      <c r="I146" s="452">
        <f t="shared" si="6"/>
      </c>
      <c r="J146" s="452">
        <f t="shared" si="69"/>
      </c>
      <c r="K146" s="455">
        <f t="shared" si="109"/>
      </c>
      <c r="L146" s="452">
        <f t="shared" si="169"/>
      </c>
      <c r="M146" s="455">
        <f t="shared" si="139"/>
      </c>
      <c r="N146" s="455">
        <f t="shared" si="199"/>
      </c>
      <c r="O146" s="455">
        <f t="shared" si="252"/>
      </c>
      <c r="P146" s="452">
        <f t="shared" si="305"/>
      </c>
      <c r="Q146" s="456"/>
      <c r="R146" s="456"/>
      <c r="S146" s="454">
        <f>S130+S135+S145+S140</f>
      </c>
      <c r="T146" s="454">
        <f>T130+T135+T145+T140</f>
      </c>
      <c r="U146" s="454">
        <f>U130+U135+U145+U140</f>
      </c>
      <c r="V146" s="454">
        <f>V130+V135+V145+V140</f>
      </c>
      <c r="W146" s="454">
        <f>W130+W135+W145+W140</f>
      </c>
      <c r="X146" s="454">
        <f>X130+X135+X145+X140</f>
      </c>
      <c r="Y146" s="454">
        <f>Y130+Y135+Y145+Y140</f>
      </c>
    </row>
    <row r="147">
      <c r="A147" s="405" t="s">
        <v>738</v>
      </c>
      <c r="B147" s="405"/>
      <c r="C147" s="405"/>
      <c r="D147" s="406" t="s">
        <v>739</v>
      </c>
      <c r="E147" s="406"/>
      <c r="F147" s="406"/>
      <c r="G147" s="406"/>
      <c r="H147" s="406"/>
      <c r="I147" s="406"/>
      <c r="J147" s="406"/>
      <c r="K147" s="407" t="s">
        <v>740</v>
      </c>
      <c r="L147" s="407"/>
      <c r="M147" s="407"/>
      <c r="N147" s="407"/>
      <c r="O147" s="407"/>
      <c r="P147" s="407"/>
      <c r="Q147" s="407"/>
      <c r="R147" s="407"/>
      <c r="S147" s="408" t="s">
        <v>741</v>
      </c>
      <c r="T147" s="408"/>
      <c r="U147" s="408"/>
      <c r="V147" s="408"/>
      <c r="W147" s="408"/>
      <c r="X147" s="408"/>
      <c r="Y147" s="408"/>
    </row>
    <row r="148">
      <c r="A148" s="409" t="s">
        <v>742</v>
      </c>
      <c r="B148" s="409" t="s">
        <v>743</v>
      </c>
      <c r="C148" s="409" t="s">
        <v>744</v>
      </c>
      <c r="D148" s="410" t="s">
        <v>745</v>
      </c>
      <c r="E148" s="411" t="s">
        <v>746</v>
      </c>
      <c r="F148" s="463" t="s">
        <v>792</v>
      </c>
      <c r="G148" s="410" t="s">
        <v>747</v>
      </c>
      <c r="H148" s="412" t="s">
        <v>748</v>
      </c>
      <c r="I148" s="413" t="s">
        <v>749</v>
      </c>
      <c r="J148" s="410" t="s">
        <v>750</v>
      </c>
      <c r="K148" s="414" t="s">
        <v>751</v>
      </c>
      <c r="L148" s="415" t="s">
        <v>752</v>
      </c>
      <c r="M148" s="414" t="s">
        <v>753</v>
      </c>
      <c r="N148" s="414" t="s">
        <v>754</v>
      </c>
      <c r="O148" s="416" t="s">
        <v>755</v>
      </c>
      <c r="P148" s="416" t="s">
        <v>756</v>
      </c>
      <c r="Q148" s="417" t="s">
        <v>757</v>
      </c>
      <c r="R148" s="417" t="s">
        <v>758</v>
      </c>
      <c r="S148" s="431" t="s">
        <v>759</v>
      </c>
      <c r="T148" s="431" t="s">
        <v>760</v>
      </c>
      <c r="U148" s="431" t="s">
        <v>761</v>
      </c>
      <c r="V148" s="431" t="s">
        <v>762</v>
      </c>
      <c r="W148" s="431" t="s">
        <v>763</v>
      </c>
      <c r="X148" s="431" t="s">
        <v>764</v>
      </c>
      <c r="Y148" s="419" t="s">
        <v>765</v>
      </c>
    </row>
    <row r="149">
      <c r="A149" s="420" t="s">
        <v>804</v>
      </c>
      <c r="B149" s="421" t="s">
        <v>775</v>
      </c>
      <c r="C149" s="451" t="s">
        <v>794</v>
      </c>
      <c r="D149" s="421">
        <v>1492.9</v>
      </c>
      <c r="E149" s="423">
        <v>2</v>
      </c>
      <c r="F149" s="423">
        <v>1</v>
      </c>
      <c r="G149" s="467">
        <v>1816.8</v>
      </c>
      <c r="H149" s="424">
        <f t="shared" ref="H149:H169" si="359">G149/D149</f>
      </c>
      <c r="I149" s="424">
        <f t="shared" ref="I149:I169" si="7">D149/E149</f>
      </c>
      <c r="J149" s="424">
        <f t="shared" ref="J149:J169" si="70">G149/E149</f>
      </c>
      <c r="K149" s="425">
        <f t="shared" ref="K149:K169" si="110">T149/S149</f>
      </c>
      <c r="L149" s="426">
        <f t="shared" ref="L149:L169" si="170">D149/U149</f>
      </c>
      <c r="M149" s="427">
        <f t="shared" ref="M149:M169" si="140">V149/U149</f>
      </c>
      <c r="N149" s="427">
        <f t="shared" ref="N149:N169" si="200">E149/W149</f>
      </c>
      <c r="O149" s="427">
        <f t="shared" ref="O149:O169" si="253">X149/E149</f>
      </c>
      <c r="P149" s="428">
        <f t="shared" ref="P149:P169" si="306">(Y149*1000)/D149</f>
      </c>
      <c r="Q149" s="429" t="s">
        <v>769</v>
      </c>
      <c r="R149" s="430" t="s">
        <v>800</v>
      </c>
      <c r="S149" s="461">
        <v>7529</v>
      </c>
      <c r="T149" s="461">
        <v>1087</v>
      </c>
      <c r="U149" s="461">
        <v>1540</v>
      </c>
      <c r="V149" s="461">
        <v>167</v>
      </c>
      <c r="W149" s="461">
        <v>3</v>
      </c>
      <c r="X149" s="461">
        <v>1</v>
      </c>
      <c r="Y149" s="461">
        <v>25</v>
      </c>
    </row>
    <row r="150">
      <c r="A150" s="420"/>
      <c r="B150" s="421" t="s">
        <v>775</v>
      </c>
      <c r="C150" s="421" t="s">
        <v>796</v>
      </c>
      <c r="D150" s="421">
        <v>1784.83</v>
      </c>
      <c r="E150" s="423">
        <v>4</v>
      </c>
      <c r="F150" s="423">
        <v>3</v>
      </c>
      <c r="G150" s="467">
        <v>8182.8</v>
      </c>
      <c r="H150" s="424">
        <f t="shared" si="359"/>
      </c>
      <c r="I150" s="424">
        <f t="shared" si="7"/>
      </c>
      <c r="J150" s="424">
        <f t="shared" si="70"/>
      </c>
      <c r="K150" s="425">
        <f t="shared" si="110"/>
      </c>
      <c r="L150" s="426">
        <f t="shared" si="170"/>
      </c>
      <c r="M150" s="427">
        <f t="shared" si="140"/>
      </c>
      <c r="N150" s="427">
        <f t="shared" si="200"/>
      </c>
      <c r="O150" s="427">
        <f t="shared" si="253"/>
      </c>
      <c r="P150" s="428">
        <f t="shared" si="306"/>
      </c>
      <c r="Q150" s="429" t="s">
        <v>769</v>
      </c>
      <c r="R150" s="430" t="s">
        <v>800</v>
      </c>
      <c r="S150" s="461">
        <v>6803</v>
      </c>
      <c r="T150" s="461">
        <v>877</v>
      </c>
      <c r="U150" s="461">
        <v>1267</v>
      </c>
      <c r="V150" s="461">
        <v>154</v>
      </c>
      <c r="W150" s="461">
        <v>5</v>
      </c>
      <c r="X150" s="461">
        <v>0</v>
      </c>
      <c r="Y150" s="461">
        <v>27</v>
      </c>
    </row>
    <row r="151">
      <c r="A151" s="420"/>
      <c r="B151" s="421" t="s">
        <v>775</v>
      </c>
      <c r="C151" s="421" t="s">
        <v>797</v>
      </c>
      <c r="D151" s="421">
        <v>2226.23</v>
      </c>
      <c r="E151" s="423">
        <v>0</v>
      </c>
      <c r="F151" s="423">
        <v>0</v>
      </c>
      <c r="G151" s="467">
        <v>0</v>
      </c>
      <c r="H151" s="424">
        <f t="shared" si="359"/>
      </c>
      <c r="I151" s="424">
        <f t="shared" si="7"/>
      </c>
      <c r="J151" s="424">
        <f t="shared" si="70"/>
      </c>
      <c r="K151" s="425">
        <f t="shared" si="110"/>
      </c>
      <c r="L151" s="426">
        <f t="shared" si="170"/>
      </c>
      <c r="M151" s="427">
        <f t="shared" si="140"/>
      </c>
      <c r="N151" s="427">
        <f t="shared" si="200"/>
      </c>
      <c r="O151" s="427">
        <f t="shared" si="253"/>
      </c>
      <c r="P151" s="428">
        <f t="shared" si="306"/>
      </c>
      <c r="Q151" s="429" t="s">
        <v>769</v>
      </c>
      <c r="R151" s="430" t="s">
        <v>800</v>
      </c>
      <c r="S151" s="461">
        <v>5406</v>
      </c>
      <c r="T151" s="461">
        <v>793</v>
      </c>
      <c r="U151" s="461">
        <v>1154</v>
      </c>
      <c r="V151" s="461">
        <v>155</v>
      </c>
      <c r="W151" s="461">
        <v>2</v>
      </c>
      <c r="X151" s="461">
        <v>0</v>
      </c>
      <c r="Y151" s="461">
        <v>32</v>
      </c>
    </row>
    <row r="152">
      <c r="A152" s="420"/>
      <c r="B152" s="421" t="s">
        <v>775</v>
      </c>
      <c r="C152" s="421" t="s">
        <v>798</v>
      </c>
      <c r="D152" s="421">
        <v>1985.04</v>
      </c>
      <c r="E152" s="423">
        <v>6</v>
      </c>
      <c r="F152" s="423">
        <v>3</v>
      </c>
      <c r="G152" s="462">
        <v>6914.4</v>
      </c>
      <c r="H152" s="424">
        <f t="shared" si="359"/>
      </c>
      <c r="I152" s="424">
        <f t="shared" si="7"/>
      </c>
      <c r="J152" s="424">
        <f t="shared" si="70"/>
      </c>
      <c r="K152" s="425">
        <f t="shared" si="110"/>
      </c>
      <c r="L152" s="426">
        <f t="shared" si="170"/>
      </c>
      <c r="M152" s="427">
        <f t="shared" si="140"/>
      </c>
      <c r="N152" s="427">
        <f t="shared" si="200"/>
      </c>
      <c r="O152" s="427">
        <f t="shared" si="253"/>
      </c>
      <c r="P152" s="428">
        <f t="shared" si="306"/>
      </c>
      <c r="Q152" s="429" t="s">
        <v>769</v>
      </c>
      <c r="R152" s="430" t="s">
        <v>800</v>
      </c>
      <c r="S152" s="461">
        <v>5370</v>
      </c>
      <c r="T152" s="461">
        <v>760</v>
      </c>
      <c r="U152" s="461">
        <v>1167</v>
      </c>
      <c r="V152" s="461">
        <v>142</v>
      </c>
      <c r="W152" s="461">
        <v>8</v>
      </c>
      <c r="X152" s="435">
        <v>2</v>
      </c>
      <c r="Y152" s="435">
        <v>28</v>
      </c>
    </row>
    <row r="153">
      <c r="A153" s="420"/>
      <c r="B153" s="437" t="s">
        <v>774</v>
      </c>
      <c r="C153" s="437"/>
      <c r="D153" s="438">
        <f>SUM(D149:D152)</f>
      </c>
      <c r="E153" s="439">
        <f>SUM(E149:E152)</f>
      </c>
      <c r="F153" s="439">
        <f>SUM(F149:F152)</f>
      </c>
      <c r="G153" s="438">
        <f>SUM(G149:G152)</f>
      </c>
      <c r="H153" s="440">
        <f t="shared" si="359"/>
      </c>
      <c r="I153" s="441">
        <f t="shared" si="7"/>
      </c>
      <c r="J153" s="442">
        <f t="shared" si="70"/>
      </c>
      <c r="K153" s="443">
        <f t="shared" si="110"/>
      </c>
      <c r="L153" s="444">
        <f t="shared" si="170"/>
      </c>
      <c r="M153" s="443">
        <f t="shared" si="140"/>
      </c>
      <c r="N153" s="443">
        <f t="shared" si="200"/>
      </c>
      <c r="O153" s="445">
        <f t="shared" si="253"/>
      </c>
      <c r="P153" s="446">
        <f t="shared" si="306"/>
      </c>
      <c r="Q153" s="444"/>
      <c r="R153" s="444"/>
      <c r="S153" s="447">
        <f>SUM(S149:S152)</f>
      </c>
      <c r="T153" s="447">
        <f>SUM(T149:T152)</f>
      </c>
      <c r="U153" s="447">
        <f>SUM(U149:U152)</f>
      </c>
      <c r="V153" s="447">
        <f>SUM(V149:V152)</f>
      </c>
      <c r="W153" s="447">
        <f>SUM(W149:W152)</f>
      </c>
      <c r="X153" s="447">
        <f>SUM(X149:X152)</f>
      </c>
      <c r="Y153" s="447">
        <f>SUM(Y149:Y152)</f>
      </c>
    </row>
    <row r="154">
      <c r="A154" s="420"/>
      <c r="B154" s="421" t="s">
        <v>782</v>
      </c>
      <c r="C154" s="422" t="s">
        <v>768</v>
      </c>
      <c r="D154" s="421">
        <v>2216.27</v>
      </c>
      <c r="E154" s="423">
        <v>1</v>
      </c>
      <c r="F154" s="423">
        <v>1</v>
      </c>
      <c r="G154" s="468">
        <v>368</v>
      </c>
      <c r="H154" s="424">
        <f t="shared" si="359"/>
      </c>
      <c r="I154" s="424">
        <f t="shared" si="7"/>
      </c>
      <c r="J154" s="424">
        <f t="shared" si="70"/>
      </c>
      <c r="K154" s="425">
        <f t="shared" si="110"/>
      </c>
      <c r="L154" s="426">
        <f t="shared" si="170"/>
      </c>
      <c r="M154" s="427">
        <f t="shared" si="140"/>
      </c>
      <c r="N154" s="427">
        <f t="shared" si="200"/>
      </c>
      <c r="O154" s="427">
        <f t="shared" si="253"/>
      </c>
      <c r="P154" s="428">
        <f t="shared" si="306"/>
      </c>
      <c r="Q154" s="429" t="s">
        <v>777</v>
      </c>
      <c r="R154" s="430" t="s">
        <v>800</v>
      </c>
      <c r="S154" s="436">
        <v>5562</v>
      </c>
      <c r="T154" s="436">
        <v>777</v>
      </c>
      <c r="U154" s="436">
        <v>1183</v>
      </c>
      <c r="V154" s="436">
        <v>125</v>
      </c>
      <c r="W154" s="435">
        <v>3</v>
      </c>
      <c r="X154" s="435">
        <v>0</v>
      </c>
      <c r="Y154" s="448">
        <v>25</v>
      </c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</row>
    <row r="155">
      <c r="A155" s="420"/>
      <c r="B155" s="421" t="s">
        <v>782</v>
      </c>
      <c r="C155" s="433" t="s">
        <v>771</v>
      </c>
      <c r="D155" s="421">
        <v>1827.64</v>
      </c>
      <c r="E155" s="423">
        <v>3</v>
      </c>
      <c r="F155" s="423">
        <v>3</v>
      </c>
      <c r="G155" s="468">
        <v>2503.2</v>
      </c>
      <c r="H155" s="424">
        <f t="shared" si="359"/>
      </c>
      <c r="I155" s="424">
        <f t="shared" si="7"/>
      </c>
      <c r="J155" s="424">
        <f t="shared" si="70"/>
      </c>
      <c r="K155" s="425">
        <f t="shared" si="110"/>
      </c>
      <c r="L155" s="426">
        <f t="shared" si="170"/>
      </c>
      <c r="M155" s="427">
        <f t="shared" si="140"/>
      </c>
      <c r="N155" s="427">
        <f t="shared" si="200"/>
      </c>
      <c r="O155" s="427">
        <f t="shared" si="253"/>
      </c>
      <c r="P155" s="428">
        <f t="shared" si="306"/>
      </c>
      <c r="Q155" s="429" t="s">
        <v>777</v>
      </c>
      <c r="R155" s="430" t="s">
        <v>800</v>
      </c>
      <c r="S155" s="436">
        <v>4752</v>
      </c>
      <c r="T155" s="436">
        <v>683</v>
      </c>
      <c r="U155" s="436">
        <v>974</v>
      </c>
      <c r="V155" s="436">
        <v>105</v>
      </c>
      <c r="W155" s="435">
        <v>3</v>
      </c>
      <c r="X155" s="435">
        <v>0</v>
      </c>
      <c r="Y155" s="448">
        <v>25</v>
      </c>
      <c r="Z155" s="486"/>
      <c r="AA155" s="487" t="s">
        <v>805</v>
      </c>
      <c r="AB155" s="488"/>
      <c r="AC155" s="488"/>
      <c r="AD155" s="488"/>
      <c r="AE155" s="488"/>
      <c r="AF155" s="488"/>
      <c r="AG155" s="488"/>
      <c r="AH155" s="488"/>
      <c r="AI155" s="488"/>
      <c r="AJ155" s="488"/>
      <c r="AK155" s="488"/>
      <c r="AL155" s="486"/>
    </row>
    <row r="156">
      <c r="A156" s="420"/>
      <c r="B156" s="421" t="s">
        <v>782</v>
      </c>
      <c r="C156" s="433" t="s">
        <v>772</v>
      </c>
      <c r="D156" s="421">
        <v>1171.87</v>
      </c>
      <c r="E156" s="423">
        <v>0</v>
      </c>
      <c r="F156" s="423">
        <v>0</v>
      </c>
      <c r="G156" s="467">
        <v>0</v>
      </c>
      <c r="H156" s="424">
        <f t="shared" si="359"/>
      </c>
      <c r="I156" s="424">
        <f t="shared" si="7"/>
      </c>
      <c r="J156" s="424">
        <f t="shared" si="70"/>
      </c>
      <c r="K156" s="425">
        <f t="shared" si="110"/>
      </c>
      <c r="L156" s="426">
        <f t="shared" si="170"/>
      </c>
      <c r="M156" s="427">
        <f t="shared" si="140"/>
      </c>
      <c r="N156" s="427">
        <f t="shared" si="200"/>
      </c>
      <c r="O156" s="427">
        <f t="shared" si="253"/>
      </c>
      <c r="P156" s="428">
        <f t="shared" si="306"/>
      </c>
      <c r="Q156" s="429" t="s">
        <v>777</v>
      </c>
      <c r="R156" s="430" t="s">
        <v>800</v>
      </c>
      <c r="S156" s="436">
        <v>3670</v>
      </c>
      <c r="T156" s="436">
        <v>570</v>
      </c>
      <c r="U156" s="436">
        <v>808</v>
      </c>
      <c r="V156" s="436">
        <v>72</v>
      </c>
      <c r="W156" s="435">
        <v>0</v>
      </c>
      <c r="X156" s="435">
        <v>0</v>
      </c>
      <c r="Y156" s="448">
        <v>14</v>
      </c>
      <c r="Z156" s="486"/>
      <c r="AA156" s="489" t="s">
        <v>806</v>
      </c>
      <c r="AB156" s="489" t="s">
        <v>807</v>
      </c>
      <c r="AC156" s="489" t="s">
        <v>808</v>
      </c>
      <c r="AD156" s="489" t="s">
        <v>809</v>
      </c>
      <c r="AE156" s="489" t="s">
        <v>810</v>
      </c>
      <c r="AF156" s="489" t="s">
        <v>811</v>
      </c>
      <c r="AG156" s="489" t="s">
        <v>750</v>
      </c>
      <c r="AH156" s="489" t="s">
        <v>812</v>
      </c>
      <c r="AI156" s="489" t="s">
        <v>748</v>
      </c>
      <c r="AJ156" s="489" t="s">
        <v>813</v>
      </c>
      <c r="AK156" s="489"/>
      <c r="AL156" s="486"/>
    </row>
    <row r="157">
      <c r="A157" s="420"/>
      <c r="B157" s="421" t="s">
        <v>782</v>
      </c>
      <c r="C157" s="433" t="s">
        <v>773</v>
      </c>
      <c r="D157" s="421">
        <v>1572.5</v>
      </c>
      <c r="E157" s="423">
        <v>3</v>
      </c>
      <c r="F157" s="423">
        <v>3</v>
      </c>
      <c r="G157" s="467">
        <v>4424.4</v>
      </c>
      <c r="H157" s="424">
        <f t="shared" si="359"/>
      </c>
      <c r="I157" s="424">
        <f t="shared" si="7"/>
      </c>
      <c r="J157" s="424">
        <f t="shared" si="70"/>
      </c>
      <c r="K157" s="425">
        <f t="shared" si="110"/>
      </c>
      <c r="L157" s="426">
        <f t="shared" si="170"/>
      </c>
      <c r="M157" s="427">
        <f t="shared" si="140"/>
      </c>
      <c r="N157" s="427">
        <f t="shared" si="200"/>
      </c>
      <c r="O157" s="427">
        <f t="shared" si="253"/>
      </c>
      <c r="P157" s="428">
        <f t="shared" si="306"/>
      </c>
      <c r="Q157" s="429" t="s">
        <v>777</v>
      </c>
      <c r="R157" s="430" t="s">
        <v>800</v>
      </c>
      <c r="S157" s="436">
        <v>5159</v>
      </c>
      <c r="T157" s="436">
        <v>716</v>
      </c>
      <c r="U157" s="436">
        <v>974</v>
      </c>
      <c r="V157" s="436">
        <v>114</v>
      </c>
      <c r="W157" s="435">
        <v>2</v>
      </c>
      <c r="X157" s="435">
        <v>0</v>
      </c>
      <c r="Y157" s="448">
        <v>27</v>
      </c>
      <c r="Z157" s="486"/>
      <c r="AA157" s="490" t="s">
        <v>775</v>
      </c>
      <c r="AB157" s="491" t="s">
        <v>814</v>
      </c>
      <c r="AC157" s="492">
        <v>4</v>
      </c>
      <c r="AD157" s="490">
        <v>7489</v>
      </c>
      <c r="AE157" s="490">
        <v>16914</v>
      </c>
      <c r="AF157" s="490">
        <v>12</v>
      </c>
      <c r="AG157" s="493">
        <f t="shared" ref="AG157:AG160" si="223">AE157/AF157</f>
      </c>
      <c r="AH157" s="493">
        <f t="shared" ref="AH157:AH160" si="276">AD157/AF157</f>
      </c>
      <c r="AI157" s="493">
        <f t="shared" ref="AI157:AI160" si="329">AE157/AD157</f>
      </c>
      <c r="AJ157" s="492">
        <f>AD157/AC157</f>
      </c>
      <c r="AK157" s="492"/>
      <c r="AL157" s="486"/>
    </row>
    <row r="158">
      <c r="A158" s="420"/>
      <c r="B158" s="437" t="s">
        <v>774</v>
      </c>
      <c r="C158" s="437"/>
      <c r="D158" s="438">
        <f>SUM(D154:D157)</f>
      </c>
      <c r="E158" s="439">
        <f>SUM(E154:E157)</f>
      </c>
      <c r="F158" s="439">
        <f>SUM(F154:F157)</f>
      </c>
      <c r="G158" s="438">
        <f>SUM(G154:G157)</f>
      </c>
      <c r="H158" s="440">
        <f t="shared" si="359"/>
      </c>
      <c r="I158" s="441">
        <f t="shared" si="7"/>
      </c>
      <c r="J158" s="442">
        <f t="shared" si="70"/>
      </c>
      <c r="K158" s="443">
        <f t="shared" si="110"/>
      </c>
      <c r="L158" s="444">
        <f t="shared" si="170"/>
      </c>
      <c r="M158" s="443">
        <f t="shared" si="140"/>
      </c>
      <c r="N158" s="443">
        <f t="shared" si="200"/>
      </c>
      <c r="O158" s="445">
        <f t="shared" si="253"/>
      </c>
      <c r="P158" s="446">
        <f t="shared" si="306"/>
      </c>
      <c r="Q158" s="444"/>
      <c r="R158" s="444"/>
      <c r="S158" s="447">
        <f>SUM(S154:S157)</f>
      </c>
      <c r="T158" s="447">
        <f>SUM(T154:T157)</f>
      </c>
      <c r="U158" s="447">
        <f>SUM(U154:U157)</f>
      </c>
      <c r="V158" s="447">
        <f>SUM(V154:V157)</f>
      </c>
      <c r="W158" s="447">
        <f>SUM(W154:W157)</f>
      </c>
      <c r="X158" s="447">
        <f>SUM(X154:X157)</f>
      </c>
      <c r="Y158" s="447">
        <f>SUM(Y154:Y157)</f>
      </c>
      <c r="Z158" s="486"/>
      <c r="AA158" s="490" t="s">
        <v>782</v>
      </c>
      <c r="AB158" s="491" t="s">
        <v>815</v>
      </c>
      <c r="AC158" s="492">
        <v>4</v>
      </c>
      <c r="AD158" s="490">
        <v>6788.28</v>
      </c>
      <c r="AE158" s="490">
        <v>7295.6</v>
      </c>
      <c r="AF158" s="490">
        <v>7</v>
      </c>
      <c r="AG158" s="493">
        <f t="shared" si="223"/>
      </c>
      <c r="AH158" s="493">
        <f t="shared" si="276"/>
      </c>
      <c r="AI158" s="493">
        <f t="shared" si="329"/>
      </c>
      <c r="AJ158" s="492">
        <f t="shared" ref="AJ158:AJ160" si="40">AD158/4</f>
      </c>
      <c r="AK158" s="492"/>
      <c r="AL158" s="486"/>
    </row>
    <row r="159">
      <c r="A159" s="420"/>
      <c r="B159" s="421" t="s">
        <v>767</v>
      </c>
      <c r="C159" s="433" t="s">
        <v>776</v>
      </c>
      <c r="D159" s="459">
        <v>1885.53</v>
      </c>
      <c r="E159" s="423">
        <v>1</v>
      </c>
      <c r="F159" s="423">
        <v>0</v>
      </c>
      <c r="G159" s="460">
        <v>2943.6</v>
      </c>
      <c r="H159" s="424">
        <f t="shared" si="359"/>
      </c>
      <c r="I159" s="424">
        <f t="shared" si="7"/>
      </c>
      <c r="J159" s="424">
        <f t="shared" si="70"/>
      </c>
      <c r="K159" s="425">
        <f t="shared" si="110"/>
      </c>
      <c r="L159" s="426">
        <f t="shared" si="170"/>
      </c>
      <c r="M159" s="427">
        <f t="shared" si="140"/>
      </c>
      <c r="N159" s="427">
        <f t="shared" si="200"/>
      </c>
      <c r="O159" s="427">
        <f t="shared" si="253"/>
      </c>
      <c r="P159" s="428">
        <f t="shared" si="306"/>
      </c>
      <c r="Q159" s="429" t="s">
        <v>777</v>
      </c>
      <c r="R159" s="430" t="s">
        <v>778</v>
      </c>
      <c r="S159" s="436">
        <v>5382</v>
      </c>
      <c r="T159" s="436">
        <v>713</v>
      </c>
      <c r="U159" s="436">
        <v>995</v>
      </c>
      <c r="V159" s="436">
        <v>108</v>
      </c>
      <c r="W159" s="435">
        <v>1</v>
      </c>
      <c r="X159" s="435">
        <v>0</v>
      </c>
      <c r="Y159" s="448">
        <v>20</v>
      </c>
      <c r="Z159" s="486"/>
      <c r="AA159" s="490" t="s">
        <v>767</v>
      </c>
      <c r="AB159" s="491" t="s">
        <v>816</v>
      </c>
      <c r="AC159" s="492">
        <v>4</v>
      </c>
      <c r="AD159" s="490">
        <v>7206.65</v>
      </c>
      <c r="AE159" s="490">
        <v>11203.2</v>
      </c>
      <c r="AF159" s="490">
        <v>9</v>
      </c>
      <c r="AG159" s="493">
        <f t="shared" si="223"/>
      </c>
      <c r="AH159" s="493">
        <f t="shared" si="276"/>
      </c>
      <c r="AI159" s="493">
        <f t="shared" si="329"/>
      </c>
      <c r="AJ159" s="492">
        <f t="shared" si="40"/>
      </c>
      <c r="AK159" s="492"/>
      <c r="AL159" s="486"/>
    </row>
    <row r="160">
      <c r="A160" s="420"/>
      <c r="B160" s="421" t="s">
        <v>767</v>
      </c>
      <c r="C160" s="422" t="s">
        <v>779</v>
      </c>
      <c r="D160" s="459">
        <v>1955.08</v>
      </c>
      <c r="E160" s="423">
        <v>2</v>
      </c>
      <c r="F160" s="423">
        <v>2</v>
      </c>
      <c r="G160" s="460">
        <v>1599.6</v>
      </c>
      <c r="H160" s="424">
        <f t="shared" si="359"/>
      </c>
      <c r="I160" s="424">
        <f t="shared" si="7"/>
      </c>
      <c r="J160" s="424">
        <f t="shared" si="70"/>
      </c>
      <c r="K160" s="425">
        <f t="shared" si="110"/>
      </c>
      <c r="L160" s="426">
        <f t="shared" si="170"/>
      </c>
      <c r="M160" s="427">
        <f t="shared" si="140"/>
      </c>
      <c r="N160" s="427">
        <f t="shared" si="200"/>
      </c>
      <c r="O160" s="427">
        <f t="shared" si="253"/>
      </c>
      <c r="P160" s="428">
        <f t="shared" si="306"/>
      </c>
      <c r="Q160" s="429" t="s">
        <v>777</v>
      </c>
      <c r="R160" s="430" t="s">
        <v>778</v>
      </c>
      <c r="S160" s="436">
        <v>8258</v>
      </c>
      <c r="T160" s="436">
        <v>820</v>
      </c>
      <c r="U160" s="436">
        <v>1257</v>
      </c>
      <c r="V160" s="436">
        <v>160</v>
      </c>
      <c r="W160" s="435">
        <v>3</v>
      </c>
      <c r="X160" s="435">
        <v>0</v>
      </c>
      <c r="Y160" s="448">
        <v>28</v>
      </c>
      <c r="Z160" s="486"/>
      <c r="AA160" s="490" t="s">
        <v>789</v>
      </c>
      <c r="AB160" s="491" t="s">
        <v>817</v>
      </c>
      <c r="AC160" s="492">
        <v>4</v>
      </c>
      <c r="AD160" s="490">
        <v>9119.37</v>
      </c>
      <c r="AE160" s="490">
        <v>33866.1</v>
      </c>
      <c r="AF160" s="490">
        <v>24</v>
      </c>
      <c r="AG160" s="493">
        <f t="shared" si="223"/>
      </c>
      <c r="AH160" s="493">
        <f t="shared" si="276"/>
      </c>
      <c r="AI160" s="493">
        <f t="shared" si="329"/>
      </c>
      <c r="AJ160" s="492">
        <f t="shared" si="40"/>
      </c>
      <c r="AK160" s="492"/>
      <c r="AL160" s="486"/>
    </row>
    <row r="161">
      <c r="A161" s="420"/>
      <c r="B161" s="421" t="s">
        <v>767</v>
      </c>
      <c r="C161" s="422" t="s">
        <v>780</v>
      </c>
      <c r="D161" s="459">
        <v>1482.54</v>
      </c>
      <c r="E161" s="423">
        <v>0</v>
      </c>
      <c r="F161" s="423">
        <v>0</v>
      </c>
      <c r="G161" s="460">
        <v>0</v>
      </c>
      <c r="H161" s="424">
        <f t="shared" si="359"/>
      </c>
      <c r="I161" s="424">
        <f t="shared" si="7"/>
      </c>
      <c r="J161" s="424">
        <f t="shared" si="70"/>
      </c>
      <c r="K161" s="425">
        <f t="shared" si="110"/>
      </c>
      <c r="L161" s="426">
        <f t="shared" si="170"/>
      </c>
      <c r="M161" s="427">
        <f t="shared" si="140"/>
      </c>
      <c r="N161" s="427">
        <f t="shared" si="200"/>
      </c>
      <c r="O161" s="427">
        <f t="shared" si="253"/>
      </c>
      <c r="P161" s="428">
        <f t="shared" si="306"/>
      </c>
      <c r="Q161" s="429" t="s">
        <v>777</v>
      </c>
      <c r="R161" s="430" t="s">
        <v>778</v>
      </c>
      <c r="S161" s="436">
        <v>7395</v>
      </c>
      <c r="T161" s="436">
        <v>684</v>
      </c>
      <c r="U161" s="436">
        <v>1033</v>
      </c>
      <c r="V161" s="436">
        <v>115</v>
      </c>
      <c r="W161" s="435">
        <v>1</v>
      </c>
      <c r="X161" s="435">
        <v>0</v>
      </c>
      <c r="Y161" s="448">
        <v>20</v>
      </c>
      <c r="Z161" s="486"/>
      <c r="AA161" s="494" t="s">
        <v>818</v>
      </c>
      <c r="AB161" s="494"/>
      <c r="AC161" s="494"/>
      <c r="AD161" s="494"/>
      <c r="AE161" s="494"/>
      <c r="AF161" s="494"/>
      <c r="AG161" s="494"/>
      <c r="AH161" s="494"/>
      <c r="AI161" s="494"/>
      <c r="AJ161" s="494"/>
      <c r="AK161" s="494"/>
      <c r="AL161" s="486"/>
    </row>
    <row r="162">
      <c r="A162" s="420"/>
      <c r="B162" s="421" t="s">
        <v>767</v>
      </c>
      <c r="C162" s="422" t="s">
        <v>781</v>
      </c>
      <c r="D162" s="459">
        <v>1883.5</v>
      </c>
      <c r="E162" s="423">
        <v>6</v>
      </c>
      <c r="F162" s="423">
        <v>4</v>
      </c>
      <c r="G162" s="460">
        <v>6660</v>
      </c>
      <c r="H162" s="424">
        <f t="shared" si="359"/>
      </c>
      <c r="I162" s="424">
        <f t="shared" si="7"/>
      </c>
      <c r="J162" s="424">
        <f t="shared" si="70"/>
      </c>
      <c r="K162" s="425">
        <f t="shared" si="110"/>
      </c>
      <c r="L162" s="426">
        <f t="shared" si="170"/>
      </c>
      <c r="M162" s="427">
        <f t="shared" si="140"/>
      </c>
      <c r="N162" s="427">
        <f t="shared" si="200"/>
      </c>
      <c r="O162" s="427">
        <f t="shared" si="253"/>
      </c>
      <c r="P162" s="428">
        <f t="shared" si="306"/>
      </c>
      <c r="Q162" s="429" t="s">
        <v>777</v>
      </c>
      <c r="R162" s="430" t="s">
        <v>778</v>
      </c>
      <c r="S162" s="436">
        <v>8989</v>
      </c>
      <c r="T162" s="436">
        <v>906</v>
      </c>
      <c r="U162" s="436">
        <v>1350</v>
      </c>
      <c r="V162" s="436">
        <v>167</v>
      </c>
      <c r="W162" s="435">
        <v>8</v>
      </c>
      <c r="X162" s="435">
        <v>2</v>
      </c>
      <c r="Y162" s="448">
        <v>38</v>
      </c>
      <c r="Z162" s="486"/>
      <c r="AA162" s="494"/>
      <c r="AB162" s="494"/>
      <c r="AC162" s="494"/>
      <c r="AD162" s="494"/>
      <c r="AE162" s="494"/>
      <c r="AF162" s="494"/>
      <c r="AG162" s="494"/>
      <c r="AH162" s="494"/>
      <c r="AI162" s="494"/>
      <c r="AJ162" s="494"/>
      <c r="AK162" s="494"/>
      <c r="AL162" s="486"/>
    </row>
    <row r="163">
      <c r="A163" s="420"/>
      <c r="B163" s="437" t="s">
        <v>774</v>
      </c>
      <c r="C163" s="437"/>
      <c r="D163" s="438">
        <f>SUM(D159:D162)</f>
      </c>
      <c r="E163" s="439">
        <f>SUM(E159:E162)</f>
      </c>
      <c r="F163" s="439">
        <f>SUM(F159:F162)</f>
      </c>
      <c r="G163" s="438">
        <f>SUM(G159:G162)</f>
      </c>
      <c r="H163" s="440">
        <f t="shared" si="359"/>
      </c>
      <c r="I163" s="441">
        <f t="shared" si="7"/>
      </c>
      <c r="J163" s="442">
        <f t="shared" si="70"/>
      </c>
      <c r="K163" s="443">
        <f t="shared" si="110"/>
      </c>
      <c r="L163" s="444">
        <f t="shared" si="170"/>
      </c>
      <c r="M163" s="443">
        <f t="shared" si="140"/>
      </c>
      <c r="N163" s="443">
        <f t="shared" si="200"/>
      </c>
      <c r="O163" s="445">
        <f t="shared" si="253"/>
      </c>
      <c r="P163" s="446">
        <f t="shared" si="306"/>
      </c>
      <c r="Q163" s="444"/>
      <c r="R163" s="444"/>
      <c r="S163" s="447">
        <f>SUM(S159:S162)</f>
      </c>
      <c r="T163" s="447">
        <f>SUM(T159:T162)</f>
      </c>
      <c r="U163" s="447">
        <f>SUM(U159:U162)</f>
      </c>
      <c r="V163" s="447">
        <f>SUM(V159:V162)</f>
      </c>
      <c r="W163" s="447">
        <f>SUM(W159:W162)</f>
      </c>
      <c r="X163" s="447">
        <f>SUM(X159:X162)</f>
      </c>
      <c r="Y163" s="447">
        <f>SUM(Y159:Y162)</f>
      </c>
      <c r="Z163" s="486"/>
      <c r="AA163" s="494"/>
      <c r="AB163" s="494"/>
      <c r="AC163" s="494"/>
      <c r="AD163" s="494"/>
      <c r="AE163" s="494"/>
      <c r="AF163" s="494"/>
      <c r="AG163" s="494"/>
      <c r="AH163" s="494"/>
      <c r="AI163" s="494"/>
      <c r="AJ163" s="494"/>
      <c r="AK163" s="494"/>
      <c r="AL163" s="486"/>
    </row>
    <row r="164">
      <c r="A164" s="420"/>
      <c r="B164" s="421" t="s">
        <v>789</v>
      </c>
      <c r="C164" s="422" t="s">
        <v>783</v>
      </c>
      <c r="D164" s="459">
        <v>2384.53</v>
      </c>
      <c r="E164" s="423">
        <v>2</v>
      </c>
      <c r="F164" s="423">
        <v>1</v>
      </c>
      <c r="G164" s="460">
        <v>3596.4</v>
      </c>
      <c r="H164" s="424">
        <f t="shared" si="359"/>
      </c>
      <c r="I164" s="424">
        <f t="shared" si="7"/>
      </c>
      <c r="J164" s="424">
        <f t="shared" si="70"/>
      </c>
      <c r="K164" s="425">
        <f t="shared" si="110"/>
      </c>
      <c r="L164" s="426">
        <f t="shared" si="170"/>
      </c>
      <c r="M164" s="427">
        <f t="shared" si="140"/>
      </c>
      <c r="N164" s="427">
        <f t="shared" si="200"/>
      </c>
      <c r="O164" s="427">
        <f t="shared" si="253"/>
      </c>
      <c r="P164" s="428">
        <f t="shared" si="306"/>
      </c>
      <c r="Q164" s="429" t="s">
        <v>777</v>
      </c>
      <c r="R164" s="430" t="s">
        <v>778</v>
      </c>
      <c r="S164" s="436">
        <v>9045</v>
      </c>
      <c r="T164" s="436">
        <v>1049</v>
      </c>
      <c r="U164" s="436">
        <v>1470</v>
      </c>
      <c r="V164" s="436">
        <v>167</v>
      </c>
      <c r="W164" s="435">
        <v>2</v>
      </c>
      <c r="X164" s="435">
        <v>0</v>
      </c>
      <c r="Y164" s="448">
        <v>35</v>
      </c>
      <c r="Z164" s="486"/>
      <c r="AA164" s="494"/>
      <c r="AB164" s="494"/>
      <c r="AC164" s="494"/>
      <c r="AD164" s="494"/>
      <c r="AE164" s="494"/>
      <c r="AF164" s="494"/>
      <c r="AG164" s="494"/>
      <c r="AH164" s="494"/>
      <c r="AI164" s="494"/>
      <c r="AJ164" s="494"/>
      <c r="AK164" s="494"/>
      <c r="AL164" s="486"/>
    </row>
    <row r="165">
      <c r="A165" s="420"/>
      <c r="B165" s="421" t="s">
        <v>789</v>
      </c>
      <c r="C165" s="451" t="s">
        <v>784</v>
      </c>
      <c r="D165" s="459">
        <v>2658.53</v>
      </c>
      <c r="E165" s="423">
        <v>7</v>
      </c>
      <c r="F165" s="423">
        <v>5</v>
      </c>
      <c r="G165" s="460">
        <v>12677.3</v>
      </c>
      <c r="H165" s="424">
        <f t="shared" si="359"/>
      </c>
      <c r="I165" s="424">
        <f t="shared" si="7"/>
      </c>
      <c r="J165" s="424">
        <f t="shared" si="70"/>
      </c>
      <c r="K165" s="425">
        <f t="shared" si="110"/>
      </c>
      <c r="L165" s="426">
        <f t="shared" si="170"/>
      </c>
      <c r="M165" s="427">
        <f t="shared" si="140"/>
      </c>
      <c r="N165" s="427">
        <f t="shared" si="200"/>
      </c>
      <c r="O165" s="427">
        <f t="shared" si="253"/>
      </c>
      <c r="P165" s="428">
        <f t="shared" si="306"/>
      </c>
      <c r="Q165" s="429" t="s">
        <v>777</v>
      </c>
      <c r="R165" s="430" t="s">
        <v>778</v>
      </c>
      <c r="S165" s="436">
        <v>11399</v>
      </c>
      <c r="T165" s="436">
        <v>1098</v>
      </c>
      <c r="U165" s="436">
        <v>1500</v>
      </c>
      <c r="V165" s="436">
        <v>161</v>
      </c>
      <c r="W165" s="435">
        <v>12</v>
      </c>
      <c r="X165" s="435">
        <v>2</v>
      </c>
      <c r="Y165" s="448">
        <v>33</v>
      </c>
      <c r="AA165" s="495" t="s">
        <v>819</v>
      </c>
      <c r="AB165" s="495"/>
      <c r="AC165" s="495"/>
      <c r="AD165" s="495"/>
      <c r="AE165" s="495"/>
      <c r="AF165" s="495"/>
      <c r="AG165" s="495"/>
      <c r="AH165" s="495"/>
      <c r="AI165" s="495"/>
      <c r="AJ165" s="495"/>
      <c r="AK165" s="495"/>
    </row>
    <row r="166">
      <c r="A166" s="420"/>
      <c r="B166" s="421" t="s">
        <v>789</v>
      </c>
      <c r="C166" s="451" t="s">
        <v>785</v>
      </c>
      <c r="D166" s="459">
        <v>2803.8</v>
      </c>
      <c r="E166" s="423">
        <v>5</v>
      </c>
      <c r="F166" s="423">
        <v>3</v>
      </c>
      <c r="G166" s="460">
        <v>4445.2</v>
      </c>
      <c r="H166" s="424">
        <f t="shared" si="359"/>
      </c>
      <c r="I166" s="424">
        <f t="shared" si="7"/>
      </c>
      <c r="J166" s="424">
        <f t="shared" si="70"/>
      </c>
      <c r="K166" s="425">
        <f t="shared" si="110"/>
      </c>
      <c r="L166" s="426">
        <f t="shared" si="170"/>
      </c>
      <c r="M166" s="427">
        <f t="shared" si="140"/>
      </c>
      <c r="N166" s="427">
        <f t="shared" si="200"/>
      </c>
      <c r="O166" s="427">
        <f t="shared" si="253"/>
      </c>
      <c r="P166" s="428">
        <f t="shared" si="306"/>
      </c>
      <c r="Q166" s="429" t="s">
        <v>777</v>
      </c>
      <c r="R166" s="430" t="s">
        <v>778</v>
      </c>
      <c r="S166" s="436">
        <v>14794</v>
      </c>
      <c r="T166" s="436">
        <v>1239</v>
      </c>
      <c r="U166" s="436">
        <v>1630</v>
      </c>
      <c r="V166" s="436">
        <v>143</v>
      </c>
      <c r="W166" s="435">
        <v>8</v>
      </c>
      <c r="X166" s="435">
        <v>1</v>
      </c>
      <c r="Y166" s="448">
        <v>37</v>
      </c>
      <c r="AA166" s="478" t="s">
        <v>809</v>
      </c>
      <c r="AB166" s="478" t="s">
        <v>820</v>
      </c>
      <c r="AC166" s="479" t="s">
        <v>821</v>
      </c>
      <c r="AD166" s="478" t="s">
        <v>822</v>
      </c>
      <c r="AE166" s="478" t="s">
        <v>823</v>
      </c>
      <c r="AF166" s="478" t="s">
        <v>824</v>
      </c>
      <c r="AG166" s="478" t="s">
        <v>825</v>
      </c>
      <c r="AH166" s="480" t="s">
        <v>764</v>
      </c>
      <c r="AI166" s="480" t="s">
        <v>826</v>
      </c>
      <c r="AJ166" s="480" t="s">
        <v>827</v>
      </c>
      <c r="AK166" s="480" t="s">
        <v>808</v>
      </c>
    </row>
    <row r="167">
      <c r="A167" s="420"/>
      <c r="B167" s="421" t="s">
        <v>789</v>
      </c>
      <c r="C167" s="451" t="s">
        <v>786</v>
      </c>
      <c r="D167" s="459">
        <v>1272.51</v>
      </c>
      <c r="E167" s="423">
        <v>10</v>
      </c>
      <c r="F167" s="423">
        <v>7</v>
      </c>
      <c r="G167" s="460">
        <v>13147.2</v>
      </c>
      <c r="H167" s="424">
        <f t="shared" si="359"/>
      </c>
      <c r="I167" s="424">
        <f t="shared" si="7"/>
      </c>
      <c r="J167" s="424">
        <f t="shared" si="70"/>
      </c>
      <c r="K167" s="425">
        <f t="shared" si="110"/>
      </c>
      <c r="L167" s="426">
        <f t="shared" si="170"/>
      </c>
      <c r="M167" s="427">
        <f t="shared" si="140"/>
      </c>
      <c r="N167" s="427">
        <f t="shared" si="200"/>
      </c>
      <c r="O167" s="427">
        <f t="shared" si="253"/>
      </c>
      <c r="P167" s="428">
        <f t="shared" si="306"/>
      </c>
      <c r="Q167" s="429" t="s">
        <v>777</v>
      </c>
      <c r="R167" s="430" t="s">
        <v>778</v>
      </c>
      <c r="S167" s="436">
        <v>8165</v>
      </c>
      <c r="T167" s="436">
        <v>765</v>
      </c>
      <c r="U167" s="436">
        <v>1050</v>
      </c>
      <c r="V167" s="436">
        <v>106</v>
      </c>
      <c r="W167" s="435">
        <v>10</v>
      </c>
      <c r="X167" s="435">
        <v>2</v>
      </c>
      <c r="Y167" s="448">
        <v>20</v>
      </c>
      <c r="AA167" s="465">
        <f>SUM(AD157:AD160)</f>
      </c>
      <c r="AB167" s="465">
        <f>SUM(AE157:AE160)</f>
      </c>
      <c r="AC167" s="481">
        <f>AB167/((AK167*300)+AA167)</f>
      </c>
      <c r="AD167" s="482">
        <f>AA167/AJ167</f>
      </c>
      <c r="AE167" s="481">
        <f>AB167/AJ167</f>
      </c>
      <c r="AF167" s="483">
        <f>AJ167/AI167</f>
      </c>
      <c r="AG167" s="483">
        <f>AH167/AJ167</f>
      </c>
      <c r="AH167" s="484">
        <v>10</v>
      </c>
      <c r="AI167" s="484">
        <v>72</v>
      </c>
      <c r="AJ167" s="485">
        <f>SUM(AF157:AF160)</f>
      </c>
      <c r="AK167" s="485">
        <f>SUM(AC157:AC160)</f>
      </c>
    </row>
    <row r="168">
      <c r="A168" s="420"/>
      <c r="B168" s="437" t="s">
        <v>774</v>
      </c>
      <c r="C168" s="437"/>
      <c r="D168" s="438">
        <f>SUM(D164:D167)</f>
      </c>
      <c r="E168" s="439">
        <f>SUM(E164:E167)</f>
      </c>
      <c r="F168" s="439">
        <f>SUM(F164:F167)</f>
      </c>
      <c r="G168" s="438">
        <f>SUM(G164:G167)</f>
      </c>
      <c r="H168" s="440">
        <f t="shared" si="359"/>
      </c>
      <c r="I168" s="441">
        <f t="shared" si="7"/>
      </c>
      <c r="J168" s="442">
        <f t="shared" si="70"/>
      </c>
      <c r="K168" s="443">
        <f t="shared" si="110"/>
      </c>
      <c r="L168" s="444">
        <f t="shared" si="170"/>
      </c>
      <c r="M168" s="443">
        <f t="shared" si="140"/>
      </c>
      <c r="N168" s="443">
        <f t="shared" si="200"/>
      </c>
      <c r="O168" s="445">
        <f t="shared" si="253"/>
      </c>
      <c r="P168" s="446">
        <f t="shared" si="306"/>
      </c>
      <c r="Q168" s="444"/>
      <c r="R168" s="444"/>
      <c r="S168" s="447">
        <f>SUM(S164:S167)</f>
      </c>
      <c r="T168" s="447">
        <f>SUM(T164:T167)</f>
      </c>
      <c r="U168" s="447">
        <f>SUM(U164:U167)</f>
      </c>
      <c r="V168" s="447">
        <f>SUM(V164:V167)</f>
      </c>
      <c r="W168" s="447">
        <f>SUM(W164:W167)</f>
      </c>
      <c r="X168" s="447">
        <f>SUM(X164:X167)</f>
      </c>
      <c r="Y168" s="447">
        <f>SUM(Y164:Y167)</f>
      </c>
    </row>
    <row r="169">
      <c r="A169" s="420"/>
      <c r="B169" s="452" t="s">
        <v>787</v>
      </c>
      <c r="C169" s="452"/>
      <c r="D169" s="466">
        <f>D153+D158+D168+D163</f>
      </c>
      <c r="E169" s="454">
        <f>E153+E158+E168+E163</f>
      </c>
      <c r="F169" s="454">
        <f>F153+F158+F168+F163</f>
      </c>
      <c r="G169" s="466">
        <f>G153+G158+G163+G168</f>
      </c>
      <c r="H169" s="452">
        <f t="shared" si="359"/>
      </c>
      <c r="I169" s="452">
        <f t="shared" si="7"/>
      </c>
      <c r="J169" s="452">
        <f t="shared" si="70"/>
      </c>
      <c r="K169" s="455">
        <f t="shared" si="110"/>
      </c>
      <c r="L169" s="452">
        <f t="shared" si="170"/>
      </c>
      <c r="M169" s="455">
        <f t="shared" si="140"/>
      </c>
      <c r="N169" s="455">
        <f t="shared" si="200"/>
      </c>
      <c r="O169" s="455">
        <f t="shared" si="253"/>
      </c>
      <c r="P169" s="452">
        <f t="shared" si="306"/>
      </c>
      <c r="Q169" s="456"/>
      <c r="R169" s="456"/>
      <c r="S169" s="454">
        <f>S153+S158+S168+S163</f>
      </c>
      <c r="T169" s="454">
        <f>T153+T158+T168+T163</f>
      </c>
      <c r="U169" s="454">
        <f>U153+U158+U168+U163</f>
      </c>
      <c r="V169" s="454">
        <f>V153+V158+V168+V163</f>
      </c>
      <c r="W169" s="454">
        <f>W153+W158+W168+W163</f>
      </c>
      <c r="X169" s="454">
        <f>X153+X158+X168+X163</f>
      </c>
      <c r="Y169" s="454">
        <f>Y153+Y158+Y168+Y163</f>
      </c>
    </row>
    <row r="170">
      <c r="A170" s="405" t="s">
        <v>738</v>
      </c>
      <c r="B170" s="405"/>
      <c r="C170" s="405"/>
      <c r="D170" s="406" t="s">
        <v>739</v>
      </c>
      <c r="E170" s="406"/>
      <c r="F170" s="406"/>
      <c r="G170" s="406"/>
      <c r="H170" s="406"/>
      <c r="I170" s="406"/>
      <c r="J170" s="406"/>
      <c r="K170" s="407" t="s">
        <v>740</v>
      </c>
      <c r="L170" s="407"/>
      <c r="M170" s="407"/>
      <c r="N170" s="407"/>
      <c r="O170" s="407"/>
      <c r="P170" s="407"/>
      <c r="Q170" s="407"/>
      <c r="R170" s="407"/>
      <c r="S170" s="408" t="s">
        <v>741</v>
      </c>
      <c r="T170" s="408"/>
      <c r="U170" s="408"/>
      <c r="V170" s="408"/>
      <c r="W170" s="408"/>
      <c r="X170" s="408"/>
      <c r="Y170" s="408"/>
    </row>
    <row r="171">
      <c r="A171" s="409" t="s">
        <v>742</v>
      </c>
      <c r="B171" s="409" t="s">
        <v>743</v>
      </c>
      <c r="C171" s="409" t="s">
        <v>744</v>
      </c>
      <c r="D171" s="410" t="s">
        <v>745</v>
      </c>
      <c r="E171" s="411" t="s">
        <v>746</v>
      </c>
      <c r="F171" s="463" t="s">
        <v>792</v>
      </c>
      <c r="G171" s="410" t="s">
        <v>747</v>
      </c>
      <c r="H171" s="412" t="s">
        <v>748</v>
      </c>
      <c r="I171" s="413" t="s">
        <v>749</v>
      </c>
      <c r="J171" s="410" t="s">
        <v>750</v>
      </c>
      <c r="K171" s="414" t="s">
        <v>751</v>
      </c>
      <c r="L171" s="415" t="s">
        <v>752</v>
      </c>
      <c r="M171" s="414" t="s">
        <v>753</v>
      </c>
      <c r="N171" s="414" t="s">
        <v>754</v>
      </c>
      <c r="O171" s="416" t="s">
        <v>755</v>
      </c>
      <c r="P171" s="416" t="s">
        <v>756</v>
      </c>
      <c r="Q171" s="417" t="s">
        <v>757</v>
      </c>
      <c r="R171" s="417" t="s">
        <v>758</v>
      </c>
      <c r="S171" s="431" t="s">
        <v>759</v>
      </c>
      <c r="T171" s="431" t="s">
        <v>760</v>
      </c>
      <c r="U171" s="431" t="s">
        <v>761</v>
      </c>
      <c r="V171" s="431" t="s">
        <v>762</v>
      </c>
      <c r="W171" s="431" t="s">
        <v>763</v>
      </c>
      <c r="X171" s="431" t="s">
        <v>764</v>
      </c>
      <c r="Y171" s="419" t="s">
        <v>765</v>
      </c>
    </row>
    <row r="172">
      <c r="A172" s="420" t="s">
        <v>828</v>
      </c>
      <c r="B172" s="421" t="s">
        <v>782</v>
      </c>
      <c r="C172" s="451" t="s">
        <v>794</v>
      </c>
      <c r="D172" s="421">
        <v>2186</v>
      </c>
      <c r="E172" s="423">
        <v>1</v>
      </c>
      <c r="F172" s="423">
        <v>1</v>
      </c>
      <c r="G172" s="467">
        <v>652.8</v>
      </c>
      <c r="H172" s="424">
        <f t="shared" ref="H172:H192" si="360">G172/D172</f>
      </c>
      <c r="I172" s="424">
        <f t="shared" ref="I172:I192" si="8">D172/E172</f>
      </c>
      <c r="J172" s="424">
        <f t="shared" ref="J172:J192" si="71">G172/E172</f>
      </c>
      <c r="K172" s="425">
        <f t="shared" ref="K172:K192" si="111">T172/S172</f>
      </c>
      <c r="L172" s="426">
        <f t="shared" ref="L172:L192" si="171">D172/U172</f>
      </c>
      <c r="M172" s="427">
        <f t="shared" ref="M172:M192" si="141">V172/U172</f>
      </c>
      <c r="N172" s="427">
        <f t="shared" ref="N172:N192" si="201">E172/W172</f>
      </c>
      <c r="O172" s="427">
        <f t="shared" ref="O172:O192" si="254">X172/E172</f>
      </c>
      <c r="P172" s="428">
        <f t="shared" ref="P172:P192" si="307">(Y172*1000)/D172</f>
      </c>
      <c r="Q172" s="429" t="s">
        <v>769</v>
      </c>
      <c r="R172" s="430" t="s">
        <v>800</v>
      </c>
      <c r="S172" s="461">
        <v>10532</v>
      </c>
      <c r="T172" s="461">
        <v>1585</v>
      </c>
      <c r="U172" s="461">
        <v>2356</v>
      </c>
      <c r="V172" s="461">
        <v>241</v>
      </c>
      <c r="W172" s="461">
        <v>2</v>
      </c>
      <c r="X172" s="461">
        <v>0</v>
      </c>
      <c r="Y172" s="461">
        <v>43</v>
      </c>
    </row>
    <row r="173">
      <c r="A173" s="420"/>
      <c r="B173" s="421" t="s">
        <v>782</v>
      </c>
      <c r="C173" s="421" t="s">
        <v>796</v>
      </c>
      <c r="D173" s="421">
        <v>2223.13</v>
      </c>
      <c r="E173" s="423">
        <v>2</v>
      </c>
      <c r="F173" s="423">
        <v>1</v>
      </c>
      <c r="G173" s="467">
        <v>1696</v>
      </c>
      <c r="H173" s="424">
        <f t="shared" si="360"/>
      </c>
      <c r="I173" s="424">
        <f t="shared" si="8"/>
      </c>
      <c r="J173" s="424">
        <f t="shared" si="71"/>
      </c>
      <c r="K173" s="425">
        <f t="shared" si="111"/>
      </c>
      <c r="L173" s="426">
        <f t="shared" si="171"/>
      </c>
      <c r="M173" s="427">
        <f t="shared" si="141"/>
      </c>
      <c r="N173" s="427">
        <f t="shared" si="201"/>
      </c>
      <c r="O173" s="427">
        <f t="shared" si="254"/>
      </c>
      <c r="P173" s="428">
        <f t="shared" si="307"/>
      </c>
      <c r="Q173" s="429" t="s">
        <v>769</v>
      </c>
      <c r="R173" s="430" t="s">
        <v>800</v>
      </c>
      <c r="S173" s="461">
        <v>5789</v>
      </c>
      <c r="T173" s="461">
        <v>768</v>
      </c>
      <c r="U173" s="461">
        <v>1179</v>
      </c>
      <c r="V173" s="461">
        <v>132</v>
      </c>
      <c r="W173" s="461">
        <v>4</v>
      </c>
      <c r="X173" s="461">
        <v>0</v>
      </c>
      <c r="Y173" s="461">
        <v>28</v>
      </c>
    </row>
    <row r="174">
      <c r="A174" s="420"/>
      <c r="B174" s="421" t="s">
        <v>782</v>
      </c>
      <c r="C174" s="421" t="s">
        <v>797</v>
      </c>
      <c r="D174" s="421">
        <v>2036.38</v>
      </c>
      <c r="E174" s="423">
        <v>3</v>
      </c>
      <c r="F174" s="423">
        <v>2</v>
      </c>
      <c r="G174" s="467">
        <v>4739.2</v>
      </c>
      <c r="H174" s="424">
        <f t="shared" si="360"/>
      </c>
      <c r="I174" s="424">
        <f t="shared" si="8"/>
      </c>
      <c r="J174" s="424">
        <f t="shared" si="71"/>
      </c>
      <c r="K174" s="425">
        <f t="shared" si="111"/>
      </c>
      <c r="L174" s="426">
        <f t="shared" si="171"/>
      </c>
      <c r="M174" s="427">
        <f t="shared" si="141"/>
      </c>
      <c r="N174" s="427">
        <f t="shared" si="201"/>
      </c>
      <c r="O174" s="427">
        <f t="shared" si="254"/>
      </c>
      <c r="P174" s="428">
        <f t="shared" si="307"/>
      </c>
      <c r="Q174" s="429" t="s">
        <v>769</v>
      </c>
      <c r="R174" s="430" t="s">
        <v>800</v>
      </c>
      <c r="S174" s="461">
        <v>7197</v>
      </c>
      <c r="T174" s="461">
        <v>867</v>
      </c>
      <c r="U174" s="461">
        <v>1374</v>
      </c>
      <c r="V174" s="461">
        <v>170</v>
      </c>
      <c r="W174" s="461">
        <v>6</v>
      </c>
      <c r="X174" s="461">
        <v>0</v>
      </c>
      <c r="Y174" s="461">
        <v>30</v>
      </c>
    </row>
    <row r="175">
      <c r="A175" s="420"/>
      <c r="B175" s="421" t="s">
        <v>782</v>
      </c>
      <c r="C175" s="421" t="s">
        <v>798</v>
      </c>
      <c r="D175" s="421">
        <v>3573.79</v>
      </c>
      <c r="E175" s="423">
        <v>6</v>
      </c>
      <c r="F175" s="423">
        <v>4</v>
      </c>
      <c r="G175" s="462">
        <v>8832</v>
      </c>
      <c r="H175" s="424">
        <f t="shared" si="360"/>
      </c>
      <c r="I175" s="424">
        <f t="shared" si="8"/>
      </c>
      <c r="J175" s="424">
        <f t="shared" si="71"/>
      </c>
      <c r="K175" s="425">
        <f t="shared" si="111"/>
      </c>
      <c r="L175" s="426">
        <f t="shared" si="171"/>
      </c>
      <c r="M175" s="427">
        <f t="shared" si="141"/>
      </c>
      <c r="N175" s="427">
        <f t="shared" si="201"/>
      </c>
      <c r="O175" s="427">
        <f t="shared" si="254"/>
      </c>
      <c r="P175" s="428">
        <f t="shared" si="307"/>
      </c>
      <c r="Q175" s="429" t="s">
        <v>769</v>
      </c>
      <c r="R175" s="430" t="s">
        <v>800</v>
      </c>
      <c r="S175" s="461">
        <v>6841</v>
      </c>
      <c r="T175" s="461">
        <v>806</v>
      </c>
      <c r="U175" s="461">
        <v>1375</v>
      </c>
      <c r="V175" s="461">
        <v>169</v>
      </c>
      <c r="W175" s="461">
        <v>5</v>
      </c>
      <c r="X175" s="435">
        <v>1</v>
      </c>
      <c r="Y175" s="435">
        <v>30</v>
      </c>
    </row>
    <row r="176">
      <c r="A176" s="420"/>
      <c r="B176" s="437" t="s">
        <v>774</v>
      </c>
      <c r="C176" s="437"/>
      <c r="D176" s="438">
        <f>SUM(D172:D175)</f>
      </c>
      <c r="E176" s="439">
        <f>SUM(E172:E175)</f>
      </c>
      <c r="F176" s="439">
        <f>SUM(F172:F175)</f>
      </c>
      <c r="G176" s="438">
        <f>SUM(G172:G175)</f>
      </c>
      <c r="H176" s="440">
        <f t="shared" si="360"/>
      </c>
      <c r="I176" s="441">
        <f t="shared" si="8"/>
      </c>
      <c r="J176" s="442">
        <f t="shared" si="71"/>
      </c>
      <c r="K176" s="443">
        <f t="shared" si="111"/>
      </c>
      <c r="L176" s="444">
        <f t="shared" si="171"/>
      </c>
      <c r="M176" s="443">
        <f t="shared" si="141"/>
      </c>
      <c r="N176" s="443">
        <f t="shared" si="201"/>
      </c>
      <c r="O176" s="445">
        <f t="shared" si="254"/>
      </c>
      <c r="P176" s="446">
        <f t="shared" si="307"/>
      </c>
      <c r="Q176" s="444"/>
      <c r="R176" s="444"/>
      <c r="S176" s="447">
        <f>SUM(S172:S175)</f>
      </c>
      <c r="T176" s="447">
        <f>SUM(T172:T175)</f>
      </c>
      <c r="U176" s="447">
        <f>SUM(U172:U175)</f>
      </c>
      <c r="V176" s="447">
        <f>SUM(V172:V175)</f>
      </c>
      <c r="W176" s="447">
        <f>SUM(W172:W175)</f>
      </c>
      <c r="X176" s="447">
        <f>SUM(X172:X175)</f>
      </c>
      <c r="Y176" s="447">
        <f>SUM(Y172:Y175)</f>
      </c>
    </row>
    <row r="177">
      <c r="A177" s="420"/>
      <c r="B177" s="421" t="s">
        <v>767</v>
      </c>
      <c r="C177" s="422" t="s">
        <v>768</v>
      </c>
      <c r="D177" s="421">
        <v>2248.06</v>
      </c>
      <c r="E177" s="423">
        <v>2</v>
      </c>
      <c r="F177" s="423">
        <v>2</v>
      </c>
      <c r="G177" s="468">
        <v>3311.6</v>
      </c>
      <c r="H177" s="424">
        <f t="shared" si="360"/>
      </c>
      <c r="I177" s="424">
        <f t="shared" si="8"/>
      </c>
      <c r="J177" s="424">
        <f t="shared" si="71"/>
      </c>
      <c r="K177" s="425">
        <f t="shared" si="111"/>
      </c>
      <c r="L177" s="426">
        <f t="shared" si="171"/>
      </c>
      <c r="M177" s="427">
        <f t="shared" si="141"/>
      </c>
      <c r="N177" s="427">
        <f t="shared" si="201"/>
      </c>
      <c r="O177" s="427">
        <f t="shared" si="254"/>
      </c>
      <c r="P177" s="428">
        <f t="shared" si="307"/>
      </c>
      <c r="Q177" s="429" t="s">
        <v>777</v>
      </c>
      <c r="R177" s="430" t="s">
        <v>800</v>
      </c>
      <c r="S177" s="436">
        <v>7331</v>
      </c>
      <c r="T177" s="436">
        <v>841</v>
      </c>
      <c r="U177" s="436">
        <v>1392</v>
      </c>
      <c r="V177" s="436">
        <v>156</v>
      </c>
      <c r="W177" s="435">
        <v>2</v>
      </c>
      <c r="X177" s="435">
        <v>0</v>
      </c>
      <c r="Y177" s="448">
        <v>31</v>
      </c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</row>
    <row r="178">
      <c r="A178" s="420"/>
      <c r="B178" s="421" t="s">
        <v>767</v>
      </c>
      <c r="C178" s="433" t="s">
        <v>771</v>
      </c>
      <c r="D178" s="421">
        <v>2550.06</v>
      </c>
      <c r="E178" s="423">
        <v>3</v>
      </c>
      <c r="F178" s="423">
        <v>2</v>
      </c>
      <c r="G178" s="468">
        <v>3964.8</v>
      </c>
      <c r="H178" s="424">
        <f t="shared" si="360"/>
      </c>
      <c r="I178" s="424">
        <f t="shared" si="8"/>
      </c>
      <c r="J178" s="424">
        <f t="shared" si="71"/>
      </c>
      <c r="K178" s="425">
        <f t="shared" si="111"/>
      </c>
      <c r="L178" s="426">
        <f t="shared" si="171"/>
      </c>
      <c r="M178" s="427">
        <f t="shared" si="141"/>
      </c>
      <c r="N178" s="427">
        <f t="shared" si="201"/>
      </c>
      <c r="O178" s="427">
        <f t="shared" si="254"/>
      </c>
      <c r="P178" s="428">
        <f t="shared" si="307"/>
      </c>
      <c r="Q178" s="429" t="s">
        <v>777</v>
      </c>
      <c r="R178" s="430" t="s">
        <v>800</v>
      </c>
      <c r="S178" s="436">
        <v>7187</v>
      </c>
      <c r="T178" s="436">
        <v>1021</v>
      </c>
      <c r="U178" s="436">
        <v>1544</v>
      </c>
      <c r="V178" s="436">
        <v>205</v>
      </c>
      <c r="W178" s="435">
        <v>5</v>
      </c>
      <c r="X178" s="435">
        <v>1</v>
      </c>
      <c r="Y178" s="448">
        <v>49</v>
      </c>
      <c r="Z178" s="486"/>
      <c r="AA178" s="487" t="s">
        <v>829</v>
      </c>
      <c r="AB178" s="487"/>
      <c r="AC178" s="487"/>
      <c r="AD178" s="487"/>
      <c r="AE178" s="487"/>
      <c r="AF178" s="487"/>
      <c r="AG178" s="487"/>
      <c r="AH178" s="487"/>
      <c r="AI178" s="487"/>
      <c r="AJ178" s="487"/>
      <c r="AK178" s="487"/>
    </row>
    <row r="179">
      <c r="A179" s="420"/>
      <c r="B179" s="421" t="s">
        <v>767</v>
      </c>
      <c r="C179" s="433" t="s">
        <v>772</v>
      </c>
      <c r="D179" s="421">
        <v>2514.22</v>
      </c>
      <c r="E179" s="423">
        <v>4</v>
      </c>
      <c r="F179" s="423">
        <v>4</v>
      </c>
      <c r="G179" s="467">
        <v>14199.6</v>
      </c>
      <c r="H179" s="424">
        <f t="shared" si="360"/>
      </c>
      <c r="I179" s="424">
        <f t="shared" si="8"/>
      </c>
      <c r="J179" s="424">
        <f t="shared" si="71"/>
      </c>
      <c r="K179" s="425">
        <f t="shared" si="111"/>
      </c>
      <c r="L179" s="426">
        <f t="shared" si="171"/>
      </c>
      <c r="M179" s="427">
        <f t="shared" si="141"/>
      </c>
      <c r="N179" s="427">
        <f t="shared" si="201"/>
      </c>
      <c r="O179" s="427">
        <f t="shared" si="254"/>
      </c>
      <c r="P179" s="428">
        <f t="shared" si="307"/>
      </c>
      <c r="Q179" s="429" t="s">
        <v>777</v>
      </c>
      <c r="R179" s="430" t="s">
        <v>800</v>
      </c>
      <c r="S179" s="436">
        <v>7301</v>
      </c>
      <c r="T179" s="436">
        <v>1049</v>
      </c>
      <c r="U179" s="436">
        <v>1565</v>
      </c>
      <c r="V179" s="436">
        <v>145</v>
      </c>
      <c r="W179" s="435">
        <v>4</v>
      </c>
      <c r="X179" s="435">
        <v>1</v>
      </c>
      <c r="Y179" s="448">
        <v>36</v>
      </c>
      <c r="Z179" s="486"/>
      <c r="AA179" s="489" t="s">
        <v>806</v>
      </c>
      <c r="AB179" s="489" t="s">
        <v>807</v>
      </c>
      <c r="AC179" s="489" t="s">
        <v>808</v>
      </c>
      <c r="AD179" s="489" t="s">
        <v>809</v>
      </c>
      <c r="AE179" s="489" t="s">
        <v>810</v>
      </c>
      <c r="AF179" s="489" t="s">
        <v>811</v>
      </c>
      <c r="AG179" s="489" t="s">
        <v>750</v>
      </c>
      <c r="AH179" s="489" t="s">
        <v>812</v>
      </c>
      <c r="AI179" s="489" t="s">
        <v>748</v>
      </c>
      <c r="AJ179" s="489" t="s">
        <v>813</v>
      </c>
      <c r="AK179" s="489"/>
    </row>
    <row r="180">
      <c r="A180" s="420"/>
      <c r="B180" s="421" t="s">
        <v>767</v>
      </c>
      <c r="C180" s="433" t="s">
        <v>773</v>
      </c>
      <c r="D180" s="421">
        <v>2650.36</v>
      </c>
      <c r="E180" s="423">
        <v>3</v>
      </c>
      <c r="F180" s="423">
        <v>2</v>
      </c>
      <c r="G180" s="467">
        <v>1870</v>
      </c>
      <c r="H180" s="424">
        <f t="shared" si="360"/>
      </c>
      <c r="I180" s="424">
        <f t="shared" si="8"/>
      </c>
      <c r="J180" s="424">
        <f t="shared" si="71"/>
      </c>
      <c r="K180" s="425">
        <f t="shared" si="111"/>
      </c>
      <c r="L180" s="426">
        <f t="shared" si="171"/>
      </c>
      <c r="M180" s="427">
        <f t="shared" si="141"/>
      </c>
      <c r="N180" s="427">
        <f t="shared" si="201"/>
      </c>
      <c r="O180" s="427">
        <f t="shared" si="254"/>
      </c>
      <c r="P180" s="428">
        <f t="shared" si="307"/>
      </c>
      <c r="Q180" s="429" t="s">
        <v>777</v>
      </c>
      <c r="R180" s="430" t="s">
        <v>800</v>
      </c>
      <c r="S180" s="436">
        <v>6960</v>
      </c>
      <c r="T180" s="436">
        <v>972</v>
      </c>
      <c r="U180" s="436">
        <v>1394</v>
      </c>
      <c r="V180" s="436">
        <v>117</v>
      </c>
      <c r="W180" s="435">
        <v>7</v>
      </c>
      <c r="X180" s="435">
        <v>1</v>
      </c>
      <c r="Y180" s="448">
        <v>22</v>
      </c>
      <c r="Z180" s="486"/>
      <c r="AA180" s="490" t="s">
        <v>782</v>
      </c>
      <c r="AB180" s="491" t="s">
        <v>814</v>
      </c>
      <c r="AC180" s="492">
        <v>4</v>
      </c>
      <c r="AD180" s="490">
        <v>10019.3</v>
      </c>
      <c r="AE180" s="490">
        <v>15920</v>
      </c>
      <c r="AF180" s="490">
        <v>12</v>
      </c>
      <c r="AG180" s="493">
        <f t="shared" ref="AG180:AG183" si="224">AE180/AF180</f>
      </c>
      <c r="AH180" s="493">
        <f t="shared" ref="AH180:AH183" si="277">AD180/AF180</f>
      </c>
      <c r="AI180" s="493">
        <f t="shared" ref="AI180:AI183" si="330">AE180/AD180</f>
      </c>
      <c r="AJ180" s="492">
        <f>AD180/AC180</f>
      </c>
      <c r="AK180" s="492"/>
    </row>
    <row r="181">
      <c r="A181" s="420"/>
      <c r="B181" s="437" t="s">
        <v>774</v>
      </c>
      <c r="C181" s="437"/>
      <c r="D181" s="438">
        <f>SUM(D177:D180)</f>
      </c>
      <c r="E181" s="439">
        <f>SUM(E177:E180)</f>
      </c>
      <c r="F181" s="439">
        <f>SUM(F177:F180)</f>
      </c>
      <c r="G181" s="438">
        <f>SUM(G177:G180)</f>
      </c>
      <c r="H181" s="440">
        <f t="shared" si="360"/>
      </c>
      <c r="I181" s="441">
        <f t="shared" si="8"/>
      </c>
      <c r="J181" s="442">
        <f t="shared" si="71"/>
      </c>
      <c r="K181" s="443">
        <f t="shared" si="111"/>
      </c>
      <c r="L181" s="444">
        <f t="shared" si="171"/>
      </c>
      <c r="M181" s="443">
        <f t="shared" si="141"/>
      </c>
      <c r="N181" s="443">
        <f t="shared" si="201"/>
      </c>
      <c r="O181" s="445">
        <f t="shared" si="254"/>
      </c>
      <c r="P181" s="446">
        <f t="shared" si="307"/>
      </c>
      <c r="Q181" s="444"/>
      <c r="R181" s="444"/>
      <c r="S181" s="447">
        <f>SUM(S177:S180)</f>
      </c>
      <c r="T181" s="447">
        <f>SUM(T177:T180)</f>
      </c>
      <c r="U181" s="447">
        <f>SUM(U177:U180)</f>
      </c>
      <c r="V181" s="447">
        <f>SUM(V177:V180)</f>
      </c>
      <c r="W181" s="447">
        <f>SUM(W177:W180)</f>
      </c>
      <c r="X181" s="447">
        <f>SUM(X177:X180)</f>
      </c>
      <c r="Y181" s="447">
        <f>SUM(Y177:Y180)</f>
      </c>
      <c r="Z181" s="486"/>
      <c r="AA181" s="490" t="s">
        <v>767</v>
      </c>
      <c r="AB181" s="491" t="s">
        <v>815</v>
      </c>
      <c r="AC181" s="492">
        <v>4</v>
      </c>
      <c r="AD181" s="490">
        <v>9962.7</v>
      </c>
      <c r="AE181" s="490">
        <v>23346</v>
      </c>
      <c r="AF181" s="490">
        <v>12</v>
      </c>
      <c r="AG181" s="493">
        <f t="shared" si="224"/>
      </c>
      <c r="AH181" s="493">
        <f t="shared" si="277"/>
      </c>
      <c r="AI181" s="493">
        <f t="shared" si="330"/>
      </c>
      <c r="AJ181" s="492">
        <f t="shared" ref="AJ181:AJ183" si="41">AD181/4</f>
      </c>
      <c r="AK181" s="492"/>
    </row>
    <row r="182">
      <c r="A182" s="420"/>
      <c r="B182" s="421" t="s">
        <v>789</v>
      </c>
      <c r="C182" s="433" t="s">
        <v>776</v>
      </c>
      <c r="D182" s="459">
        <v>2054.56</v>
      </c>
      <c r="E182" s="423">
        <v>3</v>
      </c>
      <c r="F182" s="423">
        <v>1</v>
      </c>
      <c r="G182" s="460">
        <v>3747.6</v>
      </c>
      <c r="H182" s="424">
        <f t="shared" si="360"/>
      </c>
      <c r="I182" s="424">
        <f t="shared" si="8"/>
      </c>
      <c r="J182" s="424">
        <f t="shared" si="71"/>
      </c>
      <c r="K182" s="425">
        <f t="shared" si="111"/>
      </c>
      <c r="L182" s="426">
        <f t="shared" si="171"/>
      </c>
      <c r="M182" s="427">
        <f t="shared" si="141"/>
      </c>
      <c r="N182" s="427">
        <f t="shared" si="201"/>
      </c>
      <c r="O182" s="427">
        <f t="shared" si="254"/>
      </c>
      <c r="P182" s="428">
        <f t="shared" si="307"/>
      </c>
      <c r="Q182" s="429" t="s">
        <v>777</v>
      </c>
      <c r="R182" s="430" t="s">
        <v>778</v>
      </c>
      <c r="S182" s="436">
        <v>6272</v>
      </c>
      <c r="T182" s="436">
        <v>871</v>
      </c>
      <c r="U182" s="436">
        <v>1240</v>
      </c>
      <c r="V182" s="436">
        <v>128</v>
      </c>
      <c r="W182" s="435">
        <v>4</v>
      </c>
      <c r="X182" s="435">
        <v>0</v>
      </c>
      <c r="Y182" s="448">
        <v>34</v>
      </c>
      <c r="Z182" s="486"/>
      <c r="AA182" s="490" t="s">
        <v>789</v>
      </c>
      <c r="AB182" s="491" t="s">
        <v>816</v>
      </c>
      <c r="AC182" s="492">
        <v>4</v>
      </c>
      <c r="AD182" s="490">
        <v>7923.71</v>
      </c>
      <c r="AE182" s="490">
        <v>12378.4</v>
      </c>
      <c r="AF182" s="490">
        <v>8</v>
      </c>
      <c r="AG182" s="493">
        <f t="shared" si="224"/>
      </c>
      <c r="AH182" s="493">
        <f t="shared" si="277"/>
      </c>
      <c r="AI182" s="493">
        <f t="shared" si="330"/>
      </c>
      <c r="AJ182" s="492">
        <f t="shared" si="41"/>
      </c>
      <c r="AK182" s="492"/>
    </row>
    <row r="183">
      <c r="A183" s="420"/>
      <c r="B183" s="421" t="s">
        <v>789</v>
      </c>
      <c r="C183" s="422" t="s">
        <v>779</v>
      </c>
      <c r="D183" s="459">
        <v>1116.23</v>
      </c>
      <c r="E183" s="423">
        <v>1</v>
      </c>
      <c r="F183" s="423">
        <v>1</v>
      </c>
      <c r="G183" s="460">
        <v>2698</v>
      </c>
      <c r="H183" s="424">
        <f t="shared" si="360"/>
      </c>
      <c r="I183" s="424">
        <f t="shared" si="8"/>
      </c>
      <c r="J183" s="424">
        <f t="shared" si="71"/>
      </c>
      <c r="K183" s="425">
        <f t="shared" si="111"/>
      </c>
      <c r="L183" s="426">
        <f t="shared" si="171"/>
      </c>
      <c r="M183" s="427">
        <f t="shared" si="141"/>
      </c>
      <c r="N183" s="427">
        <f t="shared" si="201"/>
      </c>
      <c r="O183" s="427">
        <f t="shared" si="254"/>
      </c>
      <c r="P183" s="428">
        <f t="shared" si="307"/>
      </c>
      <c r="Q183" s="429" t="s">
        <v>777</v>
      </c>
      <c r="R183" s="430" t="s">
        <v>778</v>
      </c>
      <c r="S183" s="436">
        <v>5010</v>
      </c>
      <c r="T183" s="436">
        <v>582</v>
      </c>
      <c r="U183" s="436">
        <v>874</v>
      </c>
      <c r="V183" s="436">
        <v>91</v>
      </c>
      <c r="W183" s="435">
        <v>2</v>
      </c>
      <c r="X183" s="435">
        <v>0</v>
      </c>
      <c r="Y183" s="448">
        <v>18</v>
      </c>
      <c r="Z183" s="486"/>
      <c r="AA183" s="490" t="s">
        <v>775</v>
      </c>
      <c r="AB183" s="491" t="s">
        <v>817</v>
      </c>
      <c r="AC183" s="492">
        <v>4</v>
      </c>
      <c r="AD183" s="490">
        <v>12263.22</v>
      </c>
      <c r="AE183" s="490">
        <v>45383.2</v>
      </c>
      <c r="AF183" s="490">
        <v>31</v>
      </c>
      <c r="AG183" s="493">
        <f t="shared" si="224"/>
      </c>
      <c r="AH183" s="493">
        <f t="shared" si="277"/>
      </c>
      <c r="AI183" s="493">
        <f t="shared" si="330"/>
      </c>
      <c r="AJ183" s="492">
        <f t="shared" si="41"/>
      </c>
      <c r="AK183" s="492"/>
    </row>
    <row r="184">
      <c r="A184" s="420"/>
      <c r="B184" s="421" t="s">
        <v>789</v>
      </c>
      <c r="C184" s="422" t="s">
        <v>780</v>
      </c>
      <c r="D184" s="459">
        <v>2178.39</v>
      </c>
      <c r="E184" s="423">
        <v>1</v>
      </c>
      <c r="F184" s="423">
        <v>1</v>
      </c>
      <c r="G184" s="460">
        <v>2943.6</v>
      </c>
      <c r="H184" s="424">
        <f t="shared" si="360"/>
      </c>
      <c r="I184" s="424">
        <f t="shared" si="8"/>
      </c>
      <c r="J184" s="424">
        <f t="shared" si="71"/>
      </c>
      <c r="K184" s="425">
        <f t="shared" si="111"/>
      </c>
      <c r="L184" s="426">
        <f t="shared" si="171"/>
      </c>
      <c r="M184" s="427">
        <f t="shared" si="141"/>
      </c>
      <c r="N184" s="427">
        <f t="shared" si="201"/>
      </c>
      <c r="O184" s="427">
        <f t="shared" si="254"/>
      </c>
      <c r="P184" s="428">
        <f t="shared" si="307"/>
      </c>
      <c r="Q184" s="429" t="s">
        <v>777</v>
      </c>
      <c r="R184" s="430" t="s">
        <v>778</v>
      </c>
      <c r="S184" s="436">
        <v>8152</v>
      </c>
      <c r="T184" s="436">
        <v>1073</v>
      </c>
      <c r="U184" s="436">
        <v>1463</v>
      </c>
      <c r="V184" s="436">
        <v>132</v>
      </c>
      <c r="W184" s="435">
        <v>4</v>
      </c>
      <c r="X184" s="435">
        <v>0</v>
      </c>
      <c r="Y184" s="448">
        <v>25</v>
      </c>
      <c r="Z184" s="486"/>
      <c r="AA184" s="494" t="s">
        <v>818</v>
      </c>
      <c r="AB184" s="494"/>
      <c r="AC184" s="494"/>
      <c r="AD184" s="494"/>
      <c r="AE184" s="494"/>
      <c r="AF184" s="494"/>
      <c r="AG184" s="494"/>
      <c r="AH184" s="494"/>
      <c r="AI184" s="494"/>
      <c r="AJ184" s="494"/>
      <c r="AK184" s="494"/>
    </row>
    <row r="185">
      <c r="A185" s="420"/>
      <c r="B185" s="421" t="s">
        <v>789</v>
      </c>
      <c r="C185" s="422" t="s">
        <v>781</v>
      </c>
      <c r="D185" s="459">
        <v>2574.53</v>
      </c>
      <c r="E185" s="423">
        <v>3</v>
      </c>
      <c r="F185" s="423">
        <v>2</v>
      </c>
      <c r="G185" s="460">
        <v>2989.2</v>
      </c>
      <c r="H185" s="424">
        <f t="shared" si="360"/>
      </c>
      <c r="I185" s="424">
        <f t="shared" si="8"/>
      </c>
      <c r="J185" s="424">
        <f t="shared" si="71"/>
      </c>
      <c r="K185" s="425">
        <f t="shared" si="111"/>
      </c>
      <c r="L185" s="426">
        <f t="shared" si="171"/>
      </c>
      <c r="M185" s="427">
        <f t="shared" si="141"/>
      </c>
      <c r="N185" s="427">
        <f t="shared" si="201"/>
      </c>
      <c r="O185" s="427">
        <f t="shared" si="254"/>
      </c>
      <c r="P185" s="428">
        <f t="shared" si="307"/>
      </c>
      <c r="Q185" s="429" t="s">
        <v>777</v>
      </c>
      <c r="R185" s="430" t="s">
        <v>778</v>
      </c>
      <c r="S185" s="436">
        <v>9448</v>
      </c>
      <c r="T185" s="436">
        <v>1321</v>
      </c>
      <c r="U185" s="436">
        <v>1818</v>
      </c>
      <c r="V185" s="436">
        <v>154</v>
      </c>
      <c r="W185" s="435">
        <v>7</v>
      </c>
      <c r="X185" s="435">
        <v>1</v>
      </c>
      <c r="Y185" s="448">
        <v>37</v>
      </c>
      <c r="Z185" s="486"/>
      <c r="AA185" s="494"/>
      <c r="AB185" s="494"/>
      <c r="AC185" s="494"/>
      <c r="AD185" s="494"/>
      <c r="AE185" s="494"/>
      <c r="AF185" s="494"/>
      <c r="AG185" s="494"/>
      <c r="AH185" s="494"/>
      <c r="AI185" s="494"/>
      <c r="AJ185" s="494"/>
      <c r="AK185" s="494"/>
    </row>
    <row r="186">
      <c r="A186" s="420"/>
      <c r="B186" s="437" t="s">
        <v>774</v>
      </c>
      <c r="C186" s="437"/>
      <c r="D186" s="438">
        <f>SUM(D182:D185)</f>
      </c>
      <c r="E186" s="439">
        <f>SUM(E182:E185)</f>
      </c>
      <c r="F186" s="439">
        <f>SUM(F182:F185)</f>
      </c>
      <c r="G186" s="438">
        <f>SUM(G182:G185)</f>
      </c>
      <c r="H186" s="440">
        <f t="shared" si="360"/>
      </c>
      <c r="I186" s="441">
        <f t="shared" si="8"/>
      </c>
      <c r="J186" s="442">
        <f t="shared" si="71"/>
      </c>
      <c r="K186" s="443">
        <f t="shared" si="111"/>
      </c>
      <c r="L186" s="444">
        <f t="shared" si="171"/>
      </c>
      <c r="M186" s="443">
        <f t="shared" si="141"/>
      </c>
      <c r="N186" s="443">
        <f t="shared" si="201"/>
      </c>
      <c r="O186" s="445">
        <f t="shared" si="254"/>
      </c>
      <c r="P186" s="446">
        <f t="shared" si="307"/>
      </c>
      <c r="Q186" s="444"/>
      <c r="R186" s="444"/>
      <c r="S186" s="447">
        <f>SUM(S182:S185)</f>
      </c>
      <c r="T186" s="447">
        <f>SUM(T182:T185)</f>
      </c>
      <c r="U186" s="447">
        <f>SUM(U182:U185)</f>
      </c>
      <c r="V186" s="447">
        <f>SUM(V182:V185)</f>
      </c>
      <c r="W186" s="447">
        <f>SUM(W182:W185)</f>
      </c>
      <c r="X186" s="447">
        <f>SUM(X182:X185)</f>
      </c>
      <c r="Y186" s="447">
        <f>SUM(Y182:Y185)</f>
      </c>
      <c r="Z186" s="486"/>
      <c r="AA186" s="494"/>
      <c r="AB186" s="494"/>
      <c r="AC186" s="494"/>
      <c r="AD186" s="494"/>
      <c r="AE186" s="494"/>
      <c r="AF186" s="494"/>
      <c r="AG186" s="494"/>
      <c r="AH186" s="494"/>
      <c r="AI186" s="494"/>
      <c r="AJ186" s="494"/>
      <c r="AK186" s="494"/>
    </row>
    <row r="187">
      <c r="A187" s="420"/>
      <c r="B187" s="421" t="s">
        <v>775</v>
      </c>
      <c r="C187" s="422" t="s">
        <v>783</v>
      </c>
      <c r="D187" s="459">
        <v>2832.04</v>
      </c>
      <c r="E187" s="423">
        <v>7</v>
      </c>
      <c r="F187" s="423">
        <v>4</v>
      </c>
      <c r="G187" s="460">
        <v>13257.6</v>
      </c>
      <c r="H187" s="424">
        <f t="shared" si="360"/>
      </c>
      <c r="I187" s="424">
        <f t="shared" si="8"/>
      </c>
      <c r="J187" s="424">
        <f t="shared" si="71"/>
      </c>
      <c r="K187" s="425">
        <f t="shared" si="111"/>
      </c>
      <c r="L187" s="426">
        <f t="shared" si="171"/>
      </c>
      <c r="M187" s="427">
        <f t="shared" si="141"/>
      </c>
      <c r="N187" s="427">
        <f t="shared" si="201"/>
      </c>
      <c r="O187" s="427">
        <f t="shared" si="254"/>
      </c>
      <c r="P187" s="428">
        <f t="shared" si="307"/>
      </c>
      <c r="Q187" s="429" t="s">
        <v>777</v>
      </c>
      <c r="R187" s="430" t="s">
        <v>778</v>
      </c>
      <c r="S187" s="436">
        <v>11300</v>
      </c>
      <c r="T187" s="436">
        <v>1454</v>
      </c>
      <c r="U187" s="436">
        <v>1848</v>
      </c>
      <c r="V187" s="436">
        <v>164</v>
      </c>
      <c r="W187" s="435">
        <v>10</v>
      </c>
      <c r="X187" s="435">
        <v>1</v>
      </c>
      <c r="Y187" s="448">
        <v>24</v>
      </c>
      <c r="Z187" s="486"/>
      <c r="AA187" s="494"/>
      <c r="AB187" s="494"/>
      <c r="AC187" s="494"/>
      <c r="AD187" s="494"/>
      <c r="AE187" s="494"/>
      <c r="AF187" s="494"/>
      <c r="AG187" s="494"/>
      <c r="AH187" s="494"/>
      <c r="AI187" s="494"/>
      <c r="AJ187" s="494"/>
      <c r="AK187" s="494"/>
    </row>
    <row r="188">
      <c r="A188" s="420"/>
      <c r="B188" s="421" t="s">
        <v>775</v>
      </c>
      <c r="C188" s="451" t="s">
        <v>784</v>
      </c>
      <c r="D188" s="459">
        <v>3590.2</v>
      </c>
      <c r="E188" s="423">
        <v>7</v>
      </c>
      <c r="F188" s="423">
        <v>4</v>
      </c>
      <c r="G188" s="460">
        <v>14185.2</v>
      </c>
      <c r="H188" s="424">
        <f t="shared" si="360"/>
      </c>
      <c r="I188" s="424">
        <f t="shared" si="8"/>
      </c>
      <c r="J188" s="424">
        <f t="shared" si="71"/>
      </c>
      <c r="K188" s="425">
        <f t="shared" si="111"/>
      </c>
      <c r="L188" s="426">
        <f t="shared" si="171"/>
      </c>
      <c r="M188" s="427">
        <f t="shared" si="141"/>
      </c>
      <c r="N188" s="427">
        <f t="shared" si="201"/>
      </c>
      <c r="O188" s="427">
        <f t="shared" si="254"/>
      </c>
      <c r="P188" s="428">
        <f t="shared" si="307"/>
      </c>
      <c r="Q188" s="429" t="s">
        <v>777</v>
      </c>
      <c r="R188" s="430" t="s">
        <v>778</v>
      </c>
      <c r="S188" s="436">
        <v>13407</v>
      </c>
      <c r="T188" s="436">
        <v>1900</v>
      </c>
      <c r="U188" s="436">
        <v>2338</v>
      </c>
      <c r="V188" s="436">
        <v>140</v>
      </c>
      <c r="W188" s="435">
        <v>9</v>
      </c>
      <c r="X188" s="435">
        <v>1</v>
      </c>
      <c r="Y188" s="448">
        <v>24</v>
      </c>
      <c r="AA188" s="495" t="s">
        <v>819</v>
      </c>
      <c r="AB188" s="495"/>
      <c r="AC188" s="495"/>
      <c r="AD188" s="495"/>
      <c r="AE188" s="495"/>
      <c r="AF188" s="495"/>
      <c r="AG188" s="495"/>
      <c r="AH188" s="495"/>
      <c r="AI188" s="495"/>
      <c r="AJ188" s="495"/>
      <c r="AK188" s="495"/>
    </row>
    <row r="189">
      <c r="A189" s="420"/>
      <c r="B189" s="421" t="s">
        <v>775</v>
      </c>
      <c r="C189" s="451" t="s">
        <v>785</v>
      </c>
      <c r="D189" s="459">
        <v>3733.21</v>
      </c>
      <c r="E189" s="423">
        <v>11</v>
      </c>
      <c r="F189" s="423">
        <v>6</v>
      </c>
      <c r="G189" s="460">
        <v>10256.8</v>
      </c>
      <c r="H189" s="424">
        <f t="shared" si="360"/>
      </c>
      <c r="I189" s="424">
        <f t="shared" si="8"/>
      </c>
      <c r="J189" s="424">
        <f t="shared" si="71"/>
      </c>
      <c r="K189" s="425">
        <f t="shared" si="111"/>
      </c>
      <c r="L189" s="426">
        <f t="shared" si="171"/>
      </c>
      <c r="M189" s="427">
        <f t="shared" si="141"/>
      </c>
      <c r="N189" s="427">
        <f t="shared" si="201"/>
      </c>
      <c r="O189" s="427">
        <f t="shared" si="254"/>
      </c>
      <c r="P189" s="428">
        <f t="shared" si="307"/>
      </c>
      <c r="Q189" s="429" t="s">
        <v>777</v>
      </c>
      <c r="R189" s="430" t="s">
        <v>778</v>
      </c>
      <c r="S189" s="436">
        <v>15862</v>
      </c>
      <c r="T189" s="436">
        <v>2262</v>
      </c>
      <c r="U189" s="436">
        <v>2785</v>
      </c>
      <c r="V189" s="436">
        <v>205</v>
      </c>
      <c r="W189" s="435">
        <v>12</v>
      </c>
      <c r="X189" s="435">
        <v>2</v>
      </c>
      <c r="Y189" s="448">
        <v>49</v>
      </c>
      <c r="AA189" s="478" t="s">
        <v>809</v>
      </c>
      <c r="AB189" s="478" t="s">
        <v>820</v>
      </c>
      <c r="AC189" s="479" t="s">
        <v>821</v>
      </c>
      <c r="AD189" s="478" t="s">
        <v>822</v>
      </c>
      <c r="AE189" s="478" t="s">
        <v>823</v>
      </c>
      <c r="AF189" s="478" t="s">
        <v>824</v>
      </c>
      <c r="AG189" s="478" t="s">
        <v>825</v>
      </c>
      <c r="AH189" s="480" t="s">
        <v>764</v>
      </c>
      <c r="AI189" s="480" t="s">
        <v>826</v>
      </c>
      <c r="AJ189" s="480" t="s">
        <v>827</v>
      </c>
      <c r="AK189" s="480" t="s">
        <v>808</v>
      </c>
    </row>
    <row r="190">
      <c r="A190" s="420"/>
      <c r="B190" s="421" t="s">
        <v>775</v>
      </c>
      <c r="C190" s="451" t="s">
        <v>786</v>
      </c>
      <c r="D190" s="459">
        <v>2107.77</v>
      </c>
      <c r="E190" s="423">
        <v>6</v>
      </c>
      <c r="F190" s="423">
        <v>3</v>
      </c>
      <c r="G190" s="460">
        <v>7683.6</v>
      </c>
      <c r="H190" s="424">
        <f t="shared" si="360"/>
      </c>
      <c r="I190" s="424">
        <f t="shared" si="8"/>
      </c>
      <c r="J190" s="424">
        <f t="shared" si="71"/>
      </c>
      <c r="K190" s="425">
        <f t="shared" si="111"/>
      </c>
      <c r="L190" s="426">
        <f t="shared" si="171"/>
      </c>
      <c r="M190" s="427">
        <f t="shared" si="141"/>
      </c>
      <c r="N190" s="427">
        <f t="shared" si="201"/>
      </c>
      <c r="O190" s="427">
        <f t="shared" si="254"/>
      </c>
      <c r="P190" s="428">
        <f t="shared" si="307"/>
      </c>
      <c r="Q190" s="429" t="s">
        <v>777</v>
      </c>
      <c r="R190" s="430" t="s">
        <v>778</v>
      </c>
      <c r="S190" s="436">
        <v>8777</v>
      </c>
      <c r="T190" s="436">
        <v>1141</v>
      </c>
      <c r="U190" s="436">
        <v>1455</v>
      </c>
      <c r="V190" s="436">
        <v>106</v>
      </c>
      <c r="W190" s="435">
        <v>8</v>
      </c>
      <c r="X190" s="435">
        <v>2</v>
      </c>
      <c r="Y190" s="448">
        <v>23</v>
      </c>
      <c r="AA190" s="465">
        <f>SUM(AD180:AD183)</f>
      </c>
      <c r="AB190" s="465">
        <f>SUM(AE180:AE183)</f>
      </c>
      <c r="AC190" s="481">
        <f>AB190/((AK190*300)+AA190)</f>
      </c>
      <c r="AD190" s="482">
        <f>AA190/AJ190</f>
      </c>
      <c r="AE190" s="481">
        <f>AB190/AJ190</f>
      </c>
      <c r="AF190" s="483">
        <f>AJ190/AI190</f>
      </c>
      <c r="AG190" s="483">
        <f>AH190/AJ190</f>
      </c>
      <c r="AH190" s="484">
        <v>11</v>
      </c>
      <c r="AI190" s="484">
        <v>87</v>
      </c>
      <c r="AJ190" s="485">
        <f>SUM(AF180:AF183)</f>
      </c>
      <c r="AK190" s="485">
        <f>SUM(AC180:AC183)</f>
      </c>
    </row>
    <row r="191">
      <c r="A191" s="420"/>
      <c r="B191" s="437" t="s">
        <v>774</v>
      </c>
      <c r="C191" s="437"/>
      <c r="D191" s="438">
        <f>SUM(D187:D190)</f>
      </c>
      <c r="E191" s="439">
        <f>SUM(E187:E190)</f>
      </c>
      <c r="F191" s="439">
        <f>SUM(F187:F190)</f>
      </c>
      <c r="G191" s="438">
        <f>SUM(G187:G190)</f>
      </c>
      <c r="H191" s="440">
        <f t="shared" si="360"/>
      </c>
      <c r="I191" s="441">
        <f t="shared" si="8"/>
      </c>
      <c r="J191" s="442">
        <f t="shared" si="71"/>
      </c>
      <c r="K191" s="443">
        <f t="shared" si="111"/>
      </c>
      <c r="L191" s="444">
        <f t="shared" si="171"/>
      </c>
      <c r="M191" s="443">
        <f t="shared" si="141"/>
      </c>
      <c r="N191" s="443">
        <f t="shared" si="201"/>
      </c>
      <c r="O191" s="445">
        <f t="shared" si="254"/>
      </c>
      <c r="P191" s="446">
        <f t="shared" si="307"/>
      </c>
      <c r="Q191" s="444"/>
      <c r="R191" s="444"/>
      <c r="S191" s="447">
        <f>SUM(S187:S190)</f>
      </c>
      <c r="T191" s="447">
        <f>SUM(T187:T190)</f>
      </c>
      <c r="U191" s="447">
        <f>SUM(U187:U190)</f>
      </c>
      <c r="V191" s="447">
        <f>SUM(V187:V190)</f>
      </c>
      <c r="W191" s="447">
        <f>SUM(W187:W190)</f>
      </c>
      <c r="X191" s="447">
        <f>SUM(X187:X190)</f>
      </c>
      <c r="Y191" s="447">
        <f>SUM(Y187:Y190)</f>
      </c>
    </row>
    <row r="192">
      <c r="A192" s="420"/>
      <c r="B192" s="452" t="s">
        <v>787</v>
      </c>
      <c r="C192" s="452"/>
      <c r="D192" s="466">
        <f>D176+D181+D191+D186</f>
      </c>
      <c r="E192" s="454">
        <f>E176+E181+E191+E186</f>
      </c>
      <c r="F192" s="454">
        <f>F176+F181+F191+F186</f>
      </c>
      <c r="G192" s="466">
        <f>G176+G181+G186+G191</f>
      </c>
      <c r="H192" s="452">
        <f t="shared" si="360"/>
      </c>
      <c r="I192" s="452">
        <f t="shared" si="8"/>
      </c>
      <c r="J192" s="452">
        <f t="shared" si="71"/>
      </c>
      <c r="K192" s="455">
        <f t="shared" si="111"/>
      </c>
      <c r="L192" s="452">
        <f t="shared" si="171"/>
      </c>
      <c r="M192" s="455">
        <f t="shared" si="141"/>
      </c>
      <c r="N192" s="455">
        <f t="shared" si="201"/>
      </c>
      <c r="O192" s="455">
        <f t="shared" si="254"/>
      </c>
      <c r="P192" s="452">
        <f t="shared" si="307"/>
      </c>
      <c r="Q192" s="456"/>
      <c r="R192" s="456"/>
      <c r="S192" s="454">
        <f>S176+S181+S191+S186</f>
      </c>
      <c r="T192" s="454">
        <f>T176+T181+T191+T186</f>
      </c>
      <c r="U192" s="454">
        <f>U176+U181+U191+U186</f>
      </c>
      <c r="V192" s="454">
        <f>V176+V181+V191+V186</f>
      </c>
      <c r="W192" s="454">
        <f>W176+W181+W191+W186</f>
      </c>
      <c r="X192" s="454">
        <f>X176+X181+X191+X186</f>
      </c>
      <c r="Y192" s="454">
        <f>Y176+Y181+Y191+Y186</f>
      </c>
    </row>
    <row r="193">
      <c r="A193" s="405" t="s">
        <v>738</v>
      </c>
      <c r="B193" s="405"/>
      <c r="C193" s="405"/>
      <c r="D193" s="406" t="s">
        <v>739</v>
      </c>
      <c r="E193" s="406"/>
      <c r="F193" s="406"/>
      <c r="G193" s="406"/>
      <c r="H193" s="406"/>
      <c r="I193" s="406"/>
      <c r="J193" s="406"/>
      <c r="K193" s="407" t="s">
        <v>740</v>
      </c>
      <c r="L193" s="407"/>
      <c r="M193" s="407"/>
      <c r="N193" s="407"/>
      <c r="O193" s="407"/>
      <c r="P193" s="407"/>
      <c r="Q193" s="407"/>
      <c r="R193" s="407"/>
      <c r="S193" s="408" t="s">
        <v>741</v>
      </c>
      <c r="T193" s="408"/>
      <c r="U193" s="408"/>
      <c r="V193" s="408"/>
      <c r="W193" s="408"/>
      <c r="X193" s="408"/>
      <c r="Y193" s="408"/>
    </row>
    <row r="194">
      <c r="A194" s="409" t="s">
        <v>742</v>
      </c>
      <c r="B194" s="409" t="s">
        <v>743</v>
      </c>
      <c r="C194" s="409" t="s">
        <v>744</v>
      </c>
      <c r="D194" s="410" t="s">
        <v>745</v>
      </c>
      <c r="E194" s="411" t="s">
        <v>746</v>
      </c>
      <c r="F194" s="463" t="s">
        <v>792</v>
      </c>
      <c r="G194" s="410" t="s">
        <v>747</v>
      </c>
      <c r="H194" s="412" t="s">
        <v>748</v>
      </c>
      <c r="I194" s="413" t="s">
        <v>749</v>
      </c>
      <c r="J194" s="410" t="s">
        <v>750</v>
      </c>
      <c r="K194" s="414" t="s">
        <v>751</v>
      </c>
      <c r="L194" s="415" t="s">
        <v>752</v>
      </c>
      <c r="M194" s="414" t="s">
        <v>753</v>
      </c>
      <c r="N194" s="414" t="s">
        <v>754</v>
      </c>
      <c r="O194" s="416" t="s">
        <v>755</v>
      </c>
      <c r="P194" s="416" t="s">
        <v>756</v>
      </c>
      <c r="Q194" s="417" t="s">
        <v>757</v>
      </c>
      <c r="R194" s="417" t="s">
        <v>758</v>
      </c>
      <c r="S194" s="431" t="s">
        <v>759</v>
      </c>
      <c r="T194" s="431" t="s">
        <v>760</v>
      </c>
      <c r="U194" s="431" t="s">
        <v>761</v>
      </c>
      <c r="V194" s="431" t="s">
        <v>762</v>
      </c>
      <c r="W194" s="431" t="s">
        <v>763</v>
      </c>
      <c r="X194" s="431" t="s">
        <v>764</v>
      </c>
      <c r="Y194" s="419" t="s">
        <v>765</v>
      </c>
    </row>
    <row r="195">
      <c r="A195" s="420" t="s">
        <v>830</v>
      </c>
      <c r="B195" s="421" t="s">
        <v>767</v>
      </c>
      <c r="C195" s="451" t="s">
        <v>794</v>
      </c>
      <c r="D195" s="421">
        <v>1485.13</v>
      </c>
      <c r="E195" s="423">
        <v>3</v>
      </c>
      <c r="F195" s="423">
        <v>1</v>
      </c>
      <c r="G195" s="467">
        <v>2233.2</v>
      </c>
      <c r="H195" s="424">
        <f t="shared" ref="H195:H215" si="361">G195/D195</f>
      </c>
      <c r="I195" s="424">
        <f t="shared" ref="I195:I215" si="9">D195/E195</f>
      </c>
      <c r="J195" s="424">
        <f t="shared" ref="J195:J215" si="72">G195/E195</f>
      </c>
      <c r="K195" s="425">
        <f t="shared" ref="K195:K215" si="112">T195/S195</f>
      </c>
      <c r="L195" s="426">
        <f t="shared" ref="L195:L215" si="172">D195/U195</f>
      </c>
      <c r="M195" s="427">
        <f t="shared" ref="M195:M215" si="142">V195/U195</f>
      </c>
      <c r="N195" s="427">
        <f t="shared" ref="N195:N215" si="202">E195/W195</f>
      </c>
      <c r="O195" s="427">
        <f t="shared" ref="O195:O215" si="255">X195/E195</f>
      </c>
      <c r="P195" s="428">
        <f t="shared" ref="P195:P215" si="308">(Y195*1000)/D195</f>
      </c>
      <c r="Q195" s="429" t="s">
        <v>769</v>
      </c>
      <c r="R195" s="430" t="s">
        <v>800</v>
      </c>
      <c r="S195" s="461">
        <v>6849</v>
      </c>
      <c r="T195" s="461">
        <v>809</v>
      </c>
      <c r="U195" s="461">
        <v>1168</v>
      </c>
      <c r="V195" s="461">
        <v>116</v>
      </c>
      <c r="W195" s="461">
        <v>5</v>
      </c>
      <c r="X195" s="461">
        <v>0</v>
      </c>
      <c r="Y195" s="461">
        <v>20</v>
      </c>
    </row>
    <row r="196">
      <c r="A196" s="420"/>
      <c r="B196" s="421" t="s">
        <v>767</v>
      </c>
      <c r="C196" s="421" t="s">
        <v>796</v>
      </c>
      <c r="D196" s="421">
        <v>1907.01</v>
      </c>
      <c r="E196" s="423">
        <v>1</v>
      </c>
      <c r="F196" s="423">
        <v>1</v>
      </c>
      <c r="G196" s="467">
        <v>598</v>
      </c>
      <c r="H196" s="424">
        <f t="shared" si="361"/>
      </c>
      <c r="I196" s="424">
        <f t="shared" si="9"/>
      </c>
      <c r="J196" s="424">
        <f t="shared" si="72"/>
      </c>
      <c r="K196" s="425">
        <f t="shared" si="112"/>
      </c>
      <c r="L196" s="426">
        <f t="shared" si="172"/>
      </c>
      <c r="M196" s="427">
        <f t="shared" si="142"/>
      </c>
      <c r="N196" s="427">
        <f t="shared" si="202"/>
      </c>
      <c r="O196" s="427">
        <f t="shared" si="255"/>
      </c>
      <c r="P196" s="428">
        <f t="shared" si="308"/>
      </c>
      <c r="Q196" s="429" t="s">
        <v>769</v>
      </c>
      <c r="R196" s="430" t="s">
        <v>800</v>
      </c>
      <c r="S196" s="461">
        <v>5399</v>
      </c>
      <c r="T196" s="461">
        <v>751</v>
      </c>
      <c r="U196" s="461">
        <v>1042</v>
      </c>
      <c r="V196" s="461">
        <v>112</v>
      </c>
      <c r="W196" s="461">
        <v>2</v>
      </c>
      <c r="X196" s="461">
        <v>0</v>
      </c>
      <c r="Y196" s="461">
        <v>32</v>
      </c>
    </row>
    <row r="197">
      <c r="A197" s="420"/>
      <c r="B197" s="421" t="s">
        <v>767</v>
      </c>
      <c r="C197" s="421" t="s">
        <v>797</v>
      </c>
      <c r="D197" s="421">
        <v>1309.92</v>
      </c>
      <c r="E197" s="423">
        <v>3</v>
      </c>
      <c r="F197" s="423">
        <v>1</v>
      </c>
      <c r="G197" s="467">
        <v>3534</v>
      </c>
      <c r="H197" s="424">
        <f t="shared" si="361"/>
      </c>
      <c r="I197" s="424">
        <f t="shared" si="9"/>
      </c>
      <c r="J197" s="424">
        <f t="shared" si="72"/>
      </c>
      <c r="K197" s="425">
        <f t="shared" si="112"/>
      </c>
      <c r="L197" s="426">
        <f t="shared" si="172"/>
      </c>
      <c r="M197" s="427">
        <f t="shared" si="142"/>
      </c>
      <c r="N197" s="427">
        <f t="shared" si="202"/>
      </c>
      <c r="O197" s="427">
        <f t="shared" si="255"/>
      </c>
      <c r="P197" s="428">
        <f t="shared" si="308"/>
      </c>
      <c r="Q197" s="429" t="s">
        <v>769</v>
      </c>
      <c r="R197" s="430" t="s">
        <v>800</v>
      </c>
      <c r="S197" s="461">
        <v>4275</v>
      </c>
      <c r="T197" s="461">
        <v>591</v>
      </c>
      <c r="U197" s="461">
        <v>898</v>
      </c>
      <c r="V197" s="461">
        <v>104</v>
      </c>
      <c r="W197" s="461">
        <v>2</v>
      </c>
      <c r="X197" s="461">
        <v>1</v>
      </c>
      <c r="Y197" s="461">
        <v>23</v>
      </c>
    </row>
    <row r="198">
      <c r="A198" s="420"/>
      <c r="B198" s="421" t="s">
        <v>767</v>
      </c>
      <c r="C198" s="421" t="s">
        <v>798</v>
      </c>
      <c r="D198" s="421">
        <v>2249.2</v>
      </c>
      <c r="E198" s="423">
        <v>12</v>
      </c>
      <c r="F198" s="423">
        <v>7</v>
      </c>
      <c r="G198" s="462">
        <v>12174.7</v>
      </c>
      <c r="H198" s="424">
        <f t="shared" si="361"/>
      </c>
      <c r="I198" s="424">
        <f t="shared" si="9"/>
      </c>
      <c r="J198" s="424">
        <f t="shared" si="72"/>
      </c>
      <c r="K198" s="425">
        <f t="shared" si="112"/>
      </c>
      <c r="L198" s="426">
        <f t="shared" si="172"/>
      </c>
      <c r="M198" s="427">
        <f t="shared" si="142"/>
      </c>
      <c r="N198" s="427">
        <f t="shared" si="202"/>
      </c>
      <c r="O198" s="427">
        <f t="shared" si="255"/>
      </c>
      <c r="P198" s="428">
        <f t="shared" si="308"/>
      </c>
      <c r="Q198" s="429" t="s">
        <v>769</v>
      </c>
      <c r="R198" s="430" t="s">
        <v>800</v>
      </c>
      <c r="S198" s="461">
        <v>1040</v>
      </c>
      <c r="T198" s="461">
        <v>163</v>
      </c>
      <c r="U198" s="461">
        <v>233</v>
      </c>
      <c r="V198" s="461">
        <v>27</v>
      </c>
      <c r="W198" s="461">
        <v>13</v>
      </c>
      <c r="X198" s="435">
        <v>1</v>
      </c>
      <c r="Y198" s="435">
        <v>25</v>
      </c>
    </row>
    <row r="199">
      <c r="A199" s="420"/>
      <c r="B199" s="437" t="s">
        <v>774</v>
      </c>
      <c r="C199" s="437"/>
      <c r="D199" s="438">
        <f>SUM(D195:D198)</f>
      </c>
      <c r="E199" s="439">
        <f>SUM(E195:E198)</f>
      </c>
      <c r="F199" s="439">
        <f>SUM(F195:F198)</f>
      </c>
      <c r="G199" s="438">
        <f>SUM(G195:G198)</f>
      </c>
      <c r="H199" s="440">
        <f t="shared" si="361"/>
      </c>
      <c r="I199" s="441">
        <f t="shared" si="9"/>
      </c>
      <c r="J199" s="442">
        <f t="shared" si="72"/>
      </c>
      <c r="K199" s="443">
        <f t="shared" si="112"/>
      </c>
      <c r="L199" s="444">
        <f t="shared" si="172"/>
      </c>
      <c r="M199" s="443">
        <f t="shared" si="142"/>
      </c>
      <c r="N199" s="443">
        <f t="shared" si="202"/>
      </c>
      <c r="O199" s="445">
        <f t="shared" si="255"/>
      </c>
      <c r="P199" s="446">
        <f t="shared" si="308"/>
      </c>
      <c r="Q199" s="444"/>
      <c r="R199" s="444"/>
      <c r="S199" s="447">
        <f>SUM(S195:S198)</f>
      </c>
      <c r="T199" s="447">
        <f>SUM(T195:T198)</f>
      </c>
      <c r="U199" s="447">
        <f>SUM(U195:U198)</f>
      </c>
      <c r="V199" s="447">
        <f>SUM(V195:V198)</f>
      </c>
      <c r="W199" s="447">
        <f>SUM(W195:W198)</f>
      </c>
      <c r="X199" s="447">
        <f>SUM(X195:X198)</f>
      </c>
      <c r="Y199" s="447">
        <f>SUM(Y195:Y198)</f>
      </c>
    </row>
    <row r="200">
      <c r="A200" s="420"/>
      <c r="B200" s="421" t="s">
        <v>782</v>
      </c>
      <c r="C200" s="422" t="s">
        <v>768</v>
      </c>
      <c r="D200" s="421">
        <v>2904.62</v>
      </c>
      <c r="E200" s="423">
        <v>0</v>
      </c>
      <c r="F200" s="423">
        <v>0</v>
      </c>
      <c r="G200" s="468">
        <v>0</v>
      </c>
      <c r="H200" s="424">
        <f t="shared" si="361"/>
      </c>
      <c r="I200" s="424">
        <f t="shared" si="9"/>
      </c>
      <c r="J200" s="424">
        <f t="shared" si="72"/>
      </c>
      <c r="K200" s="425">
        <f t="shared" si="112"/>
      </c>
      <c r="L200" s="426">
        <f t="shared" si="172"/>
      </c>
      <c r="M200" s="427">
        <f t="shared" si="142"/>
      </c>
      <c r="N200" s="427">
        <f t="shared" si="202"/>
      </c>
      <c r="O200" s="427">
        <f t="shared" si="255"/>
      </c>
      <c r="P200" s="428">
        <f t="shared" si="308"/>
      </c>
      <c r="Q200" s="429" t="s">
        <v>777</v>
      </c>
      <c r="R200" s="430" t="s">
        <v>800</v>
      </c>
      <c r="S200" s="436">
        <v>5635</v>
      </c>
      <c r="T200" s="436">
        <v>904</v>
      </c>
      <c r="U200" s="436">
        <v>1205</v>
      </c>
      <c r="V200" s="436">
        <v>129</v>
      </c>
      <c r="W200" s="435">
        <v>0</v>
      </c>
      <c r="X200" s="435">
        <v>0</v>
      </c>
      <c r="Y200" s="448">
        <v>30</v>
      </c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</row>
    <row r="201">
      <c r="A201" s="420"/>
      <c r="B201" s="421" t="s">
        <v>782</v>
      </c>
      <c r="C201" s="433" t="s">
        <v>771</v>
      </c>
      <c r="D201" s="421">
        <v>3125.24</v>
      </c>
      <c r="E201" s="423">
        <v>5</v>
      </c>
      <c r="F201" s="423">
        <v>3</v>
      </c>
      <c r="G201" s="468">
        <v>7750.5</v>
      </c>
      <c r="H201" s="424">
        <f t="shared" si="361"/>
      </c>
      <c r="I201" s="424">
        <f t="shared" si="9"/>
      </c>
      <c r="J201" s="424">
        <f t="shared" si="72"/>
      </c>
      <c r="K201" s="425">
        <f t="shared" si="112"/>
      </c>
      <c r="L201" s="426">
        <f t="shared" si="172"/>
      </c>
      <c r="M201" s="427">
        <f t="shared" si="142"/>
      </c>
      <c r="N201" s="427">
        <f t="shared" si="202"/>
      </c>
      <c r="O201" s="427">
        <f t="shared" si="255"/>
      </c>
      <c r="P201" s="428">
        <f t="shared" si="308"/>
      </c>
      <c r="Q201" s="429" t="s">
        <v>777</v>
      </c>
      <c r="R201" s="430" t="s">
        <v>800</v>
      </c>
      <c r="S201" s="436">
        <v>5784</v>
      </c>
      <c r="T201" s="436">
        <v>898</v>
      </c>
      <c r="U201" s="436">
        <v>1194</v>
      </c>
      <c r="V201" s="436">
        <v>127</v>
      </c>
      <c r="W201" s="435">
        <v>7</v>
      </c>
      <c r="X201" s="435">
        <v>0</v>
      </c>
      <c r="Y201" s="448">
        <v>57</v>
      </c>
      <c r="Z201" s="486"/>
      <c r="AA201" s="487" t="s">
        <v>829</v>
      </c>
      <c r="AB201" s="487"/>
      <c r="AC201" s="487"/>
      <c r="AD201" s="487"/>
      <c r="AE201" s="487"/>
      <c r="AF201" s="487"/>
      <c r="AG201" s="487"/>
      <c r="AH201" s="487"/>
      <c r="AI201" s="487"/>
      <c r="AJ201" s="487"/>
      <c r="AK201" s="487"/>
    </row>
    <row r="202">
      <c r="A202" s="420"/>
      <c r="B202" s="421" t="s">
        <v>782</v>
      </c>
      <c r="C202" s="433" t="s">
        <v>772</v>
      </c>
      <c r="D202" s="421">
        <v>2438.22</v>
      </c>
      <c r="E202" s="423">
        <v>1</v>
      </c>
      <c r="F202" s="423">
        <v>1</v>
      </c>
      <c r="G202" s="467">
        <v>1005.6</v>
      </c>
      <c r="H202" s="424">
        <f t="shared" si="361"/>
      </c>
      <c r="I202" s="424">
        <f t="shared" si="9"/>
      </c>
      <c r="J202" s="424">
        <f t="shared" si="72"/>
      </c>
      <c r="K202" s="425">
        <f t="shared" si="112"/>
      </c>
      <c r="L202" s="426">
        <f t="shared" si="172"/>
      </c>
      <c r="M202" s="427">
        <f t="shared" si="142"/>
      </c>
      <c r="N202" s="427">
        <f t="shared" si="202"/>
      </c>
      <c r="O202" s="427">
        <f t="shared" si="255"/>
      </c>
      <c r="P202" s="428">
        <f t="shared" si="308"/>
      </c>
      <c r="Q202" s="429" t="s">
        <v>777</v>
      </c>
      <c r="R202" s="430" t="s">
        <v>800</v>
      </c>
      <c r="S202" s="436">
        <v>6119</v>
      </c>
      <c r="T202" s="436">
        <v>985</v>
      </c>
      <c r="U202" s="436">
        <v>1221</v>
      </c>
      <c r="V202" s="436">
        <v>90</v>
      </c>
      <c r="W202" s="435">
        <v>2</v>
      </c>
      <c r="X202" s="435">
        <v>0</v>
      </c>
      <c r="Y202" s="448">
        <v>23</v>
      </c>
      <c r="Z202" s="486"/>
      <c r="AA202" s="489" t="s">
        <v>806</v>
      </c>
      <c r="AB202" s="489" t="s">
        <v>807</v>
      </c>
      <c r="AC202" s="489" t="s">
        <v>808</v>
      </c>
      <c r="AD202" s="489" t="s">
        <v>809</v>
      </c>
      <c r="AE202" s="489" t="s">
        <v>810</v>
      </c>
      <c r="AF202" s="489" t="s">
        <v>811</v>
      </c>
      <c r="AG202" s="489" t="s">
        <v>750</v>
      </c>
      <c r="AH202" s="489" t="s">
        <v>812</v>
      </c>
      <c r="AI202" s="489" t="s">
        <v>748</v>
      </c>
      <c r="AJ202" s="489" t="s">
        <v>813</v>
      </c>
      <c r="AK202" s="489"/>
    </row>
    <row r="203">
      <c r="A203" s="420"/>
      <c r="B203" s="421" t="s">
        <v>782</v>
      </c>
      <c r="C203" s="433" t="s">
        <v>773</v>
      </c>
      <c r="D203" s="421">
        <v>1989.57</v>
      </c>
      <c r="E203" s="423">
        <v>0</v>
      </c>
      <c r="F203" s="423">
        <v>0</v>
      </c>
      <c r="G203" s="467">
        <v>0</v>
      </c>
      <c r="H203" s="424">
        <f t="shared" si="361"/>
      </c>
      <c r="I203" s="424">
        <f t="shared" si="9"/>
      </c>
      <c r="J203" s="424">
        <f t="shared" si="72"/>
      </c>
      <c r="K203" s="425">
        <f t="shared" si="112"/>
      </c>
      <c r="L203" s="426">
        <f t="shared" si="172"/>
      </c>
      <c r="M203" s="427">
        <f t="shared" si="142"/>
      </c>
      <c r="N203" s="427">
        <f t="shared" si="202"/>
      </c>
      <c r="O203" s="427">
        <f t="shared" si="255"/>
      </c>
      <c r="P203" s="428">
        <f t="shared" si="308"/>
      </c>
      <c r="Q203" s="429" t="s">
        <v>777</v>
      </c>
      <c r="R203" s="430" t="s">
        <v>800</v>
      </c>
      <c r="S203" s="436">
        <v>5250</v>
      </c>
      <c r="T203" s="436">
        <v>750</v>
      </c>
      <c r="U203" s="436">
        <v>949</v>
      </c>
      <c r="V203" s="436">
        <v>86</v>
      </c>
      <c r="W203" s="435">
        <v>0</v>
      </c>
      <c r="X203" s="435">
        <v>0</v>
      </c>
      <c r="Y203" s="448">
        <v>20</v>
      </c>
      <c r="Z203" s="486"/>
      <c r="AA203" s="490" t="s">
        <v>767</v>
      </c>
      <c r="AB203" s="491" t="s">
        <v>814</v>
      </c>
      <c r="AC203" s="492">
        <v>4</v>
      </c>
      <c r="AD203" s="490">
        <v>7433.26</v>
      </c>
      <c r="AE203" s="490">
        <v>18539.9</v>
      </c>
      <c r="AF203" s="490">
        <v>19</v>
      </c>
      <c r="AG203" s="493">
        <f t="shared" ref="AG203:AG206" si="225">AE203/AF203</f>
      </c>
      <c r="AH203" s="493">
        <f t="shared" ref="AH203:AH206" si="278">AD203/AF203</f>
      </c>
      <c r="AI203" s="493">
        <f t="shared" ref="AI203:AI206" si="331">AE203/AD203</f>
      </c>
      <c r="AJ203" s="492">
        <f>AD203/AC203</f>
      </c>
      <c r="AK203" s="492"/>
    </row>
    <row r="204">
      <c r="A204" s="420"/>
      <c r="B204" s="437" t="s">
        <v>774</v>
      </c>
      <c r="C204" s="437"/>
      <c r="D204" s="438">
        <f>SUM(D200:D203)</f>
      </c>
      <c r="E204" s="439">
        <f>SUM(E200:E203)</f>
      </c>
      <c r="F204" s="439">
        <f>SUM(F200:F203)</f>
      </c>
      <c r="G204" s="438">
        <f>SUM(G200:G203)</f>
      </c>
      <c r="H204" s="440">
        <f t="shared" si="361"/>
      </c>
      <c r="I204" s="441">
        <f t="shared" si="9"/>
      </c>
      <c r="J204" s="442">
        <f t="shared" si="72"/>
      </c>
      <c r="K204" s="443">
        <f t="shared" si="112"/>
      </c>
      <c r="L204" s="444">
        <f t="shared" si="172"/>
      </c>
      <c r="M204" s="443">
        <f t="shared" si="142"/>
      </c>
      <c r="N204" s="443">
        <f t="shared" si="202"/>
      </c>
      <c r="O204" s="445">
        <f t="shared" si="255"/>
      </c>
      <c r="P204" s="446">
        <f t="shared" si="308"/>
      </c>
      <c r="Q204" s="444"/>
      <c r="R204" s="444"/>
      <c r="S204" s="447">
        <f>SUM(S200:S203)</f>
      </c>
      <c r="T204" s="447">
        <f>SUM(T200:T203)</f>
      </c>
      <c r="U204" s="447">
        <f>SUM(U200:U203)</f>
      </c>
      <c r="V204" s="447">
        <f>SUM(V200:V203)</f>
      </c>
      <c r="W204" s="447">
        <f>SUM(W200:W203)</f>
      </c>
      <c r="X204" s="447">
        <f>SUM(X200:X203)</f>
      </c>
      <c r="Y204" s="447">
        <f>SUM(Y200:Y203)</f>
      </c>
      <c r="Z204" s="486"/>
      <c r="AA204" s="490" t="s">
        <v>782</v>
      </c>
      <c r="AB204" s="491" t="s">
        <v>815</v>
      </c>
      <c r="AC204" s="492">
        <v>4</v>
      </c>
      <c r="AD204" s="490">
        <v>9975.65</v>
      </c>
      <c r="AE204" s="490">
        <v>8756.1</v>
      </c>
      <c r="AF204" s="490">
        <v>6</v>
      </c>
      <c r="AG204" s="493">
        <f t="shared" si="225"/>
      </c>
      <c r="AH204" s="493">
        <f t="shared" si="278"/>
      </c>
      <c r="AI204" s="493">
        <f t="shared" si="331"/>
      </c>
      <c r="AJ204" s="492">
        <f t="shared" ref="AJ204:AJ206" si="42">AD204/4</f>
      </c>
      <c r="AK204" s="492"/>
    </row>
    <row r="205">
      <c r="A205" s="420"/>
      <c r="B205" s="421" t="s">
        <v>789</v>
      </c>
      <c r="C205" s="433" t="s">
        <v>776</v>
      </c>
      <c r="D205" s="459">
        <v>1459.62</v>
      </c>
      <c r="E205" s="423">
        <v>1</v>
      </c>
      <c r="F205" s="423">
        <v>1</v>
      </c>
      <c r="G205" s="460">
        <v>652.8</v>
      </c>
      <c r="H205" s="424">
        <f t="shared" si="361"/>
      </c>
      <c r="I205" s="424">
        <f t="shared" si="9"/>
      </c>
      <c r="J205" s="424">
        <f t="shared" si="72"/>
      </c>
      <c r="K205" s="425">
        <f t="shared" si="112"/>
      </c>
      <c r="L205" s="426">
        <f t="shared" si="172"/>
      </c>
      <c r="M205" s="427">
        <f t="shared" si="142"/>
      </c>
      <c r="N205" s="427">
        <f t="shared" si="202"/>
      </c>
      <c r="O205" s="427">
        <f t="shared" si="255"/>
      </c>
      <c r="P205" s="428">
        <f t="shared" si="308"/>
      </c>
      <c r="Q205" s="429" t="s">
        <v>777</v>
      </c>
      <c r="R205" s="430" t="s">
        <v>778</v>
      </c>
      <c r="S205" s="436">
        <v>3988</v>
      </c>
      <c r="T205" s="436">
        <v>507</v>
      </c>
      <c r="U205" s="436">
        <v>690</v>
      </c>
      <c r="V205" s="436">
        <v>70</v>
      </c>
      <c r="W205" s="435">
        <v>1</v>
      </c>
      <c r="X205" s="435">
        <v>0</v>
      </c>
      <c r="Y205" s="448">
        <v>22</v>
      </c>
      <c r="Z205" s="486"/>
      <c r="AA205" s="490" t="s">
        <v>789</v>
      </c>
      <c r="AB205" s="491" t="s">
        <v>816</v>
      </c>
      <c r="AC205" s="492">
        <v>4</v>
      </c>
      <c r="AD205" s="490">
        <v>6404.47</v>
      </c>
      <c r="AE205" s="490">
        <v>7105.2</v>
      </c>
      <c r="AF205" s="490">
        <v>6</v>
      </c>
      <c r="AG205" s="493">
        <f t="shared" si="225"/>
      </c>
      <c r="AH205" s="493">
        <f t="shared" si="278"/>
      </c>
      <c r="AI205" s="493">
        <f t="shared" si="331"/>
      </c>
      <c r="AJ205" s="492">
        <f t="shared" si="42"/>
      </c>
      <c r="AK205" s="492"/>
    </row>
    <row r="206">
      <c r="A206" s="420"/>
      <c r="B206" s="421" t="s">
        <v>789</v>
      </c>
      <c r="C206" s="422" t="s">
        <v>779</v>
      </c>
      <c r="D206" s="459">
        <v>1188.1</v>
      </c>
      <c r="E206" s="423">
        <v>0</v>
      </c>
      <c r="F206" s="423">
        <v>0</v>
      </c>
      <c r="G206" s="460">
        <v>0</v>
      </c>
      <c r="H206" s="424">
        <f t="shared" si="361"/>
      </c>
      <c r="I206" s="424">
        <f t="shared" si="9"/>
      </c>
      <c r="J206" s="424">
        <f t="shared" si="72"/>
      </c>
      <c r="K206" s="425">
        <f t="shared" si="112"/>
      </c>
      <c r="L206" s="426">
        <f t="shared" si="172"/>
      </c>
      <c r="M206" s="427">
        <f t="shared" si="142"/>
      </c>
      <c r="N206" s="427">
        <f t="shared" si="202"/>
      </c>
      <c r="O206" s="427">
        <f t="shared" si="255"/>
      </c>
      <c r="P206" s="428">
        <f t="shared" si="308"/>
      </c>
      <c r="Q206" s="429" t="s">
        <v>777</v>
      </c>
      <c r="R206" s="430" t="s">
        <v>778</v>
      </c>
      <c r="S206" s="436">
        <v>4698</v>
      </c>
      <c r="T206" s="436">
        <v>577</v>
      </c>
      <c r="U206" s="436">
        <v>799</v>
      </c>
      <c r="V206" s="436">
        <v>99</v>
      </c>
      <c r="W206" s="435">
        <v>0</v>
      </c>
      <c r="X206" s="435">
        <v>0</v>
      </c>
      <c r="Y206" s="448">
        <v>14</v>
      </c>
      <c r="Z206" s="486"/>
      <c r="AA206" s="490" t="s">
        <v>775</v>
      </c>
      <c r="AB206" s="491" t="s">
        <v>817</v>
      </c>
      <c r="AC206" s="492">
        <v>4</v>
      </c>
      <c r="AD206" s="490">
        <v>8787.54</v>
      </c>
      <c r="AE206" s="490">
        <v>25522.8</v>
      </c>
      <c r="AF206" s="490">
        <v>18</v>
      </c>
      <c r="AG206" s="493">
        <f t="shared" si="225"/>
      </c>
      <c r="AH206" s="493">
        <f t="shared" si="278"/>
      </c>
      <c r="AI206" s="493">
        <f t="shared" si="331"/>
      </c>
      <c r="AJ206" s="492">
        <f t="shared" si="42"/>
      </c>
      <c r="AK206" s="492"/>
    </row>
    <row r="207">
      <c r="A207" s="420"/>
      <c r="B207" s="421" t="s">
        <v>789</v>
      </c>
      <c r="C207" s="422" t="s">
        <v>780</v>
      </c>
      <c r="D207" s="459">
        <v>1643.47</v>
      </c>
      <c r="E207" s="423">
        <v>3</v>
      </c>
      <c r="F207" s="423">
        <v>2</v>
      </c>
      <c r="G207" s="460">
        <v>5146.8</v>
      </c>
      <c r="H207" s="424">
        <f t="shared" si="361"/>
      </c>
      <c r="I207" s="424">
        <f t="shared" si="9"/>
      </c>
      <c r="J207" s="424">
        <f t="shared" si="72"/>
      </c>
      <c r="K207" s="425">
        <f t="shared" si="112"/>
      </c>
      <c r="L207" s="426">
        <f t="shared" si="172"/>
      </c>
      <c r="M207" s="427">
        <f t="shared" si="142"/>
      </c>
      <c r="N207" s="427">
        <f t="shared" si="202"/>
      </c>
      <c r="O207" s="427">
        <f t="shared" si="255"/>
      </c>
      <c r="P207" s="428">
        <f t="shared" si="308"/>
      </c>
      <c r="Q207" s="429" t="s">
        <v>777</v>
      </c>
      <c r="R207" s="430" t="s">
        <v>778</v>
      </c>
      <c r="S207" s="436">
        <v>4791</v>
      </c>
      <c r="T207" s="436">
        <v>709</v>
      </c>
      <c r="U207" s="436">
        <v>942</v>
      </c>
      <c r="V207" s="436">
        <v>87</v>
      </c>
      <c r="W207" s="435">
        <v>3</v>
      </c>
      <c r="X207" s="435">
        <v>0</v>
      </c>
      <c r="Y207" s="448">
        <v>26</v>
      </c>
      <c r="Z207" s="486"/>
      <c r="AA207" s="495" t="s">
        <v>819</v>
      </c>
      <c r="AB207" s="495"/>
      <c r="AC207" s="495"/>
      <c r="AD207" s="495"/>
      <c r="AE207" s="495"/>
      <c r="AF207" s="495"/>
      <c r="AG207" s="495"/>
      <c r="AH207" s="495"/>
      <c r="AI207" s="495"/>
      <c r="AJ207" s="495"/>
      <c r="AK207" s="495"/>
    </row>
    <row r="208">
      <c r="A208" s="420"/>
      <c r="B208" s="421" t="s">
        <v>789</v>
      </c>
      <c r="C208" s="422" t="s">
        <v>781</v>
      </c>
      <c r="D208" s="459">
        <v>2113.28</v>
      </c>
      <c r="E208" s="423">
        <v>2</v>
      </c>
      <c r="F208" s="423">
        <v>2</v>
      </c>
      <c r="G208" s="460">
        <v>1305.6</v>
      </c>
      <c r="H208" s="424">
        <f t="shared" si="361"/>
      </c>
      <c r="I208" s="424">
        <f t="shared" si="9"/>
      </c>
      <c r="J208" s="424">
        <f t="shared" si="72"/>
      </c>
      <c r="K208" s="425">
        <f t="shared" si="112"/>
      </c>
      <c r="L208" s="426">
        <f t="shared" si="172"/>
      </c>
      <c r="M208" s="427">
        <f t="shared" si="142"/>
      </c>
      <c r="N208" s="427">
        <f t="shared" si="202"/>
      </c>
      <c r="O208" s="427">
        <f t="shared" si="255"/>
      </c>
      <c r="P208" s="428">
        <f t="shared" si="308"/>
      </c>
      <c r="Q208" s="429" t="s">
        <v>777</v>
      </c>
      <c r="R208" s="430" t="s">
        <v>778</v>
      </c>
      <c r="S208" s="436">
        <v>5336</v>
      </c>
      <c r="T208" s="436">
        <v>907</v>
      </c>
      <c r="U208" s="436">
        <v>1192</v>
      </c>
      <c r="V208" s="436">
        <v>83</v>
      </c>
      <c r="W208" s="435">
        <v>3</v>
      </c>
      <c r="X208" s="435">
        <v>0</v>
      </c>
      <c r="Y208" s="448">
        <v>28</v>
      </c>
      <c r="Z208" s="486"/>
      <c r="AA208" s="478" t="s">
        <v>809</v>
      </c>
      <c r="AB208" s="478" t="s">
        <v>820</v>
      </c>
      <c r="AC208" s="479" t="s">
        <v>821</v>
      </c>
      <c r="AD208" s="478" t="s">
        <v>822</v>
      </c>
      <c r="AE208" s="478" t="s">
        <v>823</v>
      </c>
      <c r="AF208" s="478" t="s">
        <v>824</v>
      </c>
      <c r="AG208" s="478" t="s">
        <v>825</v>
      </c>
      <c r="AH208" s="480" t="s">
        <v>764</v>
      </c>
      <c r="AI208" s="480" t="s">
        <v>826</v>
      </c>
      <c r="AJ208" s="480" t="s">
        <v>827</v>
      </c>
      <c r="AK208" s="480" t="s">
        <v>808</v>
      </c>
    </row>
    <row r="209">
      <c r="A209" s="420"/>
      <c r="B209" s="437" t="s">
        <v>774</v>
      </c>
      <c r="C209" s="437"/>
      <c r="D209" s="438">
        <f>SUM(D205:D208)</f>
      </c>
      <c r="E209" s="439">
        <f>SUM(E205:E208)</f>
      </c>
      <c r="F209" s="439">
        <f>SUM(F205:F208)</f>
      </c>
      <c r="G209" s="438">
        <f>SUM(G205:G208)</f>
      </c>
      <c r="H209" s="440">
        <f t="shared" si="361"/>
      </c>
      <c r="I209" s="441">
        <f t="shared" si="9"/>
      </c>
      <c r="J209" s="442">
        <f t="shared" si="72"/>
      </c>
      <c r="K209" s="443">
        <f t="shared" si="112"/>
      </c>
      <c r="L209" s="444">
        <f t="shared" si="172"/>
      </c>
      <c r="M209" s="443">
        <f t="shared" si="142"/>
      </c>
      <c r="N209" s="443">
        <f t="shared" si="202"/>
      </c>
      <c r="O209" s="445">
        <f t="shared" si="255"/>
      </c>
      <c r="P209" s="446">
        <f t="shared" si="308"/>
      </c>
      <c r="Q209" s="444"/>
      <c r="R209" s="444"/>
      <c r="S209" s="447">
        <f>SUM(S205:S208)</f>
      </c>
      <c r="T209" s="447">
        <f>SUM(T205:T208)</f>
      </c>
      <c r="U209" s="447">
        <f>SUM(U205:U208)</f>
      </c>
      <c r="V209" s="447">
        <f>SUM(V205:V208)</f>
      </c>
      <c r="W209" s="447">
        <f>SUM(W205:W208)</f>
      </c>
      <c r="X209" s="447">
        <f>SUM(X205:X208)</f>
      </c>
      <c r="Y209" s="447">
        <f>SUM(Y205:Y208)</f>
      </c>
      <c r="Z209" s="486"/>
      <c r="AA209" s="465">
        <f>SUM(AD203:AD206)</f>
      </c>
      <c r="AB209" s="465">
        <f>SUM(AE203:AE206)</f>
      </c>
      <c r="AC209" s="481">
        <f>AB209/((AK209*300)+AA209)</f>
      </c>
      <c r="AD209" s="482">
        <f>AA209/AJ209</f>
      </c>
      <c r="AE209" s="481">
        <f>AB209/AJ209</f>
      </c>
      <c r="AF209" s="483">
        <f>AJ209/AI209</f>
      </c>
      <c r="AG209" s="483">
        <f>AH209/AJ209</f>
      </c>
      <c r="AH209" s="484">
        <v>3</v>
      </c>
      <c r="AI209" s="484">
        <v>60</v>
      </c>
      <c r="AJ209" s="485">
        <f>SUM(AF203:AF206)</f>
      </c>
      <c r="AK209" s="485">
        <f>SUM(AC203:AC206)</f>
      </c>
    </row>
    <row customHeight="true" ht="22.89915966386529" r="210">
      <c r="A210" s="420"/>
      <c r="B210" s="421" t="s">
        <v>775</v>
      </c>
      <c r="C210" s="422" t="s">
        <v>783</v>
      </c>
      <c r="D210" s="459">
        <v>2065.76</v>
      </c>
      <c r="E210" s="423">
        <v>3</v>
      </c>
      <c r="F210" s="423">
        <v>3</v>
      </c>
      <c r="G210" s="460">
        <v>6485.2</v>
      </c>
      <c r="H210" s="424">
        <f t="shared" si="361"/>
      </c>
      <c r="I210" s="424">
        <f t="shared" si="9"/>
      </c>
      <c r="J210" s="424">
        <f t="shared" si="72"/>
      </c>
      <c r="K210" s="425">
        <f t="shared" si="112"/>
      </c>
      <c r="L210" s="426">
        <f t="shared" si="172"/>
      </c>
      <c r="M210" s="427">
        <f t="shared" si="142"/>
      </c>
      <c r="N210" s="427">
        <f t="shared" si="202"/>
      </c>
      <c r="O210" s="427">
        <f t="shared" si="255"/>
      </c>
      <c r="P210" s="428">
        <f t="shared" si="308"/>
      </c>
      <c r="Q210" s="429" t="s">
        <v>777</v>
      </c>
      <c r="R210" s="430" t="s">
        <v>778</v>
      </c>
      <c r="S210" s="436">
        <v>6089</v>
      </c>
      <c r="T210" s="436">
        <v>1070</v>
      </c>
      <c r="U210" s="436">
        <v>1353</v>
      </c>
      <c r="V210" s="436">
        <v>105</v>
      </c>
      <c r="W210" s="435">
        <v>5</v>
      </c>
      <c r="X210" s="435">
        <v>0</v>
      </c>
      <c r="Y210" s="448">
        <v>29</v>
      </c>
      <c r="Z210" s="486"/>
    </row>
    <row customHeight="true" ht="21.288515406162592" r="211">
      <c r="A211" s="420"/>
      <c r="B211" s="421" t="s">
        <v>775</v>
      </c>
      <c r="C211" s="451" t="s">
        <v>784</v>
      </c>
      <c r="D211" s="459">
        <v>2450.68</v>
      </c>
      <c r="E211" s="423">
        <v>4</v>
      </c>
      <c r="F211" s="423">
        <v>4</v>
      </c>
      <c r="G211" s="460">
        <v>4400.4</v>
      </c>
      <c r="H211" s="424">
        <f t="shared" si="361"/>
      </c>
      <c r="I211" s="424">
        <f t="shared" si="9"/>
      </c>
      <c r="J211" s="424">
        <f t="shared" si="72"/>
      </c>
      <c r="K211" s="425">
        <f t="shared" si="112"/>
      </c>
      <c r="L211" s="426">
        <f t="shared" si="172"/>
      </c>
      <c r="M211" s="427">
        <f t="shared" si="142"/>
      </c>
      <c r="N211" s="427">
        <f t="shared" si="202"/>
      </c>
      <c r="O211" s="427">
        <f t="shared" si="255"/>
      </c>
      <c r="P211" s="428">
        <f t="shared" si="308"/>
      </c>
      <c r="Q211" s="429" t="s">
        <v>777</v>
      </c>
      <c r="R211" s="430" t="s">
        <v>778</v>
      </c>
      <c r="S211" s="436">
        <v>8713</v>
      </c>
      <c r="T211" s="436">
        <v>1483</v>
      </c>
      <c r="U211" s="436">
        <v>1851</v>
      </c>
      <c r="V211" s="436">
        <v>136</v>
      </c>
      <c r="W211" s="435">
        <v>6</v>
      </c>
      <c r="X211" s="435">
        <v>0</v>
      </c>
      <c r="Y211" s="448">
        <v>27</v>
      </c>
    </row>
    <row customHeight="true" ht="18.837535014005795" r="212">
      <c r="A212" s="420"/>
      <c r="B212" s="421" t="s">
        <v>775</v>
      </c>
      <c r="C212" s="451" t="s">
        <v>785</v>
      </c>
      <c r="D212" s="459">
        <v>2411.11</v>
      </c>
      <c r="E212" s="423">
        <v>4</v>
      </c>
      <c r="F212" s="423">
        <v>4</v>
      </c>
      <c r="G212" s="460">
        <v>5107.2</v>
      </c>
      <c r="H212" s="424">
        <f t="shared" si="361"/>
      </c>
      <c r="I212" s="424">
        <f t="shared" si="9"/>
      </c>
      <c r="J212" s="424">
        <f t="shared" si="72"/>
      </c>
      <c r="K212" s="425">
        <f t="shared" si="112"/>
      </c>
      <c r="L212" s="426">
        <f t="shared" si="172"/>
      </c>
      <c r="M212" s="427">
        <f t="shared" si="142"/>
      </c>
      <c r="N212" s="427">
        <f t="shared" si="202"/>
      </c>
      <c r="O212" s="427">
        <f t="shared" si="255"/>
      </c>
      <c r="P212" s="428">
        <f t="shared" si="308"/>
      </c>
      <c r="Q212" s="429" t="s">
        <v>777</v>
      </c>
      <c r="R212" s="430" t="s">
        <v>778</v>
      </c>
      <c r="S212" s="436">
        <v>9005</v>
      </c>
      <c r="T212" s="436">
        <v>1638</v>
      </c>
      <c r="U212" s="436">
        <v>1992</v>
      </c>
      <c r="V212" s="436">
        <v>113</v>
      </c>
      <c r="W212" s="435">
        <v>4</v>
      </c>
      <c r="X212" s="435">
        <v>0</v>
      </c>
      <c r="Y212" s="448">
        <v>26</v>
      </c>
    </row>
    <row customHeight="true" ht="20.51820728291291" r="213">
      <c r="A213" s="420"/>
      <c r="B213" s="421" t="s">
        <v>775</v>
      </c>
      <c r="C213" s="451" t="s">
        <v>786</v>
      </c>
      <c r="D213" s="459">
        <v>1859.99</v>
      </c>
      <c r="E213" s="423">
        <v>7</v>
      </c>
      <c r="F213" s="423">
        <v>5</v>
      </c>
      <c r="G213" s="460">
        <v>9530</v>
      </c>
      <c r="H213" s="424">
        <f t="shared" si="361"/>
      </c>
      <c r="I213" s="424">
        <f t="shared" si="9"/>
      </c>
      <c r="J213" s="424">
        <f t="shared" si="72"/>
      </c>
      <c r="K213" s="425">
        <f t="shared" si="112"/>
      </c>
      <c r="L213" s="426">
        <f t="shared" si="172"/>
      </c>
      <c r="M213" s="427">
        <f t="shared" si="142"/>
      </c>
      <c r="N213" s="427">
        <f t="shared" si="202"/>
      </c>
      <c r="O213" s="427">
        <f t="shared" si="255"/>
      </c>
      <c r="P213" s="428">
        <f t="shared" si="308"/>
      </c>
      <c r="Q213" s="429" t="s">
        <v>777</v>
      </c>
      <c r="R213" s="430" t="s">
        <v>778</v>
      </c>
      <c r="S213" s="436">
        <v>7475</v>
      </c>
      <c r="T213" s="436">
        <v>1190</v>
      </c>
      <c r="U213" s="436">
        <v>1590</v>
      </c>
      <c r="V213" s="436">
        <v>108</v>
      </c>
      <c r="W213" s="435">
        <v>7</v>
      </c>
      <c r="X213" s="435">
        <v>1</v>
      </c>
      <c r="Y213" s="448">
        <v>30</v>
      </c>
      <c r="AB213" s="486"/>
      <c r="AC213" s="486"/>
      <c r="AD213" s="486"/>
    </row>
    <row r="214">
      <c r="A214" s="420"/>
      <c r="B214" s="437" t="s">
        <v>774</v>
      </c>
      <c r="C214" s="437"/>
      <c r="D214" s="438">
        <f>SUM(D210:D213)</f>
      </c>
      <c r="E214" s="438">
        <f>SUM(E210:E213)</f>
      </c>
      <c r="F214" s="438">
        <f>SUM(F210:F213)</f>
      </c>
      <c r="G214" s="438">
        <f>SUM(G210:G213)</f>
      </c>
      <c r="H214" s="440">
        <f t="shared" si="361"/>
      </c>
      <c r="I214" s="441">
        <f t="shared" si="9"/>
      </c>
      <c r="J214" s="442">
        <f t="shared" si="72"/>
      </c>
      <c r="K214" s="443">
        <f t="shared" si="112"/>
      </c>
      <c r="L214" s="444">
        <f t="shared" si="172"/>
      </c>
      <c r="M214" s="443">
        <f t="shared" si="142"/>
      </c>
      <c r="N214" s="443">
        <f t="shared" si="202"/>
      </c>
      <c r="O214" s="445">
        <f t="shared" si="255"/>
      </c>
      <c r="P214" s="446">
        <f t="shared" si="308"/>
      </c>
      <c r="Q214" s="444"/>
      <c r="R214" s="444"/>
      <c r="S214" s="447">
        <f>SUM(S210:S213)</f>
      </c>
      <c r="T214" s="447">
        <f>SUM(T210:T213)</f>
      </c>
      <c r="U214" s="447">
        <f>SUM(U210:U213)</f>
      </c>
      <c r="V214" s="447">
        <f>SUM(V210:V213)</f>
      </c>
      <c r="W214" s="447">
        <f>SUM(W210:W213)</f>
      </c>
      <c r="X214" s="447">
        <f>SUM(X210:X213)</f>
      </c>
      <c r="Y214" s="447">
        <f>SUM(Y210:Y213)</f>
      </c>
      <c r="AB214" s="486"/>
      <c r="AC214" s="486"/>
      <c r="AD214" s="486"/>
    </row>
    <row r="215">
      <c r="A215" s="420"/>
      <c r="B215" s="452" t="s">
        <v>787</v>
      </c>
      <c r="C215" s="452"/>
      <c r="D215" s="466">
        <f>D199+D204+D214+D209</f>
      </c>
      <c r="E215" s="466">
        <f>E199+E204+E214+E209</f>
      </c>
      <c r="F215" s="466">
        <f>F199+F204+F214+F209</f>
      </c>
      <c r="G215" s="466">
        <f>G199+G204+G214+G209</f>
      </c>
      <c r="H215" s="452">
        <f t="shared" si="361"/>
      </c>
      <c r="I215" s="452">
        <f t="shared" si="9"/>
      </c>
      <c r="J215" s="452">
        <f t="shared" si="72"/>
      </c>
      <c r="K215" s="455">
        <f t="shared" si="112"/>
      </c>
      <c r="L215" s="452">
        <f t="shared" si="172"/>
      </c>
      <c r="M215" s="455">
        <f t="shared" si="142"/>
      </c>
      <c r="N215" s="455">
        <f t="shared" si="202"/>
      </c>
      <c r="O215" s="455">
        <f t="shared" si="255"/>
      </c>
      <c r="P215" s="452">
        <f t="shared" si="308"/>
      </c>
      <c r="Q215" s="456"/>
      <c r="R215" s="456"/>
      <c r="S215" s="454">
        <f>S199+S204+S214+S209</f>
      </c>
      <c r="T215" s="454">
        <f>T199+T204+T214+T209</f>
      </c>
      <c r="U215" s="454">
        <f>U199+U204+U214+U209</f>
      </c>
      <c r="V215" s="454">
        <f>V199+V204+V214+V209</f>
      </c>
      <c r="W215" s="454">
        <f>W199+W204+W214+W209</f>
      </c>
      <c r="X215" s="454">
        <f>X199+X204+X214+X209</f>
      </c>
      <c r="Y215" s="454">
        <f>Y199+Y204+Y214+Y209</f>
      </c>
      <c r="AB215" s="486"/>
      <c r="AC215" s="486"/>
      <c r="AD215" s="486"/>
    </row>
    <row r="216">
      <c r="A216" s="405" t="s">
        <v>738</v>
      </c>
      <c r="B216" s="405"/>
      <c r="C216" s="405"/>
      <c r="D216" s="406" t="s">
        <v>739</v>
      </c>
      <c r="E216" s="406"/>
      <c r="F216" s="406"/>
      <c r="G216" s="406"/>
      <c r="H216" s="406"/>
      <c r="I216" s="406"/>
      <c r="J216" s="406"/>
      <c r="K216" s="407" t="s">
        <v>740</v>
      </c>
      <c r="L216" s="407"/>
      <c r="M216" s="407"/>
      <c r="N216" s="407"/>
      <c r="O216" s="407"/>
      <c r="P216" s="407"/>
      <c r="Q216" s="407"/>
      <c r="R216" s="407"/>
      <c r="S216" s="408" t="s">
        <v>741</v>
      </c>
      <c r="T216" s="408"/>
      <c r="U216" s="408"/>
      <c r="V216" s="408"/>
      <c r="W216" s="408"/>
      <c r="X216" s="408"/>
      <c r="Y216" s="408"/>
    </row>
    <row r="217">
      <c r="A217" s="409" t="s">
        <v>742</v>
      </c>
      <c r="B217" s="409" t="s">
        <v>743</v>
      </c>
      <c r="C217" s="409" t="s">
        <v>744</v>
      </c>
      <c r="D217" s="410" t="s">
        <v>745</v>
      </c>
      <c r="E217" s="411" t="s">
        <v>746</v>
      </c>
      <c r="F217" s="463" t="s">
        <v>792</v>
      </c>
      <c r="G217" s="410" t="s">
        <v>747</v>
      </c>
      <c r="H217" s="412" t="s">
        <v>748</v>
      </c>
      <c r="I217" s="413" t="s">
        <v>749</v>
      </c>
      <c r="J217" s="410" t="s">
        <v>750</v>
      </c>
      <c r="K217" s="414" t="s">
        <v>751</v>
      </c>
      <c r="L217" s="415" t="s">
        <v>752</v>
      </c>
      <c r="M217" s="414" t="s">
        <v>753</v>
      </c>
      <c r="N217" s="414" t="s">
        <v>754</v>
      </c>
      <c r="O217" s="416" t="s">
        <v>755</v>
      </c>
      <c r="P217" s="416" t="s">
        <v>756</v>
      </c>
      <c r="Q217" s="417" t="s">
        <v>757</v>
      </c>
      <c r="R217" s="417" t="s">
        <v>758</v>
      </c>
      <c r="S217" s="431" t="s">
        <v>759</v>
      </c>
      <c r="T217" s="431" t="s">
        <v>760</v>
      </c>
      <c r="U217" s="431" t="s">
        <v>761</v>
      </c>
      <c r="V217" s="431" t="s">
        <v>762</v>
      </c>
      <c r="W217" s="431" t="s">
        <v>763</v>
      </c>
      <c r="X217" s="431" t="s">
        <v>764</v>
      </c>
      <c r="Y217" s="419" t="s">
        <v>765</v>
      </c>
    </row>
    <row r="218">
      <c r="A218" s="420" t="s">
        <v>831</v>
      </c>
      <c r="B218" s="421" t="s">
        <v>767</v>
      </c>
      <c r="C218" s="451" t="s">
        <v>794</v>
      </c>
      <c r="D218" s="421">
        <v>1721.03</v>
      </c>
      <c r="E218" s="423">
        <v>0</v>
      </c>
      <c r="F218" s="423">
        <v>0</v>
      </c>
      <c r="G218" s="467">
        <v>0</v>
      </c>
      <c r="H218" s="424">
        <f t="shared" ref="H218:H238" si="362">G218/D218</f>
      </c>
      <c r="I218" s="424">
        <f t="shared" ref="I218:I238" si="10">D218/E218</f>
      </c>
      <c r="J218" s="424">
        <f t="shared" ref="J218:J238" si="73">G218/E218</f>
      </c>
      <c r="K218" s="425">
        <f t="shared" ref="K218:K238" si="113">T218/S218</f>
      </c>
      <c r="L218" s="426">
        <f t="shared" ref="L218:L238" si="173">D218/U218</f>
      </c>
      <c r="M218" s="427">
        <f t="shared" ref="M218:M238" si="143">V218/U218</f>
      </c>
      <c r="N218" s="427">
        <f t="shared" ref="N218:N238" si="203">E218/W218</f>
      </c>
      <c r="O218" s="427">
        <f t="shared" ref="O218:O238" si="256">X218/E218</f>
      </c>
      <c r="P218" s="428">
        <f t="shared" ref="P218:P238" si="309">(Y218*1000)/D218</f>
      </c>
      <c r="Q218" s="429" t="s">
        <v>769</v>
      </c>
      <c r="R218" s="430" t="s">
        <v>800</v>
      </c>
      <c r="S218" s="461">
        <v>6253</v>
      </c>
      <c r="T218" s="461">
        <v>790</v>
      </c>
      <c r="U218" s="461">
        <v>1122</v>
      </c>
      <c r="V218" s="461">
        <v>105</v>
      </c>
      <c r="W218" s="461">
        <v>1</v>
      </c>
      <c r="X218" s="461">
        <v>0</v>
      </c>
      <c r="Y218" s="461">
        <v>30</v>
      </c>
    </row>
    <row r="219">
      <c r="A219" s="420"/>
      <c r="B219" s="421" t="s">
        <v>767</v>
      </c>
      <c r="C219" s="421" t="s">
        <v>796</v>
      </c>
      <c r="D219" s="421">
        <v>1931.76</v>
      </c>
      <c r="E219" s="423">
        <v>1</v>
      </c>
      <c r="F219" s="423">
        <v>1</v>
      </c>
      <c r="G219" s="467">
        <v>652.8</v>
      </c>
      <c r="H219" s="424">
        <f t="shared" si="362"/>
      </c>
      <c r="I219" s="424">
        <f t="shared" si="10"/>
      </c>
      <c r="J219" s="424">
        <f t="shared" si="73"/>
      </c>
      <c r="K219" s="425">
        <f t="shared" si="113"/>
      </c>
      <c r="L219" s="426">
        <f t="shared" si="173"/>
      </c>
      <c r="M219" s="427">
        <f t="shared" si="143"/>
      </c>
      <c r="N219" s="427">
        <f t="shared" si="203"/>
      </c>
      <c r="O219" s="427">
        <f t="shared" si="256"/>
      </c>
      <c r="P219" s="428">
        <f t="shared" si="309"/>
      </c>
      <c r="Q219" s="429" t="s">
        <v>769</v>
      </c>
      <c r="R219" s="430" t="s">
        <v>800</v>
      </c>
      <c r="S219" s="461">
        <v>4410</v>
      </c>
      <c r="T219" s="461">
        <v>650</v>
      </c>
      <c r="U219" s="461">
        <v>914</v>
      </c>
      <c r="V219" s="461">
        <v>103</v>
      </c>
      <c r="W219" s="461">
        <v>1</v>
      </c>
      <c r="X219" s="461">
        <v>0</v>
      </c>
      <c r="Y219" s="461">
        <v>27</v>
      </c>
    </row>
    <row r="220">
      <c r="A220" s="420"/>
      <c r="B220" s="421" t="s">
        <v>767</v>
      </c>
      <c r="C220" s="421" t="s">
        <v>797</v>
      </c>
      <c r="D220" s="421">
        <v>1221.85</v>
      </c>
      <c r="E220" s="423">
        <v>0</v>
      </c>
      <c r="F220" s="423">
        <v>0</v>
      </c>
      <c r="G220" s="467">
        <v>0</v>
      </c>
      <c r="H220" s="424">
        <f t="shared" si="362"/>
      </c>
      <c r="I220" s="424">
        <f t="shared" si="10"/>
      </c>
      <c r="J220" s="424">
        <f t="shared" si="73"/>
      </c>
      <c r="K220" s="425">
        <f t="shared" si="113"/>
      </c>
      <c r="L220" s="426">
        <f t="shared" si="173"/>
      </c>
      <c r="M220" s="427">
        <f t="shared" si="143"/>
      </c>
      <c r="N220" s="427">
        <f t="shared" si="203"/>
      </c>
      <c r="O220" s="427">
        <f t="shared" si="256"/>
      </c>
      <c r="P220" s="428">
        <f t="shared" si="309"/>
      </c>
      <c r="Q220" s="429" t="s">
        <v>769</v>
      </c>
      <c r="R220" s="430" t="s">
        <v>800</v>
      </c>
      <c r="S220" s="461">
        <v>2412</v>
      </c>
      <c r="T220" s="461">
        <v>352</v>
      </c>
      <c r="U220" s="461">
        <v>654</v>
      </c>
      <c r="V220" s="461">
        <v>78</v>
      </c>
      <c r="W220" s="461">
        <v>1</v>
      </c>
      <c r="X220" s="461">
        <v>0</v>
      </c>
      <c r="Y220" s="461">
        <v>13</v>
      </c>
    </row>
    <row r="221">
      <c r="A221" s="420"/>
      <c r="B221" s="421" t="s">
        <v>767</v>
      </c>
      <c r="C221" s="421" t="s">
        <v>798</v>
      </c>
      <c r="D221" s="421">
        <v>1753.75</v>
      </c>
      <c r="E221" s="423">
        <v>2</v>
      </c>
      <c r="F221" s="423">
        <v>2</v>
      </c>
      <c r="G221" s="462">
        <v>1599.6</v>
      </c>
      <c r="H221" s="424">
        <f t="shared" si="362"/>
      </c>
      <c r="I221" s="424">
        <f t="shared" si="10"/>
      </c>
      <c r="J221" s="424">
        <f t="shared" si="73"/>
      </c>
      <c r="K221" s="425">
        <f t="shared" si="113"/>
      </c>
      <c r="L221" s="426">
        <f t="shared" si="173"/>
      </c>
      <c r="M221" s="427">
        <f t="shared" si="143"/>
      </c>
      <c r="N221" s="427">
        <f t="shared" si="203"/>
      </c>
      <c r="O221" s="427">
        <f t="shared" si="256"/>
      </c>
      <c r="P221" s="428">
        <f t="shared" si="309"/>
      </c>
      <c r="Q221" s="429" t="s">
        <v>769</v>
      </c>
      <c r="R221" s="430" t="s">
        <v>800</v>
      </c>
      <c r="S221" s="461">
        <v>3909</v>
      </c>
      <c r="T221" s="461">
        <v>588</v>
      </c>
      <c r="U221" s="461">
        <v>876</v>
      </c>
      <c r="V221" s="461">
        <v>103</v>
      </c>
      <c r="W221" s="461">
        <v>3</v>
      </c>
      <c r="X221" s="435">
        <v>0</v>
      </c>
      <c r="Y221" s="435">
        <v>27</v>
      </c>
    </row>
    <row r="222">
      <c r="A222" s="420"/>
      <c r="B222" s="437" t="s">
        <v>774</v>
      </c>
      <c r="C222" s="437"/>
      <c r="D222" s="438">
        <f>SUM(D218:D221)</f>
      </c>
      <c r="E222" s="439">
        <f>SUM(E218:E221)</f>
      </c>
      <c r="F222" s="439">
        <f>SUM(F218:F221)</f>
      </c>
      <c r="G222" s="438">
        <f>SUM(G218:G221)</f>
      </c>
      <c r="H222" s="440">
        <f t="shared" si="362"/>
      </c>
      <c r="I222" s="441">
        <f t="shared" si="10"/>
      </c>
      <c r="J222" s="442">
        <f t="shared" si="73"/>
      </c>
      <c r="K222" s="443">
        <f t="shared" si="113"/>
      </c>
      <c r="L222" s="444">
        <f t="shared" si="173"/>
      </c>
      <c r="M222" s="443">
        <f t="shared" si="143"/>
      </c>
      <c r="N222" s="443">
        <f t="shared" si="203"/>
      </c>
      <c r="O222" s="445">
        <f t="shared" si="256"/>
      </c>
      <c r="P222" s="446">
        <f t="shared" si="309"/>
      </c>
      <c r="Q222" s="444"/>
      <c r="R222" s="444"/>
      <c r="S222" s="447">
        <f>SUM(S218:S221)</f>
      </c>
      <c r="T222" s="447">
        <f>SUM(T218:T221)</f>
      </c>
      <c r="U222" s="447">
        <f>SUM(U218:U221)</f>
      </c>
      <c r="V222" s="447">
        <f>SUM(V218:V221)</f>
      </c>
      <c r="W222" s="447">
        <f>SUM(W218:W221)</f>
      </c>
      <c r="X222" s="447">
        <f>SUM(X218:X221)</f>
      </c>
      <c r="Y222" s="447">
        <f>SUM(Y218:Y221)</f>
      </c>
    </row>
    <row r="223">
      <c r="A223" s="420"/>
      <c r="B223" s="421" t="s">
        <v>789</v>
      </c>
      <c r="C223" s="422" t="s">
        <v>768</v>
      </c>
      <c r="D223" s="421">
        <v>2178.44</v>
      </c>
      <c r="E223" s="423">
        <v>1</v>
      </c>
      <c r="F223" s="423">
        <v>0</v>
      </c>
      <c r="G223" s="468">
        <v>1138.8</v>
      </c>
      <c r="H223" s="424">
        <f t="shared" si="362"/>
      </c>
      <c r="I223" s="424">
        <f t="shared" si="10"/>
      </c>
      <c r="J223" s="424">
        <f t="shared" si="73"/>
      </c>
      <c r="K223" s="425">
        <f t="shared" si="113"/>
      </c>
      <c r="L223" s="426">
        <f t="shared" si="173"/>
      </c>
      <c r="M223" s="427">
        <f t="shared" si="143"/>
      </c>
      <c r="N223" s="427">
        <f t="shared" si="203"/>
      </c>
      <c r="O223" s="427">
        <f t="shared" si="256"/>
      </c>
      <c r="P223" s="428">
        <f t="shared" si="309"/>
      </c>
      <c r="Q223" s="429" t="s">
        <v>777</v>
      </c>
      <c r="R223" s="430" t="s">
        <v>800</v>
      </c>
      <c r="S223" s="436">
        <v>3944</v>
      </c>
      <c r="T223" s="436">
        <v>591</v>
      </c>
      <c r="U223" s="436">
        <v>816</v>
      </c>
      <c r="V223" s="436">
        <v>86</v>
      </c>
      <c r="W223" s="435">
        <v>2</v>
      </c>
      <c r="X223" s="435">
        <v>0</v>
      </c>
      <c r="Y223" s="448">
        <v>22</v>
      </c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</row>
    <row r="224">
      <c r="A224" s="420"/>
      <c r="B224" s="421" t="s">
        <v>789</v>
      </c>
      <c r="C224" s="433" t="s">
        <v>771</v>
      </c>
      <c r="D224" s="421">
        <v>2233.95</v>
      </c>
      <c r="E224" s="423">
        <v>4</v>
      </c>
      <c r="F224" s="423">
        <v>3</v>
      </c>
      <c r="G224" s="468">
        <v>2443.2</v>
      </c>
      <c r="H224" s="424">
        <f t="shared" si="362"/>
      </c>
      <c r="I224" s="424">
        <f t="shared" si="10"/>
      </c>
      <c r="J224" s="424">
        <f t="shared" si="73"/>
      </c>
      <c r="K224" s="425">
        <f t="shared" si="113"/>
      </c>
      <c r="L224" s="426">
        <f t="shared" si="173"/>
      </c>
      <c r="M224" s="427">
        <f t="shared" si="143"/>
      </c>
      <c r="N224" s="427">
        <f t="shared" si="203"/>
      </c>
      <c r="O224" s="427">
        <f t="shared" si="256"/>
      </c>
      <c r="P224" s="428">
        <f t="shared" si="309"/>
      </c>
      <c r="Q224" s="429" t="s">
        <v>777</v>
      </c>
      <c r="R224" s="430" t="s">
        <v>800</v>
      </c>
      <c r="S224" s="436">
        <v>5047</v>
      </c>
      <c r="T224" s="436">
        <v>610</v>
      </c>
      <c r="U224" s="436">
        <v>816</v>
      </c>
      <c r="V224" s="436">
        <v>81</v>
      </c>
      <c r="W224" s="435">
        <v>2</v>
      </c>
      <c r="X224" s="435">
        <v>1</v>
      </c>
      <c r="Y224" s="448">
        <v>23</v>
      </c>
      <c r="Z224" s="486"/>
      <c r="AA224" s="487" t="s">
        <v>829</v>
      </c>
      <c r="AB224" s="487"/>
      <c r="AC224" s="487"/>
      <c r="AD224" s="487"/>
      <c r="AE224" s="487"/>
      <c r="AF224" s="487"/>
      <c r="AG224" s="487"/>
      <c r="AH224" s="487"/>
      <c r="AI224" s="487"/>
      <c r="AJ224" s="487"/>
      <c r="AK224" s="487"/>
    </row>
    <row r="225">
      <c r="A225" s="420"/>
      <c r="B225" s="421" t="s">
        <v>789</v>
      </c>
      <c r="C225" s="433" t="s">
        <v>772</v>
      </c>
      <c r="D225" s="421">
        <v>2460.35</v>
      </c>
      <c r="E225" s="423">
        <v>4</v>
      </c>
      <c r="F225" s="423">
        <v>4</v>
      </c>
      <c r="G225" s="467">
        <v>5991.6</v>
      </c>
      <c r="H225" s="424">
        <f t="shared" si="362"/>
      </c>
      <c r="I225" s="424">
        <f t="shared" si="10"/>
      </c>
      <c r="J225" s="424">
        <f t="shared" si="73"/>
      </c>
      <c r="K225" s="425">
        <f t="shared" si="113"/>
      </c>
      <c r="L225" s="426">
        <f t="shared" si="173"/>
      </c>
      <c r="M225" s="427">
        <f t="shared" si="143"/>
      </c>
      <c r="N225" s="427">
        <f t="shared" si="203"/>
      </c>
      <c r="O225" s="427">
        <f t="shared" si="256"/>
      </c>
      <c r="P225" s="428">
        <f t="shared" si="309"/>
      </c>
      <c r="Q225" s="429" t="s">
        <v>777</v>
      </c>
      <c r="R225" s="430" t="s">
        <v>800</v>
      </c>
      <c r="S225" s="436">
        <v>6260</v>
      </c>
      <c r="T225" s="436">
        <v>640</v>
      </c>
      <c r="U225" s="436">
        <v>846</v>
      </c>
      <c r="V225" s="436">
        <v>79</v>
      </c>
      <c r="W225" s="435">
        <v>4</v>
      </c>
      <c r="X225" s="435">
        <v>0</v>
      </c>
      <c r="Y225" s="448">
        <v>17</v>
      </c>
      <c r="Z225" s="486"/>
      <c r="AA225" s="489" t="s">
        <v>806</v>
      </c>
      <c r="AB225" s="489" t="s">
        <v>807</v>
      </c>
      <c r="AC225" s="489" t="s">
        <v>808</v>
      </c>
      <c r="AD225" s="489" t="s">
        <v>809</v>
      </c>
      <c r="AE225" s="489" t="s">
        <v>810</v>
      </c>
      <c r="AF225" s="489" t="s">
        <v>811</v>
      </c>
      <c r="AG225" s="489" t="s">
        <v>750</v>
      </c>
      <c r="AH225" s="489" t="s">
        <v>812</v>
      </c>
      <c r="AI225" s="489" t="s">
        <v>748</v>
      </c>
      <c r="AJ225" s="489" t="s">
        <v>813</v>
      </c>
      <c r="AK225" s="489"/>
    </row>
    <row r="226">
      <c r="A226" s="420"/>
      <c r="B226" s="421" t="s">
        <v>789</v>
      </c>
      <c r="C226" s="433" t="s">
        <v>773</v>
      </c>
      <c r="D226" s="421">
        <v>2520.65</v>
      </c>
      <c r="E226" s="423">
        <v>2</v>
      </c>
      <c r="F226" s="423">
        <v>2</v>
      </c>
      <c r="G226" s="467">
        <v>3345.6</v>
      </c>
      <c r="H226" s="424">
        <f t="shared" si="362"/>
      </c>
      <c r="I226" s="424">
        <f t="shared" si="10"/>
      </c>
      <c r="J226" s="424">
        <f t="shared" si="73"/>
      </c>
      <c r="K226" s="425">
        <f t="shared" si="113"/>
      </c>
      <c r="L226" s="426">
        <f t="shared" si="173"/>
      </c>
      <c r="M226" s="427">
        <f t="shared" si="143"/>
      </c>
      <c r="N226" s="427">
        <f t="shared" si="203"/>
      </c>
      <c r="O226" s="427">
        <f t="shared" si="256"/>
      </c>
      <c r="P226" s="428">
        <f t="shared" si="309"/>
      </c>
      <c r="Q226" s="429" t="s">
        <v>777</v>
      </c>
      <c r="R226" s="430" t="s">
        <v>800</v>
      </c>
      <c r="S226" s="436">
        <v>5699</v>
      </c>
      <c r="T226" s="436">
        <v>658</v>
      </c>
      <c r="U226" s="436">
        <v>925</v>
      </c>
      <c r="V226" s="436">
        <v>84</v>
      </c>
      <c r="W226" s="435">
        <v>1</v>
      </c>
      <c r="X226" s="435">
        <v>0</v>
      </c>
      <c r="Y226" s="448">
        <v>29</v>
      </c>
      <c r="Z226" s="486"/>
      <c r="AA226" s="490" t="s">
        <v>767</v>
      </c>
      <c r="AB226" s="491" t="s">
        <v>814</v>
      </c>
      <c r="AC226" s="492">
        <v>4</v>
      </c>
      <c r="AD226" s="490">
        <v>6628.39</v>
      </c>
      <c r="AE226" s="490">
        <v>2252.4</v>
      </c>
      <c r="AF226" s="490">
        <v>3</v>
      </c>
      <c r="AG226" s="493">
        <f t="shared" ref="AG226:AG229" si="226">AE226/AF226</f>
      </c>
      <c r="AH226" s="493">
        <f t="shared" ref="AH226:AH229" si="279">AD226/AF226</f>
      </c>
      <c r="AI226" s="493">
        <f t="shared" ref="AI226:AI229" si="332">AE226/AD226</f>
      </c>
      <c r="AJ226" s="492">
        <f>AD226/AC226</f>
      </c>
      <c r="AK226" s="492"/>
    </row>
    <row r="227">
      <c r="A227" s="420"/>
      <c r="B227" s="437" t="s">
        <v>774</v>
      </c>
      <c r="C227" s="437"/>
      <c r="D227" s="438">
        <f>SUM(D223:D226)</f>
      </c>
      <c r="E227" s="439">
        <f>SUM(E223:E226)</f>
      </c>
      <c r="F227" s="439">
        <f>SUM(F223:F226)</f>
      </c>
      <c r="G227" s="438">
        <f>SUM(G223:G226)</f>
      </c>
      <c r="H227" s="440">
        <f t="shared" si="362"/>
      </c>
      <c r="I227" s="441">
        <f t="shared" si="10"/>
      </c>
      <c r="J227" s="442">
        <f t="shared" si="73"/>
      </c>
      <c r="K227" s="443">
        <f t="shared" si="113"/>
      </c>
      <c r="L227" s="444">
        <f t="shared" si="173"/>
      </c>
      <c r="M227" s="443">
        <f t="shared" si="143"/>
      </c>
      <c r="N227" s="443">
        <f t="shared" si="203"/>
      </c>
      <c r="O227" s="445">
        <f t="shared" si="256"/>
      </c>
      <c r="P227" s="446">
        <f t="shared" si="309"/>
      </c>
      <c r="Q227" s="444"/>
      <c r="R227" s="444"/>
      <c r="S227" s="447">
        <f>SUM(S223:S226)</f>
      </c>
      <c r="T227" s="447">
        <f>SUM(T223:T226)</f>
      </c>
      <c r="U227" s="447">
        <f>SUM(U223:U226)</f>
      </c>
      <c r="V227" s="447">
        <f>SUM(V223:V226)</f>
      </c>
      <c r="W227" s="447">
        <f>SUM(W223:W226)</f>
      </c>
      <c r="X227" s="447">
        <f>SUM(X223:X226)</f>
      </c>
      <c r="Y227" s="447">
        <f>SUM(Y223:Y226)</f>
      </c>
      <c r="Z227" s="486"/>
      <c r="AA227" s="490" t="s">
        <v>789</v>
      </c>
      <c r="AB227" s="491" t="s">
        <v>815</v>
      </c>
      <c r="AC227" s="492">
        <v>4</v>
      </c>
      <c r="AD227" s="490">
        <v>9393.39</v>
      </c>
      <c r="AE227" s="490">
        <v>12919.2</v>
      </c>
      <c r="AF227" s="490">
        <v>11</v>
      </c>
      <c r="AG227" s="493">
        <f t="shared" si="226"/>
      </c>
      <c r="AH227" s="493">
        <f t="shared" si="279"/>
      </c>
      <c r="AI227" s="493">
        <f t="shared" si="332"/>
      </c>
      <c r="AJ227" s="492">
        <f t="shared" ref="AJ227:AJ229" si="43">AD227/4</f>
      </c>
      <c r="AK227" s="492"/>
    </row>
    <row r="228">
      <c r="A228" s="420"/>
      <c r="B228" s="421" t="s">
        <v>775</v>
      </c>
      <c r="C228" s="433" t="s">
        <v>776</v>
      </c>
      <c r="D228" s="459">
        <v>2535.8</v>
      </c>
      <c r="E228" s="423">
        <v>4</v>
      </c>
      <c r="F228" s="423">
        <v>2</v>
      </c>
      <c r="G228" s="460">
        <v>6182.4</v>
      </c>
      <c r="H228" s="424">
        <f t="shared" si="362"/>
      </c>
      <c r="I228" s="424">
        <f t="shared" si="10"/>
      </c>
      <c r="J228" s="424">
        <f t="shared" si="73"/>
      </c>
      <c r="K228" s="425">
        <f t="shared" si="113"/>
      </c>
      <c r="L228" s="426">
        <f t="shared" si="173"/>
      </c>
      <c r="M228" s="427">
        <f t="shared" si="143"/>
      </c>
      <c r="N228" s="427">
        <f t="shared" si="203"/>
      </c>
      <c r="O228" s="427">
        <f t="shared" si="256"/>
      </c>
      <c r="P228" s="428">
        <f t="shared" si="309"/>
      </c>
      <c r="Q228" s="429" t="s">
        <v>777</v>
      </c>
      <c r="R228" s="430" t="s">
        <v>778</v>
      </c>
      <c r="S228" s="436">
        <v>6388</v>
      </c>
      <c r="T228" s="436">
        <v>717</v>
      </c>
      <c r="U228" s="436">
        <v>1009</v>
      </c>
      <c r="V228" s="436">
        <v>114</v>
      </c>
      <c r="W228" s="435">
        <v>5</v>
      </c>
      <c r="X228" s="435">
        <v>1</v>
      </c>
      <c r="Y228" s="448">
        <v>29</v>
      </c>
      <c r="Z228" s="486"/>
      <c r="AA228" s="490" t="s">
        <v>775</v>
      </c>
      <c r="AB228" s="491" t="s">
        <v>816</v>
      </c>
      <c r="AC228" s="492">
        <v>4</v>
      </c>
      <c r="AD228" s="490">
        <v>12250.63</v>
      </c>
      <c r="AE228" s="490">
        <v>26215.2</v>
      </c>
      <c r="AF228" s="490">
        <v>16</v>
      </c>
      <c r="AG228" s="493">
        <f t="shared" si="226"/>
      </c>
      <c r="AH228" s="493">
        <f t="shared" si="279"/>
      </c>
      <c r="AI228" s="493">
        <f t="shared" si="332"/>
      </c>
      <c r="AJ228" s="492">
        <f t="shared" si="43"/>
      </c>
      <c r="AK228" s="492"/>
    </row>
    <row r="229">
      <c r="A229" s="420"/>
      <c r="B229" s="421" t="s">
        <v>775</v>
      </c>
      <c r="C229" s="422" t="s">
        <v>779</v>
      </c>
      <c r="D229" s="459">
        <v>2682.68</v>
      </c>
      <c r="E229" s="423">
        <v>4</v>
      </c>
      <c r="F229" s="423">
        <v>3</v>
      </c>
      <c r="G229" s="460">
        <v>5082.4</v>
      </c>
      <c r="H229" s="424">
        <f t="shared" si="362"/>
      </c>
      <c r="I229" s="424">
        <f t="shared" si="10"/>
      </c>
      <c r="J229" s="424">
        <f t="shared" si="73"/>
      </c>
      <c r="K229" s="425">
        <f t="shared" si="113"/>
      </c>
      <c r="L229" s="426">
        <f t="shared" si="173"/>
      </c>
      <c r="M229" s="427">
        <f t="shared" si="143"/>
      </c>
      <c r="N229" s="427">
        <f t="shared" si="203"/>
      </c>
      <c r="O229" s="427">
        <f t="shared" si="256"/>
      </c>
      <c r="P229" s="428">
        <f t="shared" si="309"/>
      </c>
      <c r="Q229" s="429" t="s">
        <v>777</v>
      </c>
      <c r="R229" s="430" t="s">
        <v>778</v>
      </c>
      <c r="S229" s="436">
        <v>6472</v>
      </c>
      <c r="T229" s="436">
        <v>805</v>
      </c>
      <c r="U229" s="436">
        <v>1156</v>
      </c>
      <c r="V229" s="436">
        <v>131</v>
      </c>
      <c r="W229" s="435">
        <v>7</v>
      </c>
      <c r="X229" s="435">
        <v>1</v>
      </c>
      <c r="Y229" s="448">
        <v>38</v>
      </c>
      <c r="Z229" s="486"/>
      <c r="AA229" s="490" t="s">
        <v>782</v>
      </c>
      <c r="AB229" s="491" t="s">
        <v>817</v>
      </c>
      <c r="AC229" s="492">
        <v>4</v>
      </c>
      <c r="AD229" s="490">
        <v>18184.19</v>
      </c>
      <c r="AE229" s="490">
        <v>35971.7</v>
      </c>
      <c r="AF229" s="490">
        <v>30</v>
      </c>
      <c r="AG229" s="493">
        <f t="shared" si="226"/>
      </c>
      <c r="AH229" s="493">
        <f t="shared" si="279"/>
      </c>
      <c r="AI229" s="493">
        <f t="shared" si="332"/>
      </c>
      <c r="AJ229" s="492">
        <f t="shared" si="43"/>
      </c>
      <c r="AK229" s="492"/>
    </row>
    <row r="230">
      <c r="A230" s="420"/>
      <c r="B230" s="421" t="s">
        <v>775</v>
      </c>
      <c r="C230" s="422" t="s">
        <v>780</v>
      </c>
      <c r="D230" s="459">
        <v>2841.51</v>
      </c>
      <c r="E230" s="423">
        <v>4</v>
      </c>
      <c r="F230" s="423">
        <v>3</v>
      </c>
      <c r="G230" s="460">
        <v>6913.6</v>
      </c>
      <c r="H230" s="424">
        <f t="shared" si="362"/>
      </c>
      <c r="I230" s="424">
        <f t="shared" si="10"/>
      </c>
      <c r="J230" s="424">
        <f t="shared" si="73"/>
      </c>
      <c r="K230" s="425">
        <f t="shared" si="113"/>
      </c>
      <c r="L230" s="426">
        <f t="shared" si="173"/>
      </c>
      <c r="M230" s="427">
        <f t="shared" si="143"/>
      </c>
      <c r="N230" s="427">
        <f t="shared" si="203"/>
      </c>
      <c r="O230" s="427">
        <f t="shared" si="256"/>
      </c>
      <c r="P230" s="428">
        <f t="shared" si="309"/>
      </c>
      <c r="Q230" s="429" t="s">
        <v>777</v>
      </c>
      <c r="R230" s="430" t="s">
        <v>778</v>
      </c>
      <c r="S230" s="436">
        <v>8367</v>
      </c>
      <c r="T230" s="436">
        <v>858</v>
      </c>
      <c r="U230" s="436">
        <v>1270</v>
      </c>
      <c r="V230" s="436">
        <v>156</v>
      </c>
      <c r="W230" s="435">
        <v>4</v>
      </c>
      <c r="X230" s="435">
        <v>1</v>
      </c>
      <c r="Y230" s="448">
        <v>34</v>
      </c>
      <c r="Z230" s="486"/>
      <c r="AA230" s="495" t="s">
        <v>819</v>
      </c>
      <c r="AB230" s="495"/>
      <c r="AC230" s="495"/>
      <c r="AD230" s="495"/>
      <c r="AE230" s="495"/>
      <c r="AF230" s="495"/>
      <c r="AG230" s="495"/>
      <c r="AH230" s="495"/>
      <c r="AI230" s="495"/>
      <c r="AJ230" s="495"/>
      <c r="AK230" s="495"/>
    </row>
    <row r="231">
      <c r="A231" s="420"/>
      <c r="B231" s="421" t="s">
        <v>775</v>
      </c>
      <c r="C231" s="422" t="s">
        <v>781</v>
      </c>
      <c r="D231" s="459">
        <v>4190.64</v>
      </c>
      <c r="E231" s="423">
        <v>4</v>
      </c>
      <c r="F231" s="423">
        <v>4</v>
      </c>
      <c r="G231" s="460">
        <v>8036.8</v>
      </c>
      <c r="H231" s="424">
        <f t="shared" si="362"/>
      </c>
      <c r="I231" s="424">
        <f t="shared" si="10"/>
      </c>
      <c r="J231" s="424">
        <f t="shared" si="73"/>
      </c>
      <c r="K231" s="425">
        <f t="shared" si="113"/>
      </c>
      <c r="L231" s="426">
        <f t="shared" si="173"/>
      </c>
      <c r="M231" s="427">
        <f t="shared" si="143"/>
      </c>
      <c r="N231" s="427">
        <f t="shared" si="203"/>
      </c>
      <c r="O231" s="427">
        <f t="shared" si="256"/>
      </c>
      <c r="P231" s="428">
        <f t="shared" si="309"/>
      </c>
      <c r="Q231" s="429" t="s">
        <v>777</v>
      </c>
      <c r="R231" s="430" t="s">
        <v>778</v>
      </c>
      <c r="S231" s="436">
        <v>12583</v>
      </c>
      <c r="T231" s="436">
        <v>1161</v>
      </c>
      <c r="U231" s="436">
        <v>1690</v>
      </c>
      <c r="V231" s="436">
        <v>166</v>
      </c>
      <c r="W231" s="435">
        <v>4</v>
      </c>
      <c r="X231" s="435">
        <v>0</v>
      </c>
      <c r="Y231" s="448">
        <v>47</v>
      </c>
      <c r="Z231" s="486"/>
      <c r="AA231" s="478" t="s">
        <v>809</v>
      </c>
      <c r="AB231" s="478" t="s">
        <v>820</v>
      </c>
      <c r="AC231" s="479" t="s">
        <v>821</v>
      </c>
      <c r="AD231" s="478" t="s">
        <v>822</v>
      </c>
      <c r="AE231" s="478" t="s">
        <v>823</v>
      </c>
      <c r="AF231" s="478" t="s">
        <v>824</v>
      </c>
      <c r="AG231" s="478" t="s">
        <v>825</v>
      </c>
      <c r="AH231" s="480" t="s">
        <v>764</v>
      </c>
      <c r="AI231" s="480" t="s">
        <v>826</v>
      </c>
      <c r="AJ231" s="480" t="s">
        <v>827</v>
      </c>
      <c r="AK231" s="480" t="s">
        <v>808</v>
      </c>
    </row>
    <row r="232">
      <c r="A232" s="420"/>
      <c r="B232" s="437" t="s">
        <v>774</v>
      </c>
      <c r="C232" s="437"/>
      <c r="D232" s="438">
        <f>SUM(D228:D231)</f>
      </c>
      <c r="E232" s="439">
        <f>SUM(E228:E231)</f>
      </c>
      <c r="F232" s="439">
        <f>SUM(F228:F231)</f>
      </c>
      <c r="G232" s="438">
        <f>SUM(G228:G231)</f>
      </c>
      <c r="H232" s="440">
        <f t="shared" si="362"/>
      </c>
      <c r="I232" s="441">
        <f t="shared" si="10"/>
      </c>
      <c r="J232" s="442">
        <f t="shared" si="73"/>
      </c>
      <c r="K232" s="443">
        <f t="shared" si="113"/>
      </c>
      <c r="L232" s="444">
        <f t="shared" si="173"/>
      </c>
      <c r="M232" s="443">
        <f t="shared" si="143"/>
      </c>
      <c r="N232" s="443">
        <f t="shared" si="203"/>
      </c>
      <c r="O232" s="445">
        <f t="shared" si="256"/>
      </c>
      <c r="P232" s="446">
        <f t="shared" si="309"/>
      </c>
      <c r="Q232" s="444"/>
      <c r="R232" s="444"/>
      <c r="S232" s="447">
        <f>SUM(S228:S231)</f>
      </c>
      <c r="T232" s="447">
        <f>SUM(T228:T231)</f>
      </c>
      <c r="U232" s="447">
        <f>SUM(U228:U231)</f>
      </c>
      <c r="V232" s="447">
        <f>SUM(V228:V231)</f>
      </c>
      <c r="W232" s="447">
        <f>SUM(W228:W231)</f>
      </c>
      <c r="X232" s="447">
        <f>SUM(X228:X231)</f>
      </c>
      <c r="Y232" s="447">
        <f>SUM(Y228:Y231)</f>
      </c>
      <c r="Z232" s="486"/>
      <c r="AA232" s="465">
        <f>SUM(AD226:AD229)</f>
      </c>
      <c r="AB232" s="465">
        <f>SUM(AE226:AE229)</f>
      </c>
      <c r="AC232" s="481">
        <f>AB232/((AK232*300)+AA232)</f>
      </c>
      <c r="AD232" s="482">
        <f>AA232/AJ232</f>
      </c>
      <c r="AE232" s="481">
        <f>AB232/AJ232</f>
      </c>
      <c r="AF232" s="483">
        <f>AJ232/AI232</f>
      </c>
      <c r="AG232" s="483">
        <f>AH232/AJ232</f>
      </c>
      <c r="AH232" s="484">
        <v>8</v>
      </c>
      <c r="AI232" s="484">
        <v>74</v>
      </c>
      <c r="AJ232" s="485">
        <f>SUM(AF226:AF229)</f>
      </c>
      <c r="AK232" s="485">
        <f>SUM(AC226:AC229)</f>
      </c>
    </row>
    <row r="233">
      <c r="A233" s="420"/>
      <c r="B233" s="421" t="s">
        <v>782</v>
      </c>
      <c r="C233" s="422" t="s">
        <v>783</v>
      </c>
      <c r="D233" s="459">
        <v>4081.01</v>
      </c>
      <c r="E233" s="423">
        <v>9</v>
      </c>
      <c r="F233" s="423">
        <v>5</v>
      </c>
      <c r="G233" s="460">
        <v>12060.6</v>
      </c>
      <c r="H233" s="424">
        <f t="shared" si="362"/>
      </c>
      <c r="I233" s="424">
        <f t="shared" si="10"/>
      </c>
      <c r="J233" s="424">
        <f t="shared" si="73"/>
      </c>
      <c r="K233" s="425">
        <f t="shared" si="113"/>
      </c>
      <c r="L233" s="426">
        <f t="shared" si="173"/>
      </c>
      <c r="M233" s="427">
        <f t="shared" si="143"/>
      </c>
      <c r="N233" s="427">
        <f t="shared" si="203"/>
      </c>
      <c r="O233" s="427">
        <f t="shared" si="256"/>
      </c>
      <c r="P233" s="428">
        <f t="shared" si="309"/>
      </c>
      <c r="Q233" s="429" t="s">
        <v>777</v>
      </c>
      <c r="R233" s="430" t="s">
        <v>778</v>
      </c>
      <c r="S233" s="436">
        <v>13110</v>
      </c>
      <c r="T233" s="436">
        <v>1223</v>
      </c>
      <c r="U233" s="436">
        <v>1625</v>
      </c>
      <c r="V233" s="436">
        <v>168</v>
      </c>
      <c r="W233" s="435">
        <v>11</v>
      </c>
      <c r="X233" s="435">
        <v>2</v>
      </c>
      <c r="Y233" s="448">
        <v>36</v>
      </c>
      <c r="Z233" s="486"/>
    </row>
    <row r="234">
      <c r="A234" s="420"/>
      <c r="B234" s="421" t="s">
        <v>782</v>
      </c>
      <c r="C234" s="451" t="s">
        <v>784</v>
      </c>
      <c r="D234" s="459">
        <v>3644.35</v>
      </c>
      <c r="E234" s="423">
        <v>8</v>
      </c>
      <c r="F234" s="423">
        <v>7</v>
      </c>
      <c r="G234" s="460">
        <v>8489</v>
      </c>
      <c r="H234" s="424">
        <f t="shared" si="362"/>
      </c>
      <c r="I234" s="424">
        <f t="shared" si="10"/>
      </c>
      <c r="J234" s="424">
        <f t="shared" si="73"/>
      </c>
      <c r="K234" s="425">
        <f t="shared" si="113"/>
      </c>
      <c r="L234" s="426">
        <f t="shared" si="173"/>
      </c>
      <c r="M234" s="427">
        <f t="shared" si="143"/>
      </c>
      <c r="N234" s="427">
        <f t="shared" si="203"/>
      </c>
      <c r="O234" s="427">
        <f t="shared" si="256"/>
      </c>
      <c r="P234" s="428">
        <f t="shared" si="309"/>
      </c>
      <c r="Q234" s="429" t="s">
        <v>777</v>
      </c>
      <c r="R234" s="430" t="s">
        <v>778</v>
      </c>
      <c r="S234" s="436">
        <v>13087</v>
      </c>
      <c r="T234" s="436">
        <v>1181</v>
      </c>
      <c r="U234" s="436">
        <v>1618</v>
      </c>
      <c r="V234" s="436">
        <v>181</v>
      </c>
      <c r="W234" s="435">
        <v>10</v>
      </c>
      <c r="X234" s="435">
        <v>0</v>
      </c>
      <c r="Y234" s="448">
        <v>49</v>
      </c>
    </row>
    <row r="235">
      <c r="A235" s="420"/>
      <c r="B235" s="421" t="s">
        <v>782</v>
      </c>
      <c r="C235" s="451" t="s">
        <v>785</v>
      </c>
      <c r="D235" s="459">
        <v>7375.1</v>
      </c>
      <c r="E235" s="423">
        <v>6</v>
      </c>
      <c r="F235" s="423">
        <v>3</v>
      </c>
      <c r="G235" s="460">
        <v>7221.6</v>
      </c>
      <c r="H235" s="424">
        <f t="shared" si="362"/>
      </c>
      <c r="I235" s="424">
        <f t="shared" si="10"/>
      </c>
      <c r="J235" s="424">
        <f t="shared" si="73"/>
      </c>
      <c r="K235" s="425">
        <f t="shared" si="113"/>
      </c>
      <c r="L235" s="426">
        <f t="shared" si="173"/>
      </c>
      <c r="M235" s="427">
        <f t="shared" si="143"/>
      </c>
      <c r="N235" s="427">
        <f t="shared" si="203"/>
      </c>
      <c r="O235" s="427">
        <f t="shared" si="256"/>
      </c>
      <c r="P235" s="428">
        <f t="shared" si="309"/>
      </c>
      <c r="Q235" s="429" t="s">
        <v>777</v>
      </c>
      <c r="R235" s="430" t="s">
        <v>778</v>
      </c>
      <c r="S235" s="436">
        <v>33301</v>
      </c>
      <c r="T235" s="436">
        <v>2491</v>
      </c>
      <c r="U235" s="436">
        <v>3264</v>
      </c>
      <c r="V235" s="436">
        <v>240</v>
      </c>
      <c r="W235" s="435">
        <v>8</v>
      </c>
      <c r="X235" s="435">
        <v>1</v>
      </c>
      <c r="Y235" s="448">
        <v>62</v>
      </c>
    </row>
    <row r="236">
      <c r="A236" s="420"/>
      <c r="B236" s="421" t="s">
        <v>782</v>
      </c>
      <c r="C236" s="451" t="s">
        <v>786</v>
      </c>
      <c r="D236" s="459">
        <v>3083.73</v>
      </c>
      <c r="E236" s="423">
        <v>7</v>
      </c>
      <c r="F236" s="423">
        <v>5</v>
      </c>
      <c r="G236" s="460">
        <v>8200.5</v>
      </c>
      <c r="H236" s="424">
        <f t="shared" si="362"/>
      </c>
      <c r="I236" s="424">
        <f t="shared" si="10"/>
      </c>
      <c r="J236" s="424">
        <f t="shared" si="73"/>
      </c>
      <c r="K236" s="425">
        <f t="shared" si="113"/>
      </c>
      <c r="L236" s="426">
        <f t="shared" si="173"/>
      </c>
      <c r="M236" s="427">
        <f t="shared" si="143"/>
      </c>
      <c r="N236" s="427">
        <f t="shared" si="203"/>
      </c>
      <c r="O236" s="427">
        <f t="shared" si="256"/>
      </c>
      <c r="P236" s="428">
        <f t="shared" si="309"/>
      </c>
      <c r="Q236" s="429" t="s">
        <v>777</v>
      </c>
      <c r="R236" s="430" t="s">
        <v>778</v>
      </c>
      <c r="S236" s="436">
        <v>10962</v>
      </c>
      <c r="T236" s="436">
        <v>917</v>
      </c>
      <c r="U236" s="436">
        <v>1275</v>
      </c>
      <c r="V236" s="436">
        <v>104</v>
      </c>
      <c r="W236" s="435">
        <v>9</v>
      </c>
      <c r="X236" s="435">
        <v>1</v>
      </c>
      <c r="Y236" s="448">
        <v>20</v>
      </c>
      <c r="AB236" s="486"/>
      <c r="AC236" s="486"/>
      <c r="AD236" s="486"/>
    </row>
    <row r="237">
      <c r="A237" s="420"/>
      <c r="B237" s="437" t="s">
        <v>774</v>
      </c>
      <c r="C237" s="437"/>
      <c r="D237" s="438">
        <f>SUM(D233:D236)</f>
      </c>
      <c r="E237" s="438">
        <f>SUM(E233:E236)</f>
      </c>
      <c r="F237" s="438">
        <f>SUM(F233:F236)</f>
      </c>
      <c r="G237" s="438">
        <f>SUM(G233:G236)</f>
      </c>
      <c r="H237" s="440">
        <f t="shared" si="362"/>
      </c>
      <c r="I237" s="441">
        <f t="shared" si="10"/>
      </c>
      <c r="J237" s="442">
        <f t="shared" si="73"/>
      </c>
      <c r="K237" s="443">
        <f t="shared" si="113"/>
      </c>
      <c r="L237" s="444">
        <f t="shared" si="173"/>
      </c>
      <c r="M237" s="443">
        <f t="shared" si="143"/>
      </c>
      <c r="N237" s="443">
        <f t="shared" si="203"/>
      </c>
      <c r="O237" s="445">
        <f t="shared" si="256"/>
      </c>
      <c r="P237" s="446">
        <f t="shared" si="309"/>
      </c>
      <c r="Q237" s="444"/>
      <c r="R237" s="444"/>
      <c r="S237" s="447">
        <f>SUM(S233:S236)</f>
      </c>
      <c r="T237" s="447">
        <f>SUM(T233:T236)</f>
      </c>
      <c r="U237" s="447">
        <f>SUM(U233:U236)</f>
      </c>
      <c r="V237" s="447">
        <f>SUM(V233:V236)</f>
      </c>
      <c r="W237" s="447">
        <f>SUM(W233:W236)</f>
      </c>
      <c r="X237" s="447">
        <f>SUM(X233:X236)</f>
      </c>
      <c r="Y237" s="447">
        <f>SUM(Y233:Y236)</f>
      </c>
      <c r="AB237" s="486"/>
      <c r="AC237" s="486"/>
      <c r="AD237" s="486"/>
    </row>
    <row r="238">
      <c r="A238" s="420"/>
      <c r="B238" s="452" t="s">
        <v>787</v>
      </c>
      <c r="C238" s="452"/>
      <c r="D238" s="466">
        <f>D222+D227+D237+D232</f>
      </c>
      <c r="E238" s="466">
        <f>E222+E227+E237+E232</f>
      </c>
      <c r="F238" s="466">
        <f>F222+F227+F237+F232</f>
      </c>
      <c r="G238" s="466">
        <f>G222+G227+G237+G232</f>
      </c>
      <c r="H238" s="452">
        <f t="shared" si="362"/>
      </c>
      <c r="I238" s="452">
        <f t="shared" si="10"/>
      </c>
      <c r="J238" s="452">
        <f t="shared" si="73"/>
      </c>
      <c r="K238" s="455">
        <f t="shared" si="113"/>
      </c>
      <c r="L238" s="452">
        <f t="shared" si="173"/>
      </c>
      <c r="M238" s="455">
        <f t="shared" si="143"/>
      </c>
      <c r="N238" s="455">
        <f t="shared" si="203"/>
      </c>
      <c r="O238" s="455">
        <f t="shared" si="256"/>
      </c>
      <c r="P238" s="452">
        <f t="shared" si="309"/>
      </c>
      <c r="Q238" s="456"/>
      <c r="R238" s="456"/>
      <c r="S238" s="454">
        <f>S222+S227+S237+S232</f>
      </c>
      <c r="T238" s="454">
        <f>T222+T227+T237+T232</f>
      </c>
      <c r="U238" s="454">
        <f>U222+U227+U237+U232</f>
      </c>
      <c r="V238" s="454">
        <f>V222+V227+V237+V232</f>
      </c>
      <c r="W238" s="454">
        <f>W222+W227+W237+W232</f>
      </c>
      <c r="X238" s="454">
        <f>X222+X227+X237+X232</f>
      </c>
      <c r="Y238" s="454">
        <f>Y222+Y227+Y237+Y232</f>
      </c>
      <c r="AB238" s="486"/>
      <c r="AC238" s="486"/>
      <c r="AD238" s="486"/>
    </row>
    <row r="239">
      <c r="A239" s="405" t="s">
        <v>738</v>
      </c>
      <c r="B239" s="405"/>
      <c r="C239" s="405"/>
      <c r="D239" s="406" t="s">
        <v>739</v>
      </c>
      <c r="E239" s="406"/>
      <c r="F239" s="406"/>
      <c r="G239" s="406"/>
      <c r="H239" s="406"/>
      <c r="I239" s="406"/>
      <c r="J239" s="406"/>
      <c r="K239" s="407" t="s">
        <v>740</v>
      </c>
      <c r="L239" s="407"/>
      <c r="M239" s="407"/>
      <c r="N239" s="407"/>
      <c r="O239" s="407"/>
      <c r="P239" s="407"/>
      <c r="Q239" s="407"/>
      <c r="R239" s="407"/>
      <c r="S239" s="408" t="s">
        <v>741</v>
      </c>
      <c r="T239" s="408"/>
      <c r="U239" s="408"/>
      <c r="V239" s="408"/>
      <c r="W239" s="408"/>
      <c r="X239" s="408"/>
      <c r="Y239" s="408"/>
    </row>
    <row r="240">
      <c r="A240" s="409" t="s">
        <v>742</v>
      </c>
      <c r="B240" s="409" t="s">
        <v>743</v>
      </c>
      <c r="C240" s="409" t="s">
        <v>744</v>
      </c>
      <c r="D240" s="410" t="s">
        <v>745</v>
      </c>
      <c r="E240" s="411" t="s">
        <v>746</v>
      </c>
      <c r="F240" s="463" t="s">
        <v>792</v>
      </c>
      <c r="G240" s="410" t="s">
        <v>747</v>
      </c>
      <c r="H240" s="412" t="s">
        <v>748</v>
      </c>
      <c r="I240" s="413" t="s">
        <v>749</v>
      </c>
      <c r="J240" s="410" t="s">
        <v>750</v>
      </c>
      <c r="K240" s="414" t="s">
        <v>751</v>
      </c>
      <c r="L240" s="415" t="s">
        <v>752</v>
      </c>
      <c r="M240" s="414" t="s">
        <v>753</v>
      </c>
      <c r="N240" s="414" t="s">
        <v>754</v>
      </c>
      <c r="O240" s="416" t="s">
        <v>755</v>
      </c>
      <c r="P240" s="416" t="s">
        <v>756</v>
      </c>
      <c r="Q240" s="417" t="s">
        <v>757</v>
      </c>
      <c r="R240" s="417" t="s">
        <v>758</v>
      </c>
      <c r="S240" s="431" t="s">
        <v>759</v>
      </c>
      <c r="T240" s="431" t="s">
        <v>760</v>
      </c>
      <c r="U240" s="431" t="s">
        <v>761</v>
      </c>
      <c r="V240" s="431" t="s">
        <v>762</v>
      </c>
      <c r="W240" s="431" t="s">
        <v>763</v>
      </c>
      <c r="X240" s="431" t="s">
        <v>764</v>
      </c>
      <c r="Y240" s="419" t="s">
        <v>765</v>
      </c>
    </row>
    <row r="241">
      <c r="A241" s="420" t="s">
        <v>832</v>
      </c>
      <c r="B241" s="421" t="s">
        <v>775</v>
      </c>
      <c r="C241" s="421" t="s">
        <v>796</v>
      </c>
      <c r="D241" s="421">
        <v>2078.6</v>
      </c>
      <c r="E241" s="423">
        <v>1</v>
      </c>
      <c r="F241" s="423">
        <v>1</v>
      </c>
      <c r="G241" s="467">
        <v>402</v>
      </c>
      <c r="H241" s="424">
        <f t="shared" ref="H241:H261" si="363">G241/D241</f>
      </c>
      <c r="I241" s="424">
        <f t="shared" ref="I241:I261" si="11">D241/E241</f>
      </c>
      <c r="J241" s="424">
        <f t="shared" ref="J241:J261" si="74">G241/E241</f>
      </c>
      <c r="K241" s="425">
        <f t="shared" ref="K241:K261" si="114">T241/S241</f>
      </c>
      <c r="L241" s="426">
        <f t="shared" ref="L241:L261" si="174">D241/U241</f>
      </c>
      <c r="M241" s="427">
        <f t="shared" ref="M241:M261" si="144">V241/U241</f>
      </c>
      <c r="N241" s="427">
        <f t="shared" ref="N241:N261" si="204">E241/W241</f>
      </c>
      <c r="O241" s="427">
        <f t="shared" ref="O241:O261" si="257">X241/E241</f>
      </c>
      <c r="P241" s="428">
        <f t="shared" ref="P241:P261" si="310">(Y241*1000)/D241</f>
      </c>
      <c r="Q241" s="429" t="s">
        <v>769</v>
      </c>
      <c r="R241" s="430" t="s">
        <v>800</v>
      </c>
      <c r="S241" s="461">
        <v>10826</v>
      </c>
      <c r="T241" s="461">
        <v>1024</v>
      </c>
      <c r="U241" s="461">
        <v>1552</v>
      </c>
      <c r="V241" s="461">
        <v>215</v>
      </c>
      <c r="W241" s="461">
        <v>1</v>
      </c>
      <c r="X241" s="461">
        <v>0</v>
      </c>
      <c r="Y241" s="461">
        <v>38</v>
      </c>
    </row>
    <row customHeight="true" ht="16.666666666666668" r="242">
      <c r="A242" s="420"/>
      <c r="B242" s="421" t="s">
        <v>775</v>
      </c>
      <c r="C242" s="421" t="s">
        <v>797</v>
      </c>
      <c r="D242" s="421">
        <v>2798.85</v>
      </c>
      <c r="E242" s="423">
        <v>2</v>
      </c>
      <c r="F242" s="423">
        <v>2</v>
      </c>
      <c r="G242" s="467">
        <v>2295.6</v>
      </c>
      <c r="H242" s="424">
        <f t="shared" si="363"/>
      </c>
      <c r="I242" s="424">
        <f t="shared" si="11"/>
      </c>
      <c r="J242" s="424">
        <f t="shared" si="74"/>
      </c>
      <c r="K242" s="425">
        <f t="shared" si="114"/>
      </c>
      <c r="L242" s="426">
        <f t="shared" si="174"/>
      </c>
      <c r="M242" s="427">
        <f t="shared" si="144"/>
      </c>
      <c r="N242" s="427">
        <f t="shared" si="204"/>
      </c>
      <c r="O242" s="427">
        <f t="shared" si="257"/>
      </c>
      <c r="P242" s="428">
        <f t="shared" si="310"/>
      </c>
      <c r="Q242" s="429" t="s">
        <v>769</v>
      </c>
      <c r="R242" s="430" t="s">
        <v>800</v>
      </c>
      <c r="S242" s="461">
        <v>9157</v>
      </c>
      <c r="T242" s="461">
        <v>1027</v>
      </c>
      <c r="U242" s="461">
        <v>1531</v>
      </c>
      <c r="V242" s="461">
        <v>158</v>
      </c>
      <c r="W242" s="461">
        <v>3</v>
      </c>
      <c r="X242" s="461">
        <v>0</v>
      </c>
      <c r="Y242" s="461">
        <v>33</v>
      </c>
    </row>
    <row r="243">
      <c r="A243" s="420"/>
      <c r="B243" s="421" t="s">
        <v>775</v>
      </c>
      <c r="C243" s="421" t="s">
        <v>798</v>
      </c>
      <c r="D243" s="421">
        <v>1895.73</v>
      </c>
      <c r="E243" s="423">
        <v>1</v>
      </c>
      <c r="F243" s="423">
        <v>1</v>
      </c>
      <c r="G243" s="467">
        <v>2943.6</v>
      </c>
      <c r="H243" s="424">
        <f t="shared" si="363"/>
      </c>
      <c r="I243" s="424">
        <f t="shared" si="11"/>
      </c>
      <c r="J243" s="424">
        <f t="shared" si="74"/>
      </c>
      <c r="K243" s="425">
        <f t="shared" si="114"/>
      </c>
      <c r="L243" s="426">
        <f t="shared" si="174"/>
      </c>
      <c r="M243" s="427">
        <f t="shared" si="144"/>
      </c>
      <c r="N243" s="427">
        <f t="shared" si="204"/>
      </c>
      <c r="O243" s="427">
        <f t="shared" si="257"/>
      </c>
      <c r="P243" s="428">
        <f t="shared" si="310"/>
      </c>
      <c r="Q243" s="429" t="s">
        <v>769</v>
      </c>
      <c r="R243" s="430" t="s">
        <v>800</v>
      </c>
      <c r="S243" s="461">
        <v>991</v>
      </c>
      <c r="T243" s="461">
        <v>882</v>
      </c>
      <c r="U243" s="461">
        <v>1345</v>
      </c>
      <c r="V243" s="461">
        <v>137</v>
      </c>
      <c r="W243" s="461">
        <v>2</v>
      </c>
      <c r="X243" s="461">
        <v>0</v>
      </c>
      <c r="Y243" s="461">
        <v>19</v>
      </c>
    </row>
    <row r="244">
      <c r="A244" s="420"/>
      <c r="B244" s="421" t="s">
        <v>775</v>
      </c>
      <c r="C244" s="422" t="s">
        <v>768</v>
      </c>
      <c r="D244" s="421">
        <v>2505.38</v>
      </c>
      <c r="E244" s="423">
        <v>11</v>
      </c>
      <c r="F244" s="423">
        <v>4</v>
      </c>
      <c r="G244" s="462">
        <v>8846.9</v>
      </c>
      <c r="H244" s="424">
        <f t="shared" si="363"/>
      </c>
      <c r="I244" s="424">
        <f t="shared" si="11"/>
      </c>
      <c r="J244" s="424">
        <f t="shared" si="74"/>
      </c>
      <c r="K244" s="425">
        <f t="shared" si="114"/>
      </c>
      <c r="L244" s="426">
        <f t="shared" si="174"/>
      </c>
      <c r="M244" s="427">
        <f t="shared" si="144"/>
      </c>
      <c r="N244" s="427">
        <f t="shared" si="204"/>
      </c>
      <c r="O244" s="427">
        <f t="shared" si="257"/>
      </c>
      <c r="P244" s="428">
        <f t="shared" si="310"/>
      </c>
      <c r="Q244" s="429" t="s">
        <v>769</v>
      </c>
      <c r="R244" s="430" t="s">
        <v>800</v>
      </c>
      <c r="S244" s="461">
        <v>10406</v>
      </c>
      <c r="T244" s="461">
        <v>1339</v>
      </c>
      <c r="U244" s="461">
        <v>1958</v>
      </c>
      <c r="V244" s="461">
        <v>232</v>
      </c>
      <c r="W244" s="461">
        <v>9</v>
      </c>
      <c r="X244" s="435">
        <v>1</v>
      </c>
      <c r="Y244" s="435">
        <v>46</v>
      </c>
    </row>
    <row r="245">
      <c r="A245" s="420"/>
      <c r="B245" s="437" t="s">
        <v>774</v>
      </c>
      <c r="C245" s="437"/>
      <c r="D245" s="438">
        <f>SUM(D241:D244)</f>
      </c>
      <c r="E245" s="439">
        <f>SUM(E241:E244)</f>
      </c>
      <c r="F245" s="439">
        <f>SUM(F241:F244)</f>
      </c>
      <c r="G245" s="438">
        <f>SUM(G241:G244)</f>
      </c>
      <c r="H245" s="440">
        <f t="shared" si="363"/>
      </c>
      <c r="I245" s="441">
        <f t="shared" si="11"/>
      </c>
      <c r="J245" s="442">
        <f t="shared" si="74"/>
      </c>
      <c r="K245" s="443">
        <f t="shared" si="114"/>
      </c>
      <c r="L245" s="444">
        <f t="shared" si="174"/>
      </c>
      <c r="M245" s="443">
        <f t="shared" si="144"/>
      </c>
      <c r="N245" s="443">
        <f t="shared" si="204"/>
      </c>
      <c r="O245" s="445">
        <f t="shared" si="257"/>
      </c>
      <c r="P245" s="446">
        <f t="shared" si="310"/>
      </c>
      <c r="Q245" s="444"/>
      <c r="R245" s="444"/>
      <c r="S245" s="447">
        <f>SUM(S241:S244)</f>
      </c>
      <c r="T245" s="447">
        <f>SUM(T241:T244)</f>
      </c>
      <c r="U245" s="447">
        <f>SUM(U241:U244)</f>
      </c>
      <c r="V245" s="447">
        <f>SUM(V241:V244)</f>
      </c>
      <c r="W245" s="447">
        <f>SUM(W241:W244)</f>
      </c>
      <c r="X245" s="447">
        <f>SUM(X241:X244)</f>
      </c>
      <c r="Y245" s="447">
        <f>SUM(Y241:Y244)</f>
      </c>
    </row>
    <row r="246">
      <c r="A246" s="420"/>
      <c r="B246" s="421" t="s">
        <v>767</v>
      </c>
      <c r="C246" s="433" t="s">
        <v>771</v>
      </c>
      <c r="D246" s="421">
        <v>2631.17</v>
      </c>
      <c r="E246" s="423">
        <v>3</v>
      </c>
      <c r="F246" s="423">
        <v>0</v>
      </c>
      <c r="G246" s="468">
        <v>7665.2</v>
      </c>
      <c r="H246" s="424">
        <f t="shared" si="363"/>
      </c>
      <c r="I246" s="424">
        <f t="shared" si="11"/>
      </c>
      <c r="J246" s="424">
        <f t="shared" si="74"/>
      </c>
      <c r="K246" s="425">
        <f t="shared" si="114"/>
      </c>
      <c r="L246" s="426">
        <f t="shared" si="174"/>
      </c>
      <c r="M246" s="427">
        <f t="shared" si="144"/>
      </c>
      <c r="N246" s="427">
        <f t="shared" si="204"/>
      </c>
      <c r="O246" s="427">
        <f t="shared" si="257"/>
      </c>
      <c r="P246" s="428">
        <f t="shared" si="310"/>
      </c>
      <c r="Q246" s="429" t="s">
        <v>777</v>
      </c>
      <c r="R246" s="430" t="s">
        <v>800</v>
      </c>
      <c r="S246" s="436">
        <v>7963</v>
      </c>
      <c r="T246" s="436">
        <v>1287</v>
      </c>
      <c r="U246" s="436">
        <v>1778</v>
      </c>
      <c r="V246" s="436">
        <v>191</v>
      </c>
      <c r="W246" s="435">
        <v>3</v>
      </c>
      <c r="X246" s="435">
        <v>1</v>
      </c>
      <c r="Y246" s="448">
        <v>39</v>
      </c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</row>
    <row r="247">
      <c r="A247" s="420"/>
      <c r="B247" s="421" t="s">
        <v>767</v>
      </c>
      <c r="C247" s="433" t="s">
        <v>772</v>
      </c>
      <c r="D247" s="421">
        <v>2524.46</v>
      </c>
      <c r="E247" s="423">
        <v>4</v>
      </c>
      <c r="F247" s="423">
        <v>4</v>
      </c>
      <c r="G247" s="468">
        <v>5792.4</v>
      </c>
      <c r="H247" s="424">
        <f t="shared" si="363"/>
      </c>
      <c r="I247" s="424">
        <f t="shared" si="11"/>
      </c>
      <c r="J247" s="424">
        <f t="shared" si="74"/>
      </c>
      <c r="K247" s="425">
        <f t="shared" si="114"/>
      </c>
      <c r="L247" s="426">
        <f t="shared" si="174"/>
      </c>
      <c r="M247" s="427">
        <f t="shared" si="144"/>
      </c>
      <c r="N247" s="427">
        <f t="shared" si="204"/>
      </c>
      <c r="O247" s="427">
        <f t="shared" si="257"/>
      </c>
      <c r="P247" s="428">
        <f t="shared" si="310"/>
      </c>
      <c r="Q247" s="429" t="s">
        <v>777</v>
      </c>
      <c r="R247" s="430" t="s">
        <v>800</v>
      </c>
      <c r="S247" s="436">
        <v>7987</v>
      </c>
      <c r="T247" s="436">
        <v>1092</v>
      </c>
      <c r="U247" s="436">
        <v>1551</v>
      </c>
      <c r="V247" s="436">
        <v>182</v>
      </c>
      <c r="W247" s="435">
        <v>5</v>
      </c>
      <c r="X247" s="435">
        <v>0</v>
      </c>
      <c r="Y247" s="448">
        <v>34</v>
      </c>
      <c r="Z247" s="486"/>
      <c r="AA247" s="487" t="s">
        <v>833</v>
      </c>
      <c r="AB247" s="487"/>
      <c r="AC247" s="487"/>
      <c r="AD247" s="487"/>
      <c r="AE247" s="487"/>
      <c r="AF247" s="487"/>
      <c r="AG247" s="487"/>
      <c r="AH247" s="487"/>
      <c r="AI247" s="487"/>
      <c r="AJ247" s="487"/>
      <c r="AK247" s="487"/>
    </row>
    <row r="248">
      <c r="A248" s="420"/>
      <c r="B248" s="421" t="s">
        <v>767</v>
      </c>
      <c r="C248" s="433" t="s">
        <v>773</v>
      </c>
      <c r="D248" s="421">
        <v>2092.04</v>
      </c>
      <c r="E248" s="423">
        <v>2</v>
      </c>
      <c r="F248" s="423">
        <v>2</v>
      </c>
      <c r="G248" s="467">
        <v>1850.4</v>
      </c>
      <c r="H248" s="424">
        <f t="shared" si="363"/>
      </c>
      <c r="I248" s="424">
        <f t="shared" si="11"/>
      </c>
      <c r="J248" s="424">
        <f t="shared" si="74"/>
      </c>
      <c r="K248" s="425">
        <f t="shared" si="114"/>
      </c>
      <c r="L248" s="426">
        <f t="shared" si="174"/>
      </c>
      <c r="M248" s="427">
        <f t="shared" si="144"/>
      </c>
      <c r="N248" s="427">
        <f t="shared" si="204"/>
      </c>
      <c r="O248" s="427">
        <f t="shared" si="257"/>
      </c>
      <c r="P248" s="428">
        <f t="shared" si="310"/>
      </c>
      <c r="Q248" s="429" t="s">
        <v>777</v>
      </c>
      <c r="R248" s="430" t="s">
        <v>800</v>
      </c>
      <c r="S248" s="436">
        <v>9735</v>
      </c>
      <c r="T248" s="436">
        <v>1211</v>
      </c>
      <c r="U248" s="436">
        <v>1769</v>
      </c>
      <c r="V248" s="436">
        <v>198</v>
      </c>
      <c r="W248" s="435">
        <v>4</v>
      </c>
      <c r="X248" s="435">
        <v>0</v>
      </c>
      <c r="Y248" s="448">
        <v>35</v>
      </c>
      <c r="Z248" s="486"/>
      <c r="AA248" s="489" t="s">
        <v>806</v>
      </c>
      <c r="AB248" s="489" t="s">
        <v>807</v>
      </c>
      <c r="AC248" s="489" t="s">
        <v>808</v>
      </c>
      <c r="AD248" s="489" t="s">
        <v>809</v>
      </c>
      <c r="AE248" s="489" t="s">
        <v>810</v>
      </c>
      <c r="AF248" s="489" t="s">
        <v>811</v>
      </c>
      <c r="AG248" s="489" t="s">
        <v>750</v>
      </c>
      <c r="AH248" s="489" t="s">
        <v>812</v>
      </c>
      <c r="AI248" s="489" t="s">
        <v>748</v>
      </c>
      <c r="AJ248" s="489" t="s">
        <v>813</v>
      </c>
      <c r="AK248" s="489"/>
    </row>
    <row r="249">
      <c r="A249" s="420"/>
      <c r="B249" s="421" t="s">
        <v>767</v>
      </c>
      <c r="C249" s="433" t="s">
        <v>776</v>
      </c>
      <c r="D249" s="421">
        <v>2661.62</v>
      </c>
      <c r="E249" s="423">
        <v>3</v>
      </c>
      <c r="F249" s="423">
        <v>2</v>
      </c>
      <c r="G249" s="467">
        <v>2252.4</v>
      </c>
      <c r="H249" s="424">
        <f t="shared" si="363"/>
      </c>
      <c r="I249" s="424">
        <f t="shared" si="11"/>
      </c>
      <c r="J249" s="424">
        <f t="shared" si="74"/>
      </c>
      <c r="K249" s="425">
        <f t="shared" si="114"/>
      </c>
      <c r="L249" s="426">
        <f t="shared" si="174"/>
      </c>
      <c r="M249" s="427">
        <f t="shared" si="144"/>
      </c>
      <c r="N249" s="427">
        <f t="shared" si="204"/>
      </c>
      <c r="O249" s="427">
        <f t="shared" si="257"/>
      </c>
      <c r="P249" s="428">
        <f t="shared" si="310"/>
      </c>
      <c r="Q249" s="429" t="s">
        <v>777</v>
      </c>
      <c r="R249" s="430" t="s">
        <v>800</v>
      </c>
      <c r="S249" s="436">
        <v>12274</v>
      </c>
      <c r="T249" s="436">
        <v>1245</v>
      </c>
      <c r="U249" s="436">
        <v>1816</v>
      </c>
      <c r="V249" s="436">
        <v>203</v>
      </c>
      <c r="W249" s="435">
        <v>5</v>
      </c>
      <c r="X249" s="435">
        <v>0</v>
      </c>
      <c r="Y249" s="448">
        <v>38</v>
      </c>
      <c r="Z249" s="486"/>
      <c r="AA249" s="490" t="s">
        <v>775</v>
      </c>
      <c r="AB249" s="496" t="s">
        <v>834</v>
      </c>
      <c r="AC249" s="490">
        <v>4</v>
      </c>
      <c r="AD249" s="490">
        <v>9641.56</v>
      </c>
      <c r="AE249" s="490">
        <v>14488.1</v>
      </c>
      <c r="AF249" s="490">
        <v>15</v>
      </c>
      <c r="AG249" s="493">
        <f t="shared" ref="AG249:AG252" si="227">AE249/AF249</f>
      </c>
      <c r="AH249" s="493">
        <f t="shared" ref="AH249:AH252" si="280">AD249/AF249</f>
      </c>
      <c r="AI249" s="493">
        <f t="shared" ref="AI249:AI252" si="333">AE249/AD249</f>
      </c>
      <c r="AJ249" s="492">
        <f>AD249/AC249</f>
      </c>
      <c r="AK249" s="492"/>
    </row>
    <row r="250">
      <c r="A250" s="420"/>
      <c r="B250" s="437" t="s">
        <v>774</v>
      </c>
      <c r="C250" s="437"/>
      <c r="D250" s="438">
        <f>SUM(D246:D249)</f>
      </c>
      <c r="E250" s="439">
        <f>SUM(E246:E249)</f>
      </c>
      <c r="F250" s="439">
        <f>SUM(F246:F249)</f>
      </c>
      <c r="G250" s="438">
        <f>SUM(G246:G249)</f>
      </c>
      <c r="H250" s="440">
        <f t="shared" si="363"/>
      </c>
      <c r="I250" s="441">
        <f t="shared" si="11"/>
      </c>
      <c r="J250" s="442">
        <f t="shared" si="74"/>
      </c>
      <c r="K250" s="443">
        <f t="shared" si="114"/>
      </c>
      <c r="L250" s="444">
        <f t="shared" si="174"/>
      </c>
      <c r="M250" s="443">
        <f t="shared" si="144"/>
      </c>
      <c r="N250" s="443">
        <f t="shared" si="204"/>
      </c>
      <c r="O250" s="445">
        <f t="shared" si="257"/>
      </c>
      <c r="P250" s="446">
        <f t="shared" si="310"/>
      </c>
      <c r="Q250" s="444"/>
      <c r="R250" s="444"/>
      <c r="S250" s="447">
        <f>SUM(S246:S249)</f>
      </c>
      <c r="T250" s="447">
        <f>SUM(T246:T249)</f>
      </c>
      <c r="U250" s="447">
        <f>SUM(U246:U249)</f>
      </c>
      <c r="V250" s="447">
        <f>SUM(V246:V249)</f>
      </c>
      <c r="W250" s="447">
        <f>SUM(W246:W249)</f>
      </c>
      <c r="X250" s="447">
        <f>SUM(X246:X249)</f>
      </c>
      <c r="Y250" s="447">
        <f>SUM(Y246:Y249)</f>
      </c>
      <c r="Z250" s="486"/>
      <c r="AA250" s="490" t="s">
        <v>767</v>
      </c>
      <c r="AB250" s="496" t="s">
        <v>835</v>
      </c>
      <c r="AC250" s="492">
        <v>4</v>
      </c>
      <c r="AD250" s="490">
        <v>9692.79</v>
      </c>
      <c r="AE250" s="490">
        <v>17560.4</v>
      </c>
      <c r="AF250" s="490">
        <v>12</v>
      </c>
      <c r="AG250" s="493">
        <f t="shared" si="227"/>
      </c>
      <c r="AH250" s="493">
        <f t="shared" si="280"/>
      </c>
      <c r="AI250" s="493">
        <f t="shared" si="333"/>
      </c>
      <c r="AJ250" s="492">
        <f t="shared" ref="AJ250:AJ252" si="44">AD250/4</f>
      </c>
      <c r="AK250" s="492"/>
    </row>
    <row r="251">
      <c r="A251" s="420"/>
      <c r="B251" s="421" t="s">
        <v>789</v>
      </c>
      <c r="C251" s="422" t="s">
        <v>779</v>
      </c>
      <c r="D251" s="459">
        <v>2075.43</v>
      </c>
      <c r="E251" s="423">
        <v>4</v>
      </c>
      <c r="F251" s="423">
        <v>3</v>
      </c>
      <c r="G251" s="460">
        <v>2665.2</v>
      </c>
      <c r="H251" s="424">
        <f t="shared" si="363"/>
      </c>
      <c r="I251" s="424">
        <f t="shared" si="11"/>
      </c>
      <c r="J251" s="424">
        <f t="shared" si="74"/>
      </c>
      <c r="K251" s="425">
        <f t="shared" si="114"/>
      </c>
      <c r="L251" s="426">
        <f t="shared" si="174"/>
      </c>
      <c r="M251" s="427">
        <f t="shared" si="144"/>
      </c>
      <c r="N251" s="427">
        <f t="shared" si="204"/>
      </c>
      <c r="O251" s="427">
        <f t="shared" si="257"/>
      </c>
      <c r="P251" s="428">
        <f t="shared" si="310"/>
      </c>
      <c r="Q251" s="429" t="s">
        <v>777</v>
      </c>
      <c r="R251" s="430" t="s">
        <v>778</v>
      </c>
      <c r="S251" s="436">
        <v>10435</v>
      </c>
      <c r="T251" s="436">
        <v>1171</v>
      </c>
      <c r="U251" s="436">
        <v>1748</v>
      </c>
      <c r="V251" s="436">
        <v>207</v>
      </c>
      <c r="W251" s="435">
        <v>7</v>
      </c>
      <c r="X251" s="435">
        <v>1</v>
      </c>
      <c r="Y251" s="448">
        <v>36</v>
      </c>
      <c r="Z251" s="486"/>
      <c r="AA251" s="490" t="s">
        <v>789</v>
      </c>
      <c r="AB251" s="496" t="s">
        <v>836</v>
      </c>
      <c r="AC251" s="492">
        <v>4</v>
      </c>
      <c r="AD251" s="490">
        <v>9645.79</v>
      </c>
      <c r="AE251" s="490">
        <v>10792.4</v>
      </c>
      <c r="AF251" s="490">
        <v>10</v>
      </c>
      <c r="AG251" s="493">
        <f t="shared" si="227"/>
      </c>
      <c r="AH251" s="493">
        <f t="shared" si="280"/>
      </c>
      <c r="AI251" s="493">
        <f t="shared" si="333"/>
      </c>
      <c r="AJ251" s="492">
        <f t="shared" si="44"/>
      </c>
      <c r="AK251" s="492"/>
    </row>
    <row r="252">
      <c r="A252" s="420"/>
      <c r="B252" s="421" t="s">
        <v>789</v>
      </c>
      <c r="C252" s="422" t="s">
        <v>780</v>
      </c>
      <c r="D252" s="459">
        <v>2264.42</v>
      </c>
      <c r="E252" s="423">
        <v>2</v>
      </c>
      <c r="F252" s="423">
        <v>2</v>
      </c>
      <c r="G252" s="460">
        <v>3562.4</v>
      </c>
      <c r="H252" s="424">
        <f t="shared" si="363"/>
      </c>
      <c r="I252" s="424">
        <f t="shared" si="11"/>
      </c>
      <c r="J252" s="424">
        <f t="shared" si="74"/>
      </c>
      <c r="K252" s="425">
        <f t="shared" si="114"/>
      </c>
      <c r="L252" s="426">
        <f t="shared" si="174"/>
      </c>
      <c r="M252" s="427">
        <f t="shared" si="144"/>
      </c>
      <c r="N252" s="427">
        <f t="shared" si="204"/>
      </c>
      <c r="O252" s="427">
        <f t="shared" si="257"/>
      </c>
      <c r="P252" s="428">
        <f t="shared" si="310"/>
      </c>
      <c r="Q252" s="429" t="s">
        <v>777</v>
      </c>
      <c r="R252" s="430" t="s">
        <v>778</v>
      </c>
      <c r="S252" s="436">
        <v>13360</v>
      </c>
      <c r="T252" s="436">
        <v>1354</v>
      </c>
      <c r="U252" s="436">
        <v>1975</v>
      </c>
      <c r="V252" s="436">
        <v>202</v>
      </c>
      <c r="W252" s="435">
        <v>4</v>
      </c>
      <c r="X252" s="435">
        <v>0</v>
      </c>
      <c r="Y252" s="448">
        <v>49</v>
      </c>
      <c r="Z252" s="486"/>
      <c r="AA252" s="490" t="s">
        <v>782</v>
      </c>
      <c r="AB252" s="496" t="s">
        <v>837</v>
      </c>
      <c r="AC252" s="492">
        <v>4</v>
      </c>
      <c r="AD252" s="490">
        <v>7287.8</v>
      </c>
      <c r="AE252" s="490">
        <v>20356.1</v>
      </c>
      <c r="AF252" s="490">
        <v>16</v>
      </c>
      <c r="AG252" s="493">
        <f t="shared" si="227"/>
      </c>
      <c r="AH252" s="493">
        <f t="shared" si="280"/>
      </c>
      <c r="AI252" s="493">
        <f t="shared" si="333"/>
      </c>
      <c r="AJ252" s="492">
        <f t="shared" si="44"/>
      </c>
      <c r="AK252" s="492"/>
    </row>
    <row r="253">
      <c r="A253" s="420"/>
      <c r="B253" s="421" t="s">
        <v>789</v>
      </c>
      <c r="C253" s="422" t="s">
        <v>781</v>
      </c>
      <c r="D253" s="459">
        <v>2674.45</v>
      </c>
      <c r="E253" s="423">
        <v>1</v>
      </c>
      <c r="F253" s="423">
        <v>1</v>
      </c>
      <c r="G253" s="460">
        <v>2943.6</v>
      </c>
      <c r="H253" s="424">
        <f t="shared" si="363"/>
      </c>
      <c r="I253" s="424">
        <f t="shared" si="11"/>
      </c>
      <c r="J253" s="424">
        <f t="shared" si="74"/>
      </c>
      <c r="K253" s="425">
        <f t="shared" si="114"/>
      </c>
      <c r="L253" s="426">
        <f t="shared" si="174"/>
      </c>
      <c r="M253" s="427">
        <f t="shared" si="144"/>
      </c>
      <c r="N253" s="427">
        <f t="shared" si="204"/>
      </c>
      <c r="O253" s="427">
        <f t="shared" si="257"/>
      </c>
      <c r="P253" s="428">
        <f t="shared" si="310"/>
      </c>
      <c r="Q253" s="429" t="s">
        <v>777</v>
      </c>
      <c r="R253" s="430" t="s">
        <v>778</v>
      </c>
      <c r="S253" s="436">
        <v>13762</v>
      </c>
      <c r="T253" s="436">
        <v>1472</v>
      </c>
      <c r="U253" s="436">
        <v>2048</v>
      </c>
      <c r="V253" s="436">
        <v>198</v>
      </c>
      <c r="W253" s="435">
        <v>6</v>
      </c>
      <c r="X253" s="435">
        <v>0</v>
      </c>
      <c r="Y253" s="448">
        <v>43</v>
      </c>
      <c r="Z253" s="486"/>
      <c r="AA253" s="495" t="s">
        <v>819</v>
      </c>
      <c r="AB253" s="495"/>
      <c r="AC253" s="495"/>
      <c r="AD253" s="495"/>
      <c r="AE253" s="495"/>
      <c r="AF253" s="495"/>
      <c r="AG253" s="495"/>
      <c r="AH253" s="495"/>
      <c r="AI253" s="495"/>
      <c r="AJ253" s="495"/>
      <c r="AK253" s="495"/>
    </row>
    <row r="254">
      <c r="A254" s="420"/>
      <c r="B254" s="421" t="s">
        <v>789</v>
      </c>
      <c r="C254" s="422" t="s">
        <v>783</v>
      </c>
      <c r="D254" s="459">
        <v>2755.54</v>
      </c>
      <c r="E254" s="423">
        <v>3</v>
      </c>
      <c r="F254" s="423">
        <v>1</v>
      </c>
      <c r="G254" s="460">
        <v>1621.2</v>
      </c>
      <c r="H254" s="424">
        <f t="shared" si="363"/>
      </c>
      <c r="I254" s="424">
        <f t="shared" si="11"/>
      </c>
      <c r="J254" s="424">
        <f t="shared" si="74"/>
      </c>
      <c r="K254" s="425">
        <f t="shared" si="114"/>
      </c>
      <c r="L254" s="426">
        <f t="shared" si="174"/>
      </c>
      <c r="M254" s="427">
        <f t="shared" si="144"/>
      </c>
      <c r="N254" s="427">
        <f t="shared" si="204"/>
      </c>
      <c r="O254" s="427">
        <f t="shared" si="257"/>
      </c>
      <c r="P254" s="428">
        <f t="shared" si="310"/>
      </c>
      <c r="Q254" s="429" t="s">
        <v>777</v>
      </c>
      <c r="R254" s="430" t="s">
        <v>778</v>
      </c>
      <c r="S254" s="436">
        <v>15275</v>
      </c>
      <c r="T254" s="436">
        <v>1390</v>
      </c>
      <c r="U254" s="436">
        <v>1965</v>
      </c>
      <c r="V254" s="436">
        <v>179</v>
      </c>
      <c r="W254" s="435">
        <v>4</v>
      </c>
      <c r="X254" s="435">
        <v>1</v>
      </c>
      <c r="Y254" s="448">
        <v>22</v>
      </c>
      <c r="Z254" s="486"/>
      <c r="AA254" s="478" t="s">
        <v>809</v>
      </c>
      <c r="AB254" s="478" t="s">
        <v>820</v>
      </c>
      <c r="AC254" s="479" t="s">
        <v>821</v>
      </c>
      <c r="AD254" s="478" t="s">
        <v>822</v>
      </c>
      <c r="AE254" s="478" t="s">
        <v>823</v>
      </c>
      <c r="AF254" s="478" t="s">
        <v>824</v>
      </c>
      <c r="AG254" s="478" t="s">
        <v>825</v>
      </c>
      <c r="AH254" s="480" t="s">
        <v>764</v>
      </c>
      <c r="AI254" s="480" t="s">
        <v>826</v>
      </c>
      <c r="AJ254" s="480" t="s">
        <v>827</v>
      </c>
      <c r="AK254" s="480" t="s">
        <v>808</v>
      </c>
    </row>
    <row r="255">
      <c r="A255" s="420"/>
      <c r="B255" s="437" t="s">
        <v>774</v>
      </c>
      <c r="C255" s="437"/>
      <c r="D255" s="438">
        <f>SUM(D251:D254)</f>
      </c>
      <c r="E255" s="439">
        <f>SUM(E251:E254)</f>
      </c>
      <c r="F255" s="439">
        <f>SUM(F251:F254)</f>
      </c>
      <c r="G255" s="438">
        <f>SUM(G251:G254)</f>
      </c>
      <c r="H255" s="440">
        <f t="shared" si="363"/>
      </c>
      <c r="I255" s="441">
        <f t="shared" si="11"/>
      </c>
      <c r="J255" s="442">
        <f t="shared" si="74"/>
      </c>
      <c r="K255" s="443">
        <f t="shared" si="114"/>
      </c>
      <c r="L255" s="444">
        <f t="shared" si="174"/>
      </c>
      <c r="M255" s="443">
        <f t="shared" si="144"/>
      </c>
      <c r="N255" s="443">
        <f t="shared" si="204"/>
      </c>
      <c r="O255" s="445">
        <f t="shared" si="257"/>
      </c>
      <c r="P255" s="446">
        <f t="shared" si="310"/>
      </c>
      <c r="Q255" s="444"/>
      <c r="R255" s="444"/>
      <c r="S255" s="447">
        <f>SUM(S251:S254)</f>
      </c>
      <c r="T255" s="447">
        <f>SUM(T251:T254)</f>
      </c>
      <c r="U255" s="447">
        <f>SUM(U251:U254)</f>
      </c>
      <c r="V255" s="447">
        <f>SUM(V251:V254)</f>
      </c>
      <c r="W255" s="447">
        <f>SUM(W251:W254)</f>
      </c>
      <c r="X255" s="447">
        <f>SUM(X251:X254)</f>
      </c>
      <c r="Y255" s="447">
        <f>SUM(Y251:Y254)</f>
      </c>
      <c r="Z255" s="486"/>
      <c r="AA255" s="465">
        <f>SUM(AD249:AD252)</f>
      </c>
      <c r="AB255" s="465">
        <f>SUM(AE249:AE252)</f>
      </c>
      <c r="AC255" s="481">
        <f>AB255/((AK255*300)+AA255)</f>
      </c>
      <c r="AD255" s="482">
        <f>AA255/AJ255</f>
      </c>
      <c r="AE255" s="481">
        <f>AB255/AJ255</f>
      </c>
      <c r="AF255" s="483">
        <f>AJ255/AI255</f>
      </c>
      <c r="AG255" s="483">
        <f>AH255/AJ255</f>
      </c>
      <c r="AH255" s="484">
        <v>8</v>
      </c>
      <c r="AI255" s="484">
        <v>80</v>
      </c>
      <c r="AJ255" s="485">
        <f>SUM(AF249:AF252)</f>
      </c>
      <c r="AK255" s="485">
        <f>SUM(AC249:AC252)</f>
      </c>
    </row>
    <row r="256">
      <c r="A256" s="420"/>
      <c r="B256" s="421" t="s">
        <v>782</v>
      </c>
      <c r="C256" s="451" t="s">
        <v>784</v>
      </c>
      <c r="D256" s="459">
        <v>3114.52</v>
      </c>
      <c r="E256" s="423">
        <v>4</v>
      </c>
      <c r="F256" s="423">
        <v>2</v>
      </c>
      <c r="G256" s="460">
        <v>5486.9</v>
      </c>
      <c r="H256" s="424">
        <f t="shared" si="363"/>
      </c>
      <c r="I256" s="424">
        <f t="shared" si="11"/>
      </c>
      <c r="J256" s="424">
        <f t="shared" si="74"/>
      </c>
      <c r="K256" s="425">
        <f t="shared" si="114"/>
      </c>
      <c r="L256" s="426">
        <f t="shared" si="174"/>
      </c>
      <c r="M256" s="427">
        <f t="shared" si="144"/>
      </c>
      <c r="N256" s="427">
        <f t="shared" si="204"/>
      </c>
      <c r="O256" s="427">
        <f t="shared" si="257"/>
      </c>
      <c r="P256" s="428">
        <f t="shared" si="310"/>
      </c>
      <c r="Q256" s="429" t="s">
        <v>777</v>
      </c>
      <c r="R256" s="430" t="s">
        <v>778</v>
      </c>
      <c r="S256" s="436">
        <v>14126</v>
      </c>
      <c r="T256" s="436">
        <v>1736</v>
      </c>
      <c r="U256" s="436">
        <v>2671</v>
      </c>
      <c r="V256" s="436">
        <v>231</v>
      </c>
      <c r="W256" s="435">
        <v>6</v>
      </c>
      <c r="X256" s="435">
        <v>1</v>
      </c>
      <c r="Y256" s="448">
        <v>31</v>
      </c>
      <c r="Z256" s="486"/>
    </row>
    <row r="257">
      <c r="A257" s="420"/>
      <c r="B257" s="421" t="s">
        <v>782</v>
      </c>
      <c r="C257" s="451" t="s">
        <v>785</v>
      </c>
      <c r="D257" s="459">
        <v>2381.21</v>
      </c>
      <c r="E257" s="423">
        <v>6</v>
      </c>
      <c r="F257" s="423">
        <v>3</v>
      </c>
      <c r="G257" s="460">
        <v>9410.4</v>
      </c>
      <c r="H257" s="424">
        <f t="shared" si="363"/>
      </c>
      <c r="I257" s="424">
        <f t="shared" si="11"/>
      </c>
      <c r="J257" s="424">
        <f t="shared" si="74"/>
      </c>
      <c r="K257" s="425">
        <f t="shared" si="114"/>
      </c>
      <c r="L257" s="426">
        <f t="shared" si="174"/>
      </c>
      <c r="M257" s="427">
        <f t="shared" si="144"/>
      </c>
      <c r="N257" s="427">
        <f t="shared" si="204"/>
      </c>
      <c r="O257" s="427">
        <f t="shared" si="257"/>
      </c>
      <c r="P257" s="428">
        <f t="shared" si="310"/>
      </c>
      <c r="Q257" s="429" t="s">
        <v>777</v>
      </c>
      <c r="R257" s="430" t="s">
        <v>778</v>
      </c>
      <c r="S257" s="436">
        <v>11641</v>
      </c>
      <c r="T257" s="436">
        <v>1796</v>
      </c>
      <c r="U257" s="436">
        <v>2524</v>
      </c>
      <c r="V257" s="436">
        <v>209</v>
      </c>
      <c r="W257" s="435">
        <v>9</v>
      </c>
      <c r="X257" s="435">
        <v>1</v>
      </c>
      <c r="Y257" s="448">
        <v>41</v>
      </c>
    </row>
    <row r="258">
      <c r="A258" s="420"/>
      <c r="B258" s="421" t="s">
        <v>782</v>
      </c>
      <c r="C258" s="451" t="s">
        <v>786</v>
      </c>
      <c r="D258" s="459">
        <v>1015.81</v>
      </c>
      <c r="E258" s="423">
        <v>3</v>
      </c>
      <c r="F258" s="423">
        <v>0</v>
      </c>
      <c r="G258" s="460">
        <v>2955.6</v>
      </c>
      <c r="H258" s="424">
        <f t="shared" si="363"/>
      </c>
      <c r="I258" s="424">
        <f t="shared" si="11"/>
      </c>
      <c r="J258" s="424">
        <f t="shared" si="74"/>
      </c>
      <c r="K258" s="425">
        <f t="shared" si="114"/>
      </c>
      <c r="L258" s="426">
        <f t="shared" si="174"/>
      </c>
      <c r="M258" s="427">
        <f t="shared" si="144"/>
      </c>
      <c r="N258" s="427">
        <f t="shared" si="204"/>
      </c>
      <c r="O258" s="427">
        <f t="shared" si="257"/>
      </c>
      <c r="P258" s="428">
        <f t="shared" si="310"/>
      </c>
      <c r="Q258" s="429" t="s">
        <v>777</v>
      </c>
      <c r="R258" s="430" t="s">
        <v>778</v>
      </c>
      <c r="S258" s="436">
        <v>5580</v>
      </c>
      <c r="T258" s="436">
        <v>735</v>
      </c>
      <c r="U258" s="436">
        <v>1047</v>
      </c>
      <c r="V258" s="436">
        <v>56</v>
      </c>
      <c r="W258" s="435">
        <v>4</v>
      </c>
      <c r="X258" s="435">
        <v>2</v>
      </c>
      <c r="Y258" s="448">
        <v>17</v>
      </c>
      <c r="AE258" s="497"/>
    </row>
    <row r="259">
      <c r="A259" s="420"/>
      <c r="B259" s="421" t="s">
        <v>782</v>
      </c>
      <c r="C259" s="451" t="s">
        <v>838</v>
      </c>
      <c r="D259" s="459">
        <v>798.71</v>
      </c>
      <c r="E259" s="423">
        <v>3</v>
      </c>
      <c r="F259" s="423">
        <v>3</v>
      </c>
      <c r="G259" s="460">
        <v>2503.2</v>
      </c>
      <c r="H259" s="424">
        <f t="shared" si="363"/>
      </c>
      <c r="I259" s="424">
        <f t="shared" si="11"/>
      </c>
      <c r="J259" s="424">
        <f t="shared" si="74"/>
      </c>
      <c r="K259" s="425">
        <f t="shared" si="114"/>
      </c>
      <c r="L259" s="426">
        <f t="shared" si="174"/>
      </c>
      <c r="M259" s="427">
        <f t="shared" si="144"/>
      </c>
      <c r="N259" s="427">
        <f t="shared" si="204"/>
      </c>
      <c r="O259" s="427">
        <f t="shared" si="257"/>
      </c>
      <c r="P259" s="428">
        <f t="shared" si="310"/>
      </c>
      <c r="Q259" s="429" t="s">
        <v>777</v>
      </c>
      <c r="R259" s="430" t="s">
        <v>778</v>
      </c>
      <c r="S259" s="436">
        <v>6850</v>
      </c>
      <c r="T259" s="436">
        <v>528</v>
      </c>
      <c r="U259" s="436">
        <v>722</v>
      </c>
      <c r="V259" s="436">
        <v>39</v>
      </c>
      <c r="W259" s="435">
        <v>3</v>
      </c>
      <c r="X259" s="435">
        <v>0</v>
      </c>
      <c r="Y259" s="448">
        <v>22</v>
      </c>
      <c r="AB259" s="486"/>
      <c r="AC259" s="486"/>
      <c r="AD259" s="486"/>
    </row>
    <row r="260">
      <c r="A260" s="420"/>
      <c r="B260" s="437" t="s">
        <v>774</v>
      </c>
      <c r="C260" s="437"/>
      <c r="D260" s="438">
        <f>SUM(D256:D259)</f>
      </c>
      <c r="E260" s="438">
        <f>SUM(E256:E259)</f>
      </c>
      <c r="F260" s="438">
        <f>SUM(F256:F259)</f>
      </c>
      <c r="G260" s="438">
        <f>SUM(G256:G259)</f>
      </c>
      <c r="H260" s="440">
        <f t="shared" si="363"/>
      </c>
      <c r="I260" s="441">
        <f t="shared" si="11"/>
      </c>
      <c r="J260" s="442">
        <f t="shared" si="74"/>
      </c>
      <c r="K260" s="443">
        <f t="shared" si="114"/>
      </c>
      <c r="L260" s="444">
        <f t="shared" si="174"/>
      </c>
      <c r="M260" s="443">
        <f t="shared" si="144"/>
      </c>
      <c r="N260" s="443">
        <f t="shared" si="204"/>
      </c>
      <c r="O260" s="445">
        <f t="shared" si="257"/>
      </c>
      <c r="P260" s="446">
        <f t="shared" si="310"/>
      </c>
      <c r="Q260" s="444"/>
      <c r="R260" s="444"/>
      <c r="S260" s="447">
        <f>SUM(S256:S259)</f>
      </c>
      <c r="T260" s="447">
        <f>SUM(T256:T259)</f>
      </c>
      <c r="U260" s="447">
        <f>SUM(U256:U259)</f>
      </c>
      <c r="V260" s="447">
        <f>SUM(V256:V259)</f>
      </c>
      <c r="W260" s="447">
        <f>SUM(W256:W259)</f>
      </c>
      <c r="X260" s="447">
        <f>SUM(X256:X259)</f>
      </c>
      <c r="Y260" s="447">
        <f>SUM(Y256:Y259)</f>
      </c>
      <c r="AB260" s="486"/>
      <c r="AC260" s="486"/>
      <c r="AD260" s="486"/>
      <c r="AF260" s="497"/>
    </row>
    <row r="261">
      <c r="A261" s="420"/>
      <c r="B261" s="452" t="s">
        <v>787</v>
      </c>
      <c r="C261" s="452"/>
      <c r="D261" s="466">
        <f>D245+D250+D260+D255</f>
      </c>
      <c r="E261" s="466">
        <f>E245+E250+E260+E255</f>
      </c>
      <c r="F261" s="466">
        <f>F245+F250+F260+F255</f>
      </c>
      <c r="G261" s="466">
        <f>G245+G250+G260+G255</f>
      </c>
      <c r="H261" s="452">
        <f t="shared" si="363"/>
      </c>
      <c r="I261" s="452">
        <f t="shared" si="11"/>
      </c>
      <c r="J261" s="452">
        <f t="shared" si="74"/>
      </c>
      <c r="K261" s="455">
        <f t="shared" si="114"/>
      </c>
      <c r="L261" s="452">
        <f t="shared" si="174"/>
      </c>
      <c r="M261" s="455">
        <f t="shared" si="144"/>
      </c>
      <c r="N261" s="455">
        <f t="shared" si="204"/>
      </c>
      <c r="O261" s="455">
        <f t="shared" si="257"/>
      </c>
      <c r="P261" s="452">
        <f t="shared" si="310"/>
      </c>
      <c r="Q261" s="456"/>
      <c r="R261" s="456"/>
      <c r="S261" s="454">
        <f>S245+S250+S260+S255</f>
      </c>
      <c r="T261" s="454">
        <f>T245+T250+T260+T255</f>
      </c>
      <c r="U261" s="454">
        <f>U245+U250+U260+U255</f>
      </c>
      <c r="V261" s="454">
        <f>V245+V250+V260+V255</f>
      </c>
      <c r="W261" s="454">
        <f>W245+W250+W260+W255</f>
      </c>
      <c r="X261" s="454">
        <f>X245+X250+X260+X255</f>
      </c>
      <c r="Y261" s="454">
        <f>Y245+Y250+Y260+Y255</f>
      </c>
      <c r="AB261" s="486"/>
      <c r="AC261" s="486"/>
      <c r="AD261" s="486"/>
    </row>
    <row r="262">
      <c r="A262" s="405" t="s">
        <v>738</v>
      </c>
      <c r="B262" s="405"/>
      <c r="C262" s="405"/>
      <c r="D262" s="406" t="s">
        <v>739</v>
      </c>
      <c r="E262" s="406"/>
      <c r="F262" s="406"/>
      <c r="G262" s="406"/>
      <c r="H262" s="406"/>
      <c r="I262" s="406"/>
      <c r="J262" s="406"/>
      <c r="K262" s="407" t="s">
        <v>740</v>
      </c>
      <c r="L262" s="407"/>
      <c r="M262" s="407"/>
      <c r="N262" s="407"/>
      <c r="O262" s="407"/>
      <c r="P262" s="407"/>
      <c r="Q262" s="407"/>
      <c r="R262" s="407"/>
      <c r="S262" s="408" t="s">
        <v>741</v>
      </c>
      <c r="T262" s="408"/>
      <c r="U262" s="408"/>
      <c r="V262" s="408"/>
      <c r="W262" s="408"/>
      <c r="X262" s="408"/>
      <c r="Y262" s="408"/>
    </row>
    <row r="263">
      <c r="A263" s="409" t="s">
        <v>742</v>
      </c>
      <c r="B263" s="409" t="s">
        <v>743</v>
      </c>
      <c r="C263" s="409" t="s">
        <v>744</v>
      </c>
      <c r="D263" s="410" t="s">
        <v>745</v>
      </c>
      <c r="E263" s="411" t="s">
        <v>746</v>
      </c>
      <c r="F263" s="463" t="s">
        <v>792</v>
      </c>
      <c r="G263" s="410" t="s">
        <v>747</v>
      </c>
      <c r="H263" s="412" t="s">
        <v>748</v>
      </c>
      <c r="I263" s="413" t="s">
        <v>749</v>
      </c>
      <c r="J263" s="410" t="s">
        <v>750</v>
      </c>
      <c r="K263" s="414" t="s">
        <v>751</v>
      </c>
      <c r="L263" s="415" t="s">
        <v>752</v>
      </c>
      <c r="M263" s="414" t="s">
        <v>753</v>
      </c>
      <c r="N263" s="414" t="s">
        <v>754</v>
      </c>
      <c r="O263" s="416" t="s">
        <v>755</v>
      </c>
      <c r="P263" s="416" t="s">
        <v>756</v>
      </c>
      <c r="Q263" s="417" t="s">
        <v>757</v>
      </c>
      <c r="R263" s="417" t="s">
        <v>758</v>
      </c>
      <c r="S263" s="431" t="s">
        <v>759</v>
      </c>
      <c r="T263" s="431" t="s">
        <v>760</v>
      </c>
      <c r="U263" s="431" t="s">
        <v>761</v>
      </c>
      <c r="V263" s="431" t="s">
        <v>762</v>
      </c>
      <c r="W263" s="431" t="s">
        <v>763</v>
      </c>
      <c r="X263" s="431" t="s">
        <v>764</v>
      </c>
      <c r="Y263" s="419" t="s">
        <v>765</v>
      </c>
    </row>
    <row r="264">
      <c r="A264" s="420" t="s">
        <v>839</v>
      </c>
      <c r="B264" s="421" t="s">
        <v>775</v>
      </c>
      <c r="C264" s="451" t="s">
        <v>794</v>
      </c>
      <c r="D264" s="421">
        <v>3241.29</v>
      </c>
      <c r="E264" s="423">
        <v>3</v>
      </c>
      <c r="F264" s="423">
        <v>3</v>
      </c>
      <c r="G264" s="467">
        <v>2348.8</v>
      </c>
      <c r="H264" s="424">
        <f>G264/D264</f>
      </c>
      <c r="I264" s="424">
        <f>D264/E264</f>
      </c>
      <c r="J264" s="424">
        <f>G264/E264</f>
      </c>
      <c r="K264" s="425">
        <f t="shared" ref="K264:K284" si="115">T264/S264</f>
      </c>
      <c r="L264" s="426">
        <f t="shared" ref="L264:L284" si="175">D264/U264</f>
      </c>
      <c r="M264" s="427">
        <f t="shared" ref="M264:M284" si="145">V264/U264</f>
      </c>
      <c r="N264" s="427">
        <f t="shared" ref="N264:N284" si="205">E264/W264</f>
      </c>
      <c r="O264" s="427">
        <f t="shared" ref="O264:O284" si="258">X264/E264</f>
      </c>
      <c r="P264" s="428">
        <f t="shared" ref="P264:P284" si="311">(Y264*1000)/D264</f>
      </c>
      <c r="Q264" s="429" t="s">
        <v>769</v>
      </c>
      <c r="R264" s="430" t="s">
        <v>800</v>
      </c>
      <c r="S264" s="461">
        <v>13360</v>
      </c>
      <c r="T264" s="461">
        <v>1780</v>
      </c>
      <c r="U264" s="461">
        <v>2368</v>
      </c>
      <c r="V264" s="461">
        <v>265</v>
      </c>
      <c r="W264" s="461">
        <v>5</v>
      </c>
      <c r="X264" s="461">
        <v>0</v>
      </c>
      <c r="Y264" s="461">
        <v>60</v>
      </c>
    </row>
    <row r="265">
      <c r="A265" s="420"/>
      <c r="B265" s="421" t="s">
        <v>775</v>
      </c>
      <c r="C265" s="421" t="s">
        <v>796</v>
      </c>
      <c r="D265" s="421">
        <v>4786.89</v>
      </c>
      <c r="E265" s="423">
        <v>3</v>
      </c>
      <c r="F265" s="423">
        <v>3</v>
      </c>
      <c r="G265" s="467">
        <v>2252.4</v>
      </c>
      <c r="H265" s="424">
        <v>1557</v>
      </c>
      <c r="I265" s="424">
        <v>2161</v>
      </c>
      <c r="J265" s="424">
        <v>234</v>
      </c>
      <c r="K265" s="425">
        <f t="shared" si="115"/>
      </c>
      <c r="L265" s="426">
        <f t="shared" si="175"/>
      </c>
      <c r="M265" s="427">
        <f t="shared" si="145"/>
      </c>
      <c r="N265" s="427">
        <f t="shared" si="205"/>
      </c>
      <c r="O265" s="427">
        <f t="shared" si="258"/>
      </c>
      <c r="P265" s="428">
        <f t="shared" si="311"/>
      </c>
      <c r="Q265" s="429" t="s">
        <v>769</v>
      </c>
      <c r="R265" s="430" t="s">
        <v>800</v>
      </c>
      <c r="S265" s="461">
        <v>12348</v>
      </c>
      <c r="T265" s="461">
        <v>1557</v>
      </c>
      <c r="U265" s="461">
        <v>2161</v>
      </c>
      <c r="V265" s="461">
        <v>234</v>
      </c>
      <c r="W265" s="461">
        <v>7</v>
      </c>
      <c r="X265" s="461">
        <v>0</v>
      </c>
      <c r="Y265" s="461">
        <v>55</v>
      </c>
    </row>
    <row r="266">
      <c r="A266" s="420"/>
      <c r="B266" s="421" t="s">
        <v>775</v>
      </c>
      <c r="C266" s="421" t="s">
        <v>797</v>
      </c>
      <c r="D266" s="421">
        <v>3824.93</v>
      </c>
      <c r="E266" s="423">
        <v>5</v>
      </c>
      <c r="F266" s="423">
        <v>4</v>
      </c>
      <c r="G266" s="467">
        <v>4316.4</v>
      </c>
      <c r="H266" s="424">
        <f t="shared" ref="H266:H284" si="364">G266/D266</f>
      </c>
      <c r="I266" s="424">
        <f t="shared" ref="I266:I284" si="12">D266/E266</f>
      </c>
      <c r="J266" s="424">
        <f t="shared" ref="J266:J284" si="75">G266/E266</f>
      </c>
      <c r="K266" s="425">
        <f t="shared" si="115"/>
      </c>
      <c r="L266" s="426">
        <f t="shared" si="175"/>
      </c>
      <c r="M266" s="427">
        <f t="shared" si="145"/>
      </c>
      <c r="N266" s="427">
        <f t="shared" si="205"/>
      </c>
      <c r="O266" s="427">
        <f t="shared" si="258"/>
      </c>
      <c r="P266" s="428">
        <f t="shared" si="311"/>
      </c>
      <c r="Q266" s="429" t="s">
        <v>769</v>
      </c>
      <c r="R266" s="430" t="s">
        <v>800</v>
      </c>
      <c r="S266" s="461">
        <v>9486</v>
      </c>
      <c r="T266" s="461">
        <v>1082</v>
      </c>
      <c r="U266" s="461">
        <v>1489</v>
      </c>
      <c r="V266" s="461">
        <v>184</v>
      </c>
      <c r="W266" s="461">
        <v>6</v>
      </c>
      <c r="X266" s="461">
        <v>0</v>
      </c>
      <c r="Y266" s="461">
        <v>52</v>
      </c>
    </row>
    <row r="267">
      <c r="A267" s="420"/>
      <c r="B267" s="421" t="s">
        <v>775</v>
      </c>
      <c r="C267" s="421" t="s">
        <v>798</v>
      </c>
      <c r="D267" s="421">
        <v>2723.95</v>
      </c>
      <c r="E267" s="423">
        <v>3</v>
      </c>
      <c r="F267" s="423">
        <v>3</v>
      </c>
      <c r="G267" s="462">
        <v>6939.6</v>
      </c>
      <c r="H267" s="424">
        <f t="shared" si="364"/>
      </c>
      <c r="I267" s="424">
        <f t="shared" si="12"/>
      </c>
      <c r="J267" s="424">
        <f t="shared" si="75"/>
      </c>
      <c r="K267" s="425">
        <f t="shared" si="115"/>
      </c>
      <c r="L267" s="426">
        <f t="shared" si="175"/>
      </c>
      <c r="M267" s="427">
        <f t="shared" si="145"/>
      </c>
      <c r="N267" s="427">
        <f t="shared" si="205"/>
      </c>
      <c r="O267" s="427">
        <f t="shared" si="258"/>
      </c>
      <c r="P267" s="428">
        <f t="shared" si="311"/>
      </c>
      <c r="Q267" s="429" t="s">
        <v>769</v>
      </c>
      <c r="R267" s="430" t="s">
        <v>800</v>
      </c>
      <c r="S267" s="461">
        <v>6894</v>
      </c>
      <c r="T267" s="461">
        <v>711</v>
      </c>
      <c r="U267" s="461">
        <v>959</v>
      </c>
      <c r="V267" s="461">
        <v>116</v>
      </c>
      <c r="W267" s="461">
        <v>3</v>
      </c>
      <c r="X267" s="435">
        <v>1</v>
      </c>
      <c r="Y267" s="435">
        <v>33</v>
      </c>
    </row>
    <row r="268">
      <c r="A268" s="420"/>
      <c r="B268" s="437" t="s">
        <v>774</v>
      </c>
      <c r="C268" s="437"/>
      <c r="D268" s="438">
        <f>SUM(D264:D267)</f>
      </c>
      <c r="E268" s="439">
        <f>SUM(E264:E267)</f>
      </c>
      <c r="F268" s="439">
        <f>SUM(F264:F267)</f>
      </c>
      <c r="G268" s="438">
        <f>SUM(G264:G267)</f>
      </c>
      <c r="H268" s="440">
        <f t="shared" si="364"/>
      </c>
      <c r="I268" s="441">
        <f t="shared" si="12"/>
      </c>
      <c r="J268" s="442">
        <f t="shared" si="75"/>
      </c>
      <c r="K268" s="443">
        <f t="shared" si="115"/>
      </c>
      <c r="L268" s="444">
        <f t="shared" si="175"/>
      </c>
      <c r="M268" s="443">
        <f t="shared" si="145"/>
      </c>
      <c r="N268" s="443">
        <f t="shared" si="205"/>
      </c>
      <c r="O268" s="445">
        <f t="shared" si="258"/>
      </c>
      <c r="P268" s="446">
        <f t="shared" si="311"/>
      </c>
      <c r="Q268" s="444"/>
      <c r="R268" s="444"/>
      <c r="S268" s="447">
        <f>SUM(S264:S267)</f>
      </c>
      <c r="T268" s="447">
        <f>SUM(T264:T267)</f>
      </c>
      <c r="U268" s="447">
        <f>SUM(U264:U267)</f>
      </c>
      <c r="V268" s="447">
        <f>SUM(V264:V267)</f>
      </c>
      <c r="W268" s="447">
        <f>SUM(W264:W267)</f>
      </c>
      <c r="X268" s="447">
        <f>SUM(X264:X267)</f>
      </c>
      <c r="Y268" s="447">
        <f>SUM(Y264:Y267)</f>
      </c>
    </row>
    <row r="269">
      <c r="A269" s="420"/>
      <c r="B269" s="421" t="s">
        <v>767</v>
      </c>
      <c r="C269" s="422" t="s">
        <v>768</v>
      </c>
      <c r="D269" s="421">
        <v>3215.99</v>
      </c>
      <c r="E269" s="423">
        <v>1</v>
      </c>
      <c r="F269" s="423">
        <v>1</v>
      </c>
      <c r="G269" s="468">
        <v>1098</v>
      </c>
      <c r="H269" s="424">
        <f t="shared" si="364"/>
      </c>
      <c r="I269" s="424">
        <f t="shared" si="12"/>
      </c>
      <c r="J269" s="424">
        <f t="shared" si="75"/>
      </c>
      <c r="K269" s="425">
        <f t="shared" si="115"/>
      </c>
      <c r="L269" s="426">
        <f t="shared" si="175"/>
      </c>
      <c r="M269" s="427">
        <f t="shared" si="145"/>
      </c>
      <c r="N269" s="427">
        <f t="shared" si="205"/>
      </c>
      <c r="O269" s="427">
        <f t="shared" si="258"/>
      </c>
      <c r="P269" s="428">
        <f t="shared" si="311"/>
      </c>
      <c r="Q269" s="429" t="s">
        <v>777</v>
      </c>
      <c r="R269" s="430" t="s">
        <v>800</v>
      </c>
      <c r="S269" s="436">
        <v>9265</v>
      </c>
      <c r="T269" s="436">
        <v>1056</v>
      </c>
      <c r="U269" s="436">
        <v>1423</v>
      </c>
      <c r="V269" s="436">
        <v>158</v>
      </c>
      <c r="W269" s="435">
        <v>4</v>
      </c>
      <c r="X269" s="435">
        <v>0</v>
      </c>
      <c r="Y269" s="448">
        <v>49</v>
      </c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</row>
    <row r="270">
      <c r="A270" s="420"/>
      <c r="B270" s="421" t="s">
        <v>767</v>
      </c>
      <c r="C270" s="433" t="s">
        <v>771</v>
      </c>
      <c r="D270" s="421">
        <v>2665.8</v>
      </c>
      <c r="E270" s="423">
        <v>1</v>
      </c>
      <c r="F270" s="423">
        <v>1</v>
      </c>
      <c r="G270" s="468">
        <v>382.8</v>
      </c>
      <c r="H270" s="424">
        <f t="shared" si="364"/>
      </c>
      <c r="I270" s="424">
        <f t="shared" si="12"/>
      </c>
      <c r="J270" s="424">
        <f t="shared" si="75"/>
      </c>
      <c r="K270" s="425">
        <f t="shared" si="115"/>
      </c>
      <c r="L270" s="426">
        <f t="shared" si="175"/>
      </c>
      <c r="M270" s="427">
        <f t="shared" si="145"/>
      </c>
      <c r="N270" s="427">
        <f t="shared" si="205"/>
      </c>
      <c r="O270" s="427">
        <f t="shared" si="258"/>
      </c>
      <c r="P270" s="428">
        <f t="shared" si="311"/>
      </c>
      <c r="Q270" s="429" t="s">
        <v>777</v>
      </c>
      <c r="R270" s="430" t="s">
        <v>800</v>
      </c>
      <c r="S270" s="436">
        <v>7959</v>
      </c>
      <c r="T270" s="436">
        <v>1057</v>
      </c>
      <c r="U270" s="436">
        <v>1412</v>
      </c>
      <c r="V270" s="436">
        <v>118</v>
      </c>
      <c r="W270" s="435">
        <v>2</v>
      </c>
      <c r="X270" s="435">
        <v>0</v>
      </c>
      <c r="Y270" s="448">
        <v>21</v>
      </c>
      <c r="Z270" s="486"/>
      <c r="AA270" s="487" t="s">
        <v>840</v>
      </c>
      <c r="AB270" s="487"/>
      <c r="AC270" s="487"/>
      <c r="AD270" s="487"/>
      <c r="AE270" s="487"/>
      <c r="AF270" s="487"/>
      <c r="AG270" s="487"/>
      <c r="AH270" s="487"/>
      <c r="AI270" s="487"/>
      <c r="AJ270" s="487"/>
      <c r="AK270" s="487"/>
    </row>
    <row r="271">
      <c r="A271" s="420"/>
      <c r="B271" s="421" t="s">
        <v>767</v>
      </c>
      <c r="C271" s="433" t="s">
        <v>772</v>
      </c>
      <c r="D271" s="421">
        <v>2754.89</v>
      </c>
      <c r="E271" s="423">
        <v>1</v>
      </c>
      <c r="F271" s="423">
        <v>1</v>
      </c>
      <c r="G271" s="467">
        <v>1750.8</v>
      </c>
      <c r="H271" s="424">
        <f t="shared" si="364"/>
      </c>
      <c r="I271" s="424">
        <f t="shared" si="12"/>
      </c>
      <c r="J271" s="424">
        <f t="shared" si="75"/>
      </c>
      <c r="K271" s="425">
        <f t="shared" si="115"/>
      </c>
      <c r="L271" s="426">
        <f t="shared" si="175"/>
      </c>
      <c r="M271" s="427">
        <f t="shared" si="145"/>
      </c>
      <c r="N271" s="427">
        <f t="shared" si="205"/>
      </c>
      <c r="O271" s="427">
        <f t="shared" si="258"/>
      </c>
      <c r="P271" s="428">
        <f t="shared" si="311"/>
      </c>
      <c r="Q271" s="429" t="s">
        <v>777</v>
      </c>
      <c r="R271" s="430" t="s">
        <v>800</v>
      </c>
      <c r="S271" s="436">
        <v>12496</v>
      </c>
      <c r="T271" s="436">
        <v>1410</v>
      </c>
      <c r="U271" s="436">
        <v>1871</v>
      </c>
      <c r="V271" s="436">
        <v>179</v>
      </c>
      <c r="W271" s="435">
        <v>2</v>
      </c>
      <c r="X271" s="435">
        <v>0</v>
      </c>
      <c r="Y271" s="448">
        <v>60</v>
      </c>
      <c r="Z271" s="486"/>
      <c r="AA271" s="489" t="s">
        <v>806</v>
      </c>
      <c r="AB271" s="489" t="s">
        <v>807</v>
      </c>
      <c r="AC271" s="489" t="s">
        <v>808</v>
      </c>
      <c r="AD271" s="489" t="s">
        <v>809</v>
      </c>
      <c r="AE271" s="489" t="s">
        <v>810</v>
      </c>
      <c r="AF271" s="489" t="s">
        <v>811</v>
      </c>
      <c r="AG271" s="489" t="s">
        <v>750</v>
      </c>
      <c r="AH271" s="489" t="s">
        <v>812</v>
      </c>
      <c r="AI271" s="489" t="s">
        <v>748</v>
      </c>
      <c r="AJ271" s="489" t="s">
        <v>813</v>
      </c>
      <c r="AK271" s="489"/>
    </row>
    <row r="272">
      <c r="A272" s="420"/>
      <c r="B272" s="421" t="s">
        <v>767</v>
      </c>
      <c r="C272" s="433" t="s">
        <v>773</v>
      </c>
      <c r="D272" s="421">
        <v>2458.48</v>
      </c>
      <c r="E272" s="423">
        <v>3</v>
      </c>
      <c r="F272" s="423">
        <v>1</v>
      </c>
      <c r="G272" s="467">
        <v>1500</v>
      </c>
      <c r="H272" s="424">
        <f t="shared" si="364"/>
      </c>
      <c r="I272" s="424">
        <f t="shared" si="12"/>
      </c>
      <c r="J272" s="424">
        <f t="shared" si="75"/>
      </c>
      <c r="K272" s="425">
        <f t="shared" si="115"/>
      </c>
      <c r="L272" s="426">
        <f t="shared" si="175"/>
      </c>
      <c r="M272" s="427">
        <f t="shared" si="145"/>
      </c>
      <c r="N272" s="427">
        <f t="shared" si="205"/>
      </c>
      <c r="O272" s="427">
        <f t="shared" si="258"/>
      </c>
      <c r="P272" s="428">
        <f t="shared" si="311"/>
      </c>
      <c r="Q272" s="429" t="s">
        <v>777</v>
      </c>
      <c r="R272" s="430" t="s">
        <v>800</v>
      </c>
      <c r="S272" s="436">
        <v>13497</v>
      </c>
      <c r="T272" s="436">
        <v>1561</v>
      </c>
      <c r="U272" s="436">
        <v>2038</v>
      </c>
      <c r="V272" s="436">
        <v>202</v>
      </c>
      <c r="W272" s="435">
        <v>3</v>
      </c>
      <c r="X272" s="435">
        <v>0</v>
      </c>
      <c r="Y272" s="448">
        <v>52</v>
      </c>
      <c r="Z272" s="486"/>
      <c r="AA272" s="490" t="s">
        <v>775</v>
      </c>
      <c r="AB272" s="491" t="s">
        <v>814</v>
      </c>
      <c r="AC272" s="492">
        <v>4</v>
      </c>
      <c r="AD272" s="490">
        <v>14577.06</v>
      </c>
      <c r="AE272" s="490">
        <v>15857.2</v>
      </c>
      <c r="AF272" s="490">
        <v>14</v>
      </c>
      <c r="AG272" s="493">
        <f t="shared" ref="AG272:AG275" si="228">AE272/AF272</f>
      </c>
      <c r="AH272" s="493">
        <f t="shared" ref="AH272:AH275" si="281">AD272/AF272</f>
      </c>
      <c r="AI272" s="493">
        <f t="shared" ref="AI272:AI275" si="334">AE272/AD272</f>
      </c>
      <c r="AJ272" s="492">
        <f>AD272/AC272</f>
      </c>
      <c r="AK272" s="492"/>
    </row>
    <row r="273">
      <c r="A273" s="420"/>
      <c r="B273" s="437" t="s">
        <v>774</v>
      </c>
      <c r="C273" s="437"/>
      <c r="D273" s="438">
        <f>SUM(D269:D272)</f>
      </c>
      <c r="E273" s="439">
        <f>SUM(E269:E272)</f>
      </c>
      <c r="F273" s="439">
        <f>SUM(F269:F272)</f>
      </c>
      <c r="G273" s="438">
        <f>SUM(G269:G272)</f>
      </c>
      <c r="H273" s="440">
        <f t="shared" si="364"/>
      </c>
      <c r="I273" s="441">
        <f t="shared" si="12"/>
      </c>
      <c r="J273" s="442">
        <f t="shared" si="75"/>
      </c>
      <c r="K273" s="443">
        <f t="shared" si="115"/>
      </c>
      <c r="L273" s="444">
        <f t="shared" si="175"/>
      </c>
      <c r="M273" s="443">
        <f t="shared" si="145"/>
      </c>
      <c r="N273" s="443">
        <f t="shared" si="205"/>
      </c>
      <c r="O273" s="445">
        <f t="shared" si="258"/>
      </c>
      <c r="P273" s="446">
        <f t="shared" si="311"/>
      </c>
      <c r="Q273" s="444"/>
      <c r="R273" s="444"/>
      <c r="S273" s="447">
        <f>SUM(S269:S272)</f>
      </c>
      <c r="T273" s="447">
        <f>SUM(T269:T272)</f>
      </c>
      <c r="U273" s="447">
        <f>SUM(U269:U272)</f>
      </c>
      <c r="V273" s="447">
        <f>SUM(V269:V272)</f>
      </c>
      <c r="W273" s="447">
        <f>SUM(W269:W272)</f>
      </c>
      <c r="X273" s="447">
        <f>SUM(X269:X272)</f>
      </c>
      <c r="Y273" s="447">
        <f>SUM(Y269:Y272)</f>
      </c>
      <c r="Z273" s="486"/>
      <c r="AA273" s="490" t="s">
        <v>767</v>
      </c>
      <c r="AB273" s="491" t="s">
        <v>815</v>
      </c>
      <c r="AC273" s="492">
        <v>4</v>
      </c>
      <c r="AD273" s="490">
        <v>11095.16</v>
      </c>
      <c r="AE273" s="490">
        <v>4731.6</v>
      </c>
      <c r="AF273" s="490">
        <v>6</v>
      </c>
      <c r="AG273" s="493">
        <f t="shared" si="228"/>
      </c>
      <c r="AH273" s="493">
        <f t="shared" si="281"/>
      </c>
      <c r="AI273" s="493">
        <f t="shared" si="334"/>
      </c>
      <c r="AJ273" s="492">
        <f t="shared" ref="AJ273:AJ275" si="45">AD273/4</f>
      </c>
      <c r="AK273" s="492"/>
    </row>
    <row r="274">
      <c r="A274" s="420"/>
      <c r="B274" s="421" t="s">
        <v>782</v>
      </c>
      <c r="C274" s="433" t="s">
        <v>776</v>
      </c>
      <c r="D274" s="459">
        <v>1254.18</v>
      </c>
      <c r="E274" s="423">
        <v>1</v>
      </c>
      <c r="F274" s="423">
        <v>1</v>
      </c>
      <c r="G274" s="460">
        <v>402</v>
      </c>
      <c r="H274" s="424">
        <f t="shared" si="364"/>
      </c>
      <c r="I274" s="424">
        <f t="shared" si="12"/>
      </c>
      <c r="J274" s="424">
        <f t="shared" si="75"/>
      </c>
      <c r="K274" s="425">
        <f t="shared" si="115"/>
      </c>
      <c r="L274" s="426">
        <f t="shared" si="175"/>
      </c>
      <c r="M274" s="427">
        <f t="shared" si="145"/>
      </c>
      <c r="N274" s="427">
        <f t="shared" si="205"/>
      </c>
      <c r="O274" s="427">
        <f t="shared" si="258"/>
      </c>
      <c r="P274" s="428">
        <f t="shared" si="311"/>
      </c>
      <c r="Q274" s="429" t="s">
        <v>777</v>
      </c>
      <c r="R274" s="430" t="s">
        <v>778</v>
      </c>
      <c r="S274" s="436">
        <v>7086</v>
      </c>
      <c r="T274" s="436">
        <v>641</v>
      </c>
      <c r="U274" s="436">
        <v>908</v>
      </c>
      <c r="V274" s="436">
        <v>90</v>
      </c>
      <c r="W274" s="435">
        <v>2</v>
      </c>
      <c r="X274" s="435">
        <v>0</v>
      </c>
      <c r="Y274" s="448">
        <v>34</v>
      </c>
      <c r="Z274" s="486"/>
      <c r="AA274" s="490" t="s">
        <v>782</v>
      </c>
      <c r="AB274" s="491" t="s">
        <v>816</v>
      </c>
      <c r="AC274" s="492">
        <v>4</v>
      </c>
      <c r="AD274" s="490">
        <v>6195.04</v>
      </c>
      <c r="AE274" s="490">
        <v>7488</v>
      </c>
      <c r="AF274" s="490">
        <v>7</v>
      </c>
      <c r="AG274" s="493">
        <f t="shared" si="228"/>
      </c>
      <c r="AH274" s="493">
        <f t="shared" si="281"/>
      </c>
      <c r="AI274" s="493">
        <f t="shared" si="334"/>
      </c>
      <c r="AJ274" s="492">
        <f t="shared" si="45"/>
      </c>
      <c r="AK274" s="492"/>
    </row>
    <row r="275">
      <c r="A275" s="420"/>
      <c r="B275" s="421" t="s">
        <v>782</v>
      </c>
      <c r="C275" s="422" t="s">
        <v>779</v>
      </c>
      <c r="D275" s="459">
        <v>638.26</v>
      </c>
      <c r="E275" s="423">
        <v>3</v>
      </c>
      <c r="F275" s="423">
        <v>2</v>
      </c>
      <c r="G275" s="460">
        <v>3592.8</v>
      </c>
      <c r="H275" s="424">
        <f t="shared" si="364"/>
      </c>
      <c r="I275" s="424">
        <f t="shared" si="12"/>
      </c>
      <c r="J275" s="424">
        <f t="shared" si="75"/>
      </c>
      <c r="K275" s="425">
        <f t="shared" si="115"/>
      </c>
      <c r="L275" s="426">
        <f t="shared" si="175"/>
      </c>
      <c r="M275" s="427">
        <f t="shared" si="145"/>
      </c>
      <c r="N275" s="427">
        <f t="shared" si="205"/>
      </c>
      <c r="O275" s="427">
        <f t="shared" si="258"/>
      </c>
      <c r="P275" s="428">
        <f t="shared" si="311"/>
      </c>
      <c r="Q275" s="429" t="s">
        <v>777</v>
      </c>
      <c r="R275" s="430" t="s">
        <v>778</v>
      </c>
      <c r="S275" s="436">
        <v>2729</v>
      </c>
      <c r="T275" s="436">
        <v>371</v>
      </c>
      <c r="U275" s="436">
        <v>599</v>
      </c>
      <c r="V275" s="436">
        <v>80</v>
      </c>
      <c r="W275" s="435">
        <v>3</v>
      </c>
      <c r="X275" s="435">
        <v>0</v>
      </c>
      <c r="Y275" s="448">
        <v>12</v>
      </c>
      <c r="Z275" s="486"/>
      <c r="AA275" s="490" t="s">
        <v>789</v>
      </c>
      <c r="AB275" s="491" t="s">
        <v>817</v>
      </c>
      <c r="AC275" s="492">
        <v>4</v>
      </c>
      <c r="AD275" s="490">
        <v>7745.95</v>
      </c>
      <c r="AE275" s="490">
        <v>3232.8</v>
      </c>
      <c r="AF275" s="490">
        <v>6</v>
      </c>
      <c r="AG275" s="493">
        <f t="shared" si="228"/>
      </c>
      <c r="AH275" s="493">
        <f t="shared" si="281"/>
      </c>
      <c r="AI275" s="493">
        <f t="shared" si="334"/>
      </c>
      <c r="AJ275" s="492">
        <f t="shared" si="45"/>
      </c>
      <c r="AK275" s="492"/>
    </row>
    <row r="276">
      <c r="A276" s="420"/>
      <c r="B276" s="421" t="s">
        <v>782</v>
      </c>
      <c r="C276" s="422" t="s">
        <v>780</v>
      </c>
      <c r="D276" s="459">
        <v>1624.85</v>
      </c>
      <c r="E276" s="423">
        <v>0</v>
      </c>
      <c r="F276" s="423">
        <v>0</v>
      </c>
      <c r="G276" s="460">
        <v>0</v>
      </c>
      <c r="H276" s="424">
        <f t="shared" si="364"/>
      </c>
      <c r="I276" s="424">
        <f t="shared" si="12"/>
      </c>
      <c r="J276" s="424">
        <f t="shared" si="75"/>
      </c>
      <c r="K276" s="425">
        <f t="shared" si="115"/>
      </c>
      <c r="L276" s="426">
        <f t="shared" si="175"/>
      </c>
      <c r="M276" s="427">
        <f t="shared" si="145"/>
      </c>
      <c r="N276" s="427">
        <f t="shared" si="205"/>
      </c>
      <c r="O276" s="427">
        <f t="shared" si="258"/>
      </c>
      <c r="P276" s="428">
        <f t="shared" si="311"/>
      </c>
      <c r="Q276" s="429" t="s">
        <v>777</v>
      </c>
      <c r="R276" s="430" t="s">
        <v>778</v>
      </c>
      <c r="S276" s="436">
        <v>6863</v>
      </c>
      <c r="T276" s="436">
        <v>745</v>
      </c>
      <c r="U276" s="436">
        <v>1091</v>
      </c>
      <c r="V276" s="436">
        <v>99</v>
      </c>
      <c r="W276" s="435">
        <v>1</v>
      </c>
      <c r="X276" s="435">
        <v>0</v>
      </c>
      <c r="Y276" s="448">
        <v>21</v>
      </c>
      <c r="Z276" s="486"/>
      <c r="AA276" s="495" t="s">
        <v>819</v>
      </c>
      <c r="AB276" s="495"/>
      <c r="AC276" s="495"/>
      <c r="AD276" s="495"/>
      <c r="AE276" s="495"/>
      <c r="AF276" s="495"/>
      <c r="AG276" s="495"/>
      <c r="AH276" s="495"/>
      <c r="AI276" s="495"/>
      <c r="AJ276" s="495"/>
      <c r="AK276" s="495"/>
    </row>
    <row r="277">
      <c r="A277" s="420"/>
      <c r="B277" s="421" t="s">
        <v>782</v>
      </c>
      <c r="C277" s="422" t="s">
        <v>781</v>
      </c>
      <c r="D277" s="459">
        <v>2531.3</v>
      </c>
      <c r="E277" s="423">
        <v>3</v>
      </c>
      <c r="F277" s="423">
        <v>3</v>
      </c>
      <c r="G277" s="460">
        <v>3493.2</v>
      </c>
      <c r="H277" s="424">
        <f t="shared" si="364"/>
      </c>
      <c r="I277" s="424">
        <f t="shared" si="12"/>
      </c>
      <c r="J277" s="424">
        <f t="shared" si="75"/>
      </c>
      <c r="K277" s="425">
        <f t="shared" si="115"/>
      </c>
      <c r="L277" s="426">
        <f t="shared" si="175"/>
      </c>
      <c r="M277" s="427">
        <f t="shared" si="145"/>
      </c>
      <c r="N277" s="427">
        <f t="shared" si="205"/>
      </c>
      <c r="O277" s="427">
        <f t="shared" si="258"/>
      </c>
      <c r="P277" s="428">
        <f t="shared" si="311"/>
      </c>
      <c r="Q277" s="429" t="s">
        <v>777</v>
      </c>
      <c r="R277" s="430" t="s">
        <v>778</v>
      </c>
      <c r="S277" s="436">
        <v>10832</v>
      </c>
      <c r="T277" s="436">
        <v>1012</v>
      </c>
      <c r="U277" s="436">
        <v>1411</v>
      </c>
      <c r="V277" s="436">
        <v>123</v>
      </c>
      <c r="W277" s="435">
        <v>3</v>
      </c>
      <c r="X277" s="435">
        <v>0</v>
      </c>
      <c r="Y277" s="448">
        <v>36</v>
      </c>
      <c r="Z277" s="486"/>
      <c r="AA277" s="478" t="s">
        <v>809</v>
      </c>
      <c r="AB277" s="478" t="s">
        <v>820</v>
      </c>
      <c r="AC277" s="479" t="s">
        <v>821</v>
      </c>
      <c r="AD277" s="478" t="s">
        <v>822</v>
      </c>
      <c r="AE277" s="478" t="s">
        <v>823</v>
      </c>
      <c r="AF277" s="478" t="s">
        <v>824</v>
      </c>
      <c r="AG277" s="478" t="s">
        <v>825</v>
      </c>
      <c r="AH277" s="480" t="s">
        <v>764</v>
      </c>
      <c r="AI277" s="480" t="s">
        <v>826</v>
      </c>
      <c r="AJ277" s="480" t="s">
        <v>827</v>
      </c>
      <c r="AK277" s="480" t="s">
        <v>808</v>
      </c>
    </row>
    <row r="278">
      <c r="A278" s="420"/>
      <c r="B278" s="437" t="s">
        <v>774</v>
      </c>
      <c r="C278" s="437"/>
      <c r="D278" s="438">
        <f>SUM(D274:D277)</f>
      </c>
      <c r="E278" s="439">
        <f>SUM(E274:E277)</f>
      </c>
      <c r="F278" s="439">
        <f>SUM(F274:F277)</f>
      </c>
      <c r="G278" s="438">
        <f>SUM(G274:G277)</f>
      </c>
      <c r="H278" s="440">
        <f t="shared" si="364"/>
      </c>
      <c r="I278" s="441">
        <f t="shared" si="12"/>
      </c>
      <c r="J278" s="442">
        <f t="shared" si="75"/>
      </c>
      <c r="K278" s="443">
        <f t="shared" si="115"/>
      </c>
      <c r="L278" s="444">
        <f t="shared" si="175"/>
      </c>
      <c r="M278" s="443">
        <f t="shared" si="145"/>
      </c>
      <c r="N278" s="443">
        <f t="shared" si="205"/>
      </c>
      <c r="O278" s="445">
        <f t="shared" si="258"/>
      </c>
      <c r="P278" s="446">
        <f t="shared" si="311"/>
      </c>
      <c r="Q278" s="444"/>
      <c r="R278" s="444"/>
      <c r="S278" s="447">
        <f>SUM(S274:S277)</f>
      </c>
      <c r="T278" s="447">
        <f>SUM(T274:T277)</f>
      </c>
      <c r="U278" s="447">
        <f>SUM(U274:U277)</f>
      </c>
      <c r="V278" s="447">
        <f>SUM(V274:V277)</f>
      </c>
      <c r="W278" s="447">
        <f>SUM(W274:W277)</f>
      </c>
      <c r="X278" s="447">
        <f>SUM(X274:X277)</f>
      </c>
      <c r="Y278" s="447">
        <f>SUM(Y274:Y277)</f>
      </c>
      <c r="Z278" s="486"/>
      <c r="AA278" s="465">
        <f>SUM(AD272:AD275)</f>
      </c>
      <c r="AB278" s="465">
        <f>SUM(AE272:AE275)</f>
      </c>
      <c r="AC278" s="481">
        <f>AB278/((AK278*300)+AA278)</f>
      </c>
      <c r="AD278" s="482">
        <f>AA278/AJ278</f>
      </c>
      <c r="AE278" s="481">
        <f>AB278/AJ278</f>
      </c>
      <c r="AF278" s="483">
        <f>AJ278/AI278</f>
      </c>
      <c r="AG278" s="483">
        <f>AH278/AJ278</f>
      </c>
      <c r="AH278" s="484">
        <v>2</v>
      </c>
      <c r="AI278" s="484">
        <v>47</v>
      </c>
      <c r="AJ278" s="485">
        <f>SUM(AF272:AF275)</f>
      </c>
      <c r="AK278" s="485">
        <f>SUM(AC272:AC275)</f>
      </c>
    </row>
    <row r="279">
      <c r="A279" s="420"/>
      <c r="B279" s="421" t="s">
        <v>789</v>
      </c>
      <c r="C279" s="422" t="s">
        <v>783</v>
      </c>
      <c r="D279" s="459">
        <v>2689.12</v>
      </c>
      <c r="E279" s="423">
        <v>4</v>
      </c>
      <c r="F279" s="423">
        <v>0</v>
      </c>
      <c r="G279" s="460">
        <v>1927.2</v>
      </c>
      <c r="H279" s="424">
        <f t="shared" si="364"/>
      </c>
      <c r="I279" s="424">
        <f t="shared" si="12"/>
      </c>
      <c r="J279" s="424">
        <f t="shared" si="75"/>
      </c>
      <c r="K279" s="425">
        <f t="shared" si="115"/>
      </c>
      <c r="L279" s="426">
        <f t="shared" si="175"/>
      </c>
      <c r="M279" s="427">
        <f t="shared" si="145"/>
      </c>
      <c r="N279" s="427">
        <f t="shared" si="205"/>
      </c>
      <c r="O279" s="427">
        <f t="shared" si="258"/>
      </c>
      <c r="P279" s="428">
        <f t="shared" si="311"/>
      </c>
      <c r="Q279" s="429" t="s">
        <v>777</v>
      </c>
      <c r="R279" s="430" t="s">
        <v>778</v>
      </c>
      <c r="S279" s="436">
        <v>11029</v>
      </c>
      <c r="T279" s="436">
        <v>1020</v>
      </c>
      <c r="U279" s="436">
        <v>1301</v>
      </c>
      <c r="V279" s="436">
        <v>128</v>
      </c>
      <c r="W279" s="435">
        <v>5</v>
      </c>
      <c r="X279" s="435">
        <v>1</v>
      </c>
      <c r="Y279" s="448">
        <v>19</v>
      </c>
      <c r="Z279" s="486"/>
    </row>
    <row r="280">
      <c r="A280" s="420"/>
      <c r="B280" s="421" t="s">
        <v>789</v>
      </c>
      <c r="C280" s="451" t="s">
        <v>784</v>
      </c>
      <c r="D280" s="459">
        <v>1712.49</v>
      </c>
      <c r="E280" s="423">
        <v>1</v>
      </c>
      <c r="F280" s="423">
        <v>1</v>
      </c>
      <c r="G280" s="460">
        <v>652.8</v>
      </c>
      <c r="H280" s="424">
        <f t="shared" si="364"/>
      </c>
      <c r="I280" s="424">
        <f t="shared" si="12"/>
      </c>
      <c r="J280" s="424">
        <f t="shared" si="75"/>
      </c>
      <c r="K280" s="425">
        <f t="shared" si="115"/>
      </c>
      <c r="L280" s="426">
        <f t="shared" si="175"/>
      </c>
      <c r="M280" s="427">
        <f t="shared" si="145"/>
      </c>
      <c r="N280" s="427">
        <f t="shared" si="205"/>
      </c>
      <c r="O280" s="427">
        <f t="shared" si="258"/>
      </c>
      <c r="P280" s="428">
        <f t="shared" si="311"/>
      </c>
      <c r="Q280" s="429" t="s">
        <v>777</v>
      </c>
      <c r="R280" s="430" t="s">
        <v>778</v>
      </c>
      <c r="S280" s="436">
        <v>6301</v>
      </c>
      <c r="T280" s="436">
        <v>865</v>
      </c>
      <c r="U280" s="436">
        <v>1101</v>
      </c>
      <c r="V280" s="436">
        <v>68</v>
      </c>
      <c r="W280" s="435">
        <v>1</v>
      </c>
      <c r="X280" s="435">
        <v>0</v>
      </c>
      <c r="Y280" s="448">
        <v>13</v>
      </c>
    </row>
    <row r="281">
      <c r="A281" s="420"/>
      <c r="B281" s="421" t="s">
        <v>789</v>
      </c>
      <c r="C281" s="451" t="s">
        <v>785</v>
      </c>
      <c r="D281" s="459">
        <v>2824.97</v>
      </c>
      <c r="E281" s="423">
        <v>0</v>
      </c>
      <c r="F281" s="423">
        <v>0</v>
      </c>
      <c r="G281" s="460">
        <v>0</v>
      </c>
      <c r="H281" s="424">
        <f t="shared" si="364"/>
      </c>
      <c r="I281" s="424">
        <f t="shared" si="12"/>
      </c>
      <c r="J281" s="424">
        <f t="shared" si="75"/>
      </c>
      <c r="K281" s="425">
        <f t="shared" si="115"/>
      </c>
      <c r="L281" s="426">
        <f t="shared" si="175"/>
      </c>
      <c r="M281" s="427">
        <f t="shared" si="145"/>
      </c>
      <c r="N281" s="427">
        <f t="shared" si="205"/>
      </c>
      <c r="O281" s="427">
        <f t="shared" si="258"/>
      </c>
      <c r="P281" s="428">
        <f t="shared" si="311"/>
      </c>
      <c r="Q281" s="429" t="s">
        <v>777</v>
      </c>
      <c r="R281" s="430" t="s">
        <v>778</v>
      </c>
      <c r="S281" s="436">
        <v>10959</v>
      </c>
      <c r="T281" s="436">
        <v>1263</v>
      </c>
      <c r="U281" s="436">
        <v>1599</v>
      </c>
      <c r="V281" s="436">
        <v>115</v>
      </c>
      <c r="W281" s="435">
        <v>1</v>
      </c>
      <c r="X281" s="435">
        <v>0</v>
      </c>
      <c r="Y281" s="448">
        <v>24</v>
      </c>
    </row>
    <row r="282">
      <c r="A282" s="420"/>
      <c r="B282" s="421" t="s">
        <v>789</v>
      </c>
      <c r="C282" s="451" t="s">
        <v>786</v>
      </c>
      <c r="D282" s="459">
        <v>665.82</v>
      </c>
      <c r="E282" s="423">
        <v>1</v>
      </c>
      <c r="F282" s="423">
        <v>1</v>
      </c>
      <c r="G282" s="460">
        <v>652.8</v>
      </c>
      <c r="H282" s="424">
        <f t="shared" si="364"/>
      </c>
      <c r="I282" s="424">
        <f t="shared" si="12"/>
      </c>
      <c r="J282" s="424">
        <f t="shared" si="75"/>
      </c>
      <c r="K282" s="425">
        <f t="shared" si="115"/>
      </c>
      <c r="L282" s="426">
        <f t="shared" si="175"/>
      </c>
      <c r="M282" s="427">
        <f t="shared" si="145"/>
      </c>
      <c r="N282" s="427">
        <f t="shared" si="205"/>
      </c>
      <c r="O282" s="427">
        <f t="shared" si="258"/>
      </c>
      <c r="P282" s="428">
        <f t="shared" si="311"/>
      </c>
      <c r="Q282" s="429" t="s">
        <v>777</v>
      </c>
      <c r="R282" s="430" t="s">
        <v>778</v>
      </c>
      <c r="S282" s="436">
        <v>3620</v>
      </c>
      <c r="T282" s="436">
        <v>457</v>
      </c>
      <c r="U282" s="436">
        <v>609</v>
      </c>
      <c r="V282" s="436">
        <v>43</v>
      </c>
      <c r="W282" s="435">
        <v>2</v>
      </c>
      <c r="X282" s="435">
        <v>0</v>
      </c>
      <c r="Y282" s="448">
        <v>14</v>
      </c>
      <c r="AB282" s="497"/>
      <c r="AC282" s="486"/>
      <c r="AD282" s="486"/>
    </row>
    <row r="283">
      <c r="A283" s="420"/>
      <c r="B283" s="437" t="s">
        <v>774</v>
      </c>
      <c r="C283" s="437"/>
      <c r="D283" s="438">
        <f>SUM(D279:D282)</f>
      </c>
      <c r="E283" s="438">
        <f>SUM(E279:E282)</f>
      </c>
      <c r="F283" s="438">
        <f>SUM(F279:F282)</f>
      </c>
      <c r="G283" s="438">
        <f>SUM(G279:G282)</f>
      </c>
      <c r="H283" s="440">
        <f t="shared" si="364"/>
      </c>
      <c r="I283" s="441">
        <f t="shared" si="12"/>
      </c>
      <c r="J283" s="442">
        <f t="shared" si="75"/>
      </c>
      <c r="K283" s="443">
        <f t="shared" si="115"/>
      </c>
      <c r="L283" s="444">
        <f t="shared" si="175"/>
      </c>
      <c r="M283" s="443">
        <f t="shared" si="145"/>
      </c>
      <c r="N283" s="443">
        <f t="shared" si="205"/>
      </c>
      <c r="O283" s="445">
        <f t="shared" si="258"/>
      </c>
      <c r="P283" s="446">
        <f t="shared" si="311"/>
      </c>
      <c r="Q283" s="444"/>
      <c r="R283" s="444"/>
      <c r="S283" s="447">
        <f>SUM(S279:S282)</f>
      </c>
      <c r="T283" s="447">
        <f>SUM(T279:T282)</f>
      </c>
      <c r="U283" s="447">
        <f>SUM(U279:U282)</f>
      </c>
      <c r="V283" s="447">
        <f>SUM(V279:V282)</f>
      </c>
      <c r="W283" s="447">
        <f>SUM(W279:W282)</f>
      </c>
      <c r="X283" s="447">
        <f>SUM(X279:X282)</f>
      </c>
      <c r="Y283" s="447">
        <f>SUM(Y279:Y282)</f>
      </c>
      <c r="AB283" s="497"/>
      <c r="AC283" s="497"/>
    </row>
    <row r="284">
      <c r="A284" s="420"/>
      <c r="B284" s="452" t="s">
        <v>787</v>
      </c>
      <c r="C284" s="452"/>
      <c r="D284" s="466">
        <f>D268+D273+D283+D278</f>
      </c>
      <c r="E284" s="466">
        <f>E268+E273+E283+E278</f>
      </c>
      <c r="F284" s="466">
        <f>F268+F273+F283+F278</f>
      </c>
      <c r="G284" s="466">
        <f>G268+G273+G283+G278</f>
      </c>
      <c r="H284" s="452">
        <f t="shared" si="364"/>
      </c>
      <c r="I284" s="452">
        <f t="shared" si="12"/>
      </c>
      <c r="J284" s="452">
        <f t="shared" si="75"/>
      </c>
      <c r="K284" s="455">
        <f t="shared" si="115"/>
      </c>
      <c r="L284" s="452">
        <f t="shared" si="175"/>
      </c>
      <c r="M284" s="455">
        <f t="shared" si="145"/>
      </c>
      <c r="N284" s="455">
        <f t="shared" si="205"/>
      </c>
      <c r="O284" s="455">
        <f t="shared" si="258"/>
      </c>
      <c r="P284" s="452">
        <f t="shared" si="311"/>
      </c>
      <c r="Q284" s="456"/>
      <c r="R284" s="456"/>
      <c r="S284" s="454">
        <f>S268+S273+S283+S278</f>
      </c>
      <c r="T284" s="454">
        <f>T268+T273+T283+T278</f>
      </c>
      <c r="U284" s="454">
        <f>U268+U273+U283+U278</f>
      </c>
      <c r="V284" s="454">
        <f>V268+V273+V283+V278</f>
      </c>
      <c r="W284" s="454">
        <f>W268+W273+W283+W278</f>
      </c>
      <c r="X284" s="454">
        <f>X268+X273+X283+X278</f>
      </c>
      <c r="Y284" s="454">
        <f>Y268+Y273+Y283+Y278</f>
      </c>
      <c r="AC284" s="486"/>
      <c r="AD284" s="486"/>
    </row>
    <row r="285">
      <c r="A285" s="405" t="s">
        <v>738</v>
      </c>
      <c r="B285" s="405"/>
      <c r="C285" s="405"/>
      <c r="D285" s="406" t="s">
        <v>739</v>
      </c>
      <c r="E285" s="406"/>
      <c r="F285" s="406"/>
      <c r="G285" s="406"/>
      <c r="H285" s="406"/>
      <c r="I285" s="406"/>
      <c r="J285" s="406"/>
      <c r="K285" s="407" t="s">
        <v>740</v>
      </c>
      <c r="L285" s="407"/>
      <c r="M285" s="407"/>
      <c r="N285" s="407"/>
      <c r="O285" s="407"/>
      <c r="P285" s="407"/>
      <c r="Q285" s="407"/>
      <c r="R285" s="407"/>
      <c r="S285" s="408" t="s">
        <v>741</v>
      </c>
      <c r="T285" s="408"/>
      <c r="U285" s="408"/>
      <c r="V285" s="408"/>
      <c r="W285" s="408"/>
      <c r="X285" s="408"/>
      <c r="Y285" s="408"/>
    </row>
    <row r="286">
      <c r="A286" s="409" t="s">
        <v>742</v>
      </c>
      <c r="B286" s="409" t="s">
        <v>743</v>
      </c>
      <c r="C286" s="409" t="s">
        <v>744</v>
      </c>
      <c r="D286" s="410" t="s">
        <v>745</v>
      </c>
      <c r="E286" s="411" t="s">
        <v>746</v>
      </c>
      <c r="F286" s="463" t="s">
        <v>792</v>
      </c>
      <c r="G286" s="410" t="s">
        <v>747</v>
      </c>
      <c r="H286" s="412" t="s">
        <v>748</v>
      </c>
      <c r="I286" s="413" t="s">
        <v>749</v>
      </c>
      <c r="J286" s="410" t="s">
        <v>750</v>
      </c>
      <c r="K286" s="414" t="s">
        <v>751</v>
      </c>
      <c r="L286" s="415" t="s">
        <v>752</v>
      </c>
      <c r="M286" s="414" t="s">
        <v>753</v>
      </c>
      <c r="N286" s="414" t="s">
        <v>754</v>
      </c>
      <c r="O286" s="416" t="s">
        <v>755</v>
      </c>
      <c r="P286" s="416" t="s">
        <v>756</v>
      </c>
      <c r="Q286" s="417" t="s">
        <v>757</v>
      </c>
      <c r="R286" s="417" t="s">
        <v>758</v>
      </c>
      <c r="S286" s="431" t="s">
        <v>759</v>
      </c>
      <c r="T286" s="431" t="s">
        <v>760</v>
      </c>
      <c r="U286" s="431" t="s">
        <v>761</v>
      </c>
      <c r="V286" s="431" t="s">
        <v>762</v>
      </c>
      <c r="W286" s="431" t="s">
        <v>763</v>
      </c>
      <c r="X286" s="431" t="s">
        <v>764</v>
      </c>
      <c r="Y286" s="419" t="s">
        <v>765</v>
      </c>
    </row>
    <row r="287">
      <c r="A287" s="420" t="s">
        <v>841</v>
      </c>
      <c r="B287" s="421" t="s">
        <v>775</v>
      </c>
      <c r="C287" s="451" t="s">
        <v>794</v>
      </c>
      <c r="D287" s="421">
        <v>1299.76</v>
      </c>
      <c r="E287" s="423">
        <v>1</v>
      </c>
      <c r="F287" s="423">
        <v>1</v>
      </c>
      <c r="G287" s="467">
        <v>1197.6</v>
      </c>
      <c r="H287" s="424">
        <f t="shared" ref="H287:H307" si="365">G287/D287</f>
      </c>
      <c r="I287" s="424">
        <f>D287/E287</f>
      </c>
      <c r="J287" s="424">
        <f>G287/E287</f>
      </c>
      <c r="K287" s="425">
        <f t="shared" ref="K287:K307" si="116">T287/S287</f>
      </c>
      <c r="L287" s="426">
        <f t="shared" ref="L287:L307" si="176">D287/U287</f>
      </c>
      <c r="M287" s="427">
        <f t="shared" ref="M287:M307" si="146">V287/U287</f>
      </c>
      <c r="N287" s="427">
        <f t="shared" ref="N287:N307" si="206">E287/W287</f>
      </c>
      <c r="O287" s="427">
        <f t="shared" ref="O287:O307" si="259">X287/E287</f>
      </c>
      <c r="P287" s="428">
        <f t="shared" ref="P287:P307" si="312">(Y287*1000)/D287</f>
      </c>
      <c r="Q287" s="429" t="s">
        <v>769</v>
      </c>
      <c r="R287" s="430" t="s">
        <v>800</v>
      </c>
      <c r="S287" s="461">
        <v>5533</v>
      </c>
      <c r="T287" s="461">
        <v>847</v>
      </c>
      <c r="U287" s="461">
        <v>1162</v>
      </c>
      <c r="V287" s="461">
        <v>127</v>
      </c>
      <c r="W287" s="461">
        <v>3</v>
      </c>
      <c r="X287" s="461">
        <v>0</v>
      </c>
      <c r="Y287" s="461">
        <v>29</v>
      </c>
    </row>
    <row r="288">
      <c r="A288" s="420"/>
      <c r="B288" s="421" t="s">
        <v>775</v>
      </c>
      <c r="C288" s="421" t="s">
        <v>796</v>
      </c>
      <c r="D288" s="421">
        <v>1088.07</v>
      </c>
      <c r="E288" s="423">
        <v>0</v>
      </c>
      <c r="F288" s="423">
        <v>0</v>
      </c>
      <c r="G288" s="467">
        <v>0</v>
      </c>
      <c r="H288" s="424">
        <f t="shared" si="365"/>
      </c>
      <c r="I288" s="424">
        <v>2161</v>
      </c>
      <c r="J288" s="424">
        <v>234</v>
      </c>
      <c r="K288" s="425">
        <f t="shared" si="116"/>
      </c>
      <c r="L288" s="426">
        <f t="shared" si="176"/>
      </c>
      <c r="M288" s="427">
        <f t="shared" si="146"/>
      </c>
      <c r="N288" s="427">
        <f t="shared" si="206"/>
      </c>
      <c r="O288" s="427">
        <f t="shared" si="259"/>
      </c>
      <c r="P288" s="428">
        <f t="shared" si="312"/>
      </c>
      <c r="Q288" s="429" t="s">
        <v>769</v>
      </c>
      <c r="R288" s="430" t="s">
        <v>800</v>
      </c>
      <c r="S288" s="461">
        <v>3986</v>
      </c>
      <c r="T288" s="461">
        <v>589</v>
      </c>
      <c r="U288" s="461">
        <v>981</v>
      </c>
      <c r="V288" s="461">
        <v>139</v>
      </c>
      <c r="W288" s="461">
        <v>1</v>
      </c>
      <c r="X288" s="461">
        <v>0</v>
      </c>
      <c r="Y288" s="461">
        <v>22</v>
      </c>
    </row>
    <row r="289">
      <c r="A289" s="420"/>
      <c r="B289" s="421" t="s">
        <v>775</v>
      </c>
      <c r="C289" s="421" t="s">
        <v>797</v>
      </c>
      <c r="D289" s="421">
        <v>1702.29</v>
      </c>
      <c r="E289" s="423">
        <v>1</v>
      </c>
      <c r="F289" s="423">
        <v>1</v>
      </c>
      <c r="G289" s="467">
        <v>652.8</v>
      </c>
      <c r="H289" s="424">
        <f t="shared" si="365"/>
      </c>
      <c r="I289" s="424">
        <f t="shared" ref="I289:I293" si="13">D289/E289</f>
      </c>
      <c r="J289" s="424">
        <f t="shared" ref="J289:J293" si="76">G289/E289</f>
      </c>
      <c r="K289" s="425">
        <f t="shared" si="116"/>
      </c>
      <c r="L289" s="426">
        <f t="shared" si="176"/>
      </c>
      <c r="M289" s="427">
        <f t="shared" si="146"/>
      </c>
      <c r="N289" s="427">
        <f t="shared" si="206"/>
      </c>
      <c r="O289" s="427">
        <f t="shared" si="259"/>
      </c>
      <c r="P289" s="428">
        <f t="shared" si="312"/>
      </c>
      <c r="Q289" s="429" t="s">
        <v>769</v>
      </c>
      <c r="R289" s="430" t="s">
        <v>800</v>
      </c>
      <c r="S289" s="461">
        <v>3449</v>
      </c>
      <c r="T289" s="461">
        <v>522</v>
      </c>
      <c r="U289" s="461">
        <v>902</v>
      </c>
      <c r="V289" s="461">
        <v>167</v>
      </c>
      <c r="W289" s="461">
        <v>2</v>
      </c>
      <c r="X289" s="461">
        <v>0</v>
      </c>
      <c r="Y289" s="461">
        <v>20</v>
      </c>
    </row>
    <row r="290">
      <c r="A290" s="420"/>
      <c r="B290" s="421" t="s">
        <v>775</v>
      </c>
      <c r="C290" s="421" t="s">
        <v>798</v>
      </c>
      <c r="D290" s="421">
        <v>2141.65</v>
      </c>
      <c r="E290" s="423">
        <v>4</v>
      </c>
      <c r="F290" s="423">
        <v>3</v>
      </c>
      <c r="G290" s="462">
        <v>3633.6</v>
      </c>
      <c r="H290" s="424">
        <f t="shared" si="365"/>
      </c>
      <c r="I290" s="424">
        <f t="shared" si="13"/>
      </c>
      <c r="J290" s="424">
        <f t="shared" si="76"/>
      </c>
      <c r="K290" s="425">
        <f t="shared" si="116"/>
      </c>
      <c r="L290" s="426">
        <f t="shared" si="176"/>
      </c>
      <c r="M290" s="427">
        <f t="shared" si="146"/>
      </c>
      <c r="N290" s="427">
        <f t="shared" si="206"/>
      </c>
      <c r="O290" s="427">
        <f t="shared" si="259"/>
      </c>
      <c r="P290" s="428">
        <f t="shared" si="312"/>
      </c>
      <c r="Q290" s="429" t="s">
        <v>769</v>
      </c>
      <c r="R290" s="430" t="s">
        <v>800</v>
      </c>
      <c r="S290" s="461">
        <v>5163</v>
      </c>
      <c r="T290" s="461">
        <v>760</v>
      </c>
      <c r="U290" s="461">
        <v>1096</v>
      </c>
      <c r="V290" s="461">
        <v>165</v>
      </c>
      <c r="W290" s="461">
        <v>4</v>
      </c>
      <c r="X290" s="435">
        <v>0</v>
      </c>
      <c r="Y290" s="435">
        <v>24</v>
      </c>
    </row>
    <row r="291">
      <c r="A291" s="420"/>
      <c r="B291" s="437" t="s">
        <v>774</v>
      </c>
      <c r="C291" s="437"/>
      <c r="D291" s="438">
        <f>SUM(D287:D290)</f>
      </c>
      <c r="E291" s="439">
        <f>SUM(E287:E290)</f>
      </c>
      <c r="F291" s="439">
        <f>SUM(F287:F290)</f>
      </c>
      <c r="G291" s="438">
        <f>SUM(G287:G290)</f>
      </c>
      <c r="H291" s="440">
        <f t="shared" si="365"/>
      </c>
      <c r="I291" s="441">
        <f t="shared" si="13"/>
      </c>
      <c r="J291" s="442">
        <f t="shared" si="76"/>
      </c>
      <c r="K291" s="443">
        <f t="shared" si="116"/>
      </c>
      <c r="L291" s="444">
        <f t="shared" si="176"/>
      </c>
      <c r="M291" s="443">
        <f t="shared" si="146"/>
      </c>
      <c r="N291" s="443">
        <f t="shared" si="206"/>
      </c>
      <c r="O291" s="445">
        <f t="shared" si="259"/>
      </c>
      <c r="P291" s="446">
        <f t="shared" si="312"/>
      </c>
      <c r="Q291" s="444"/>
      <c r="R291" s="444"/>
      <c r="S291" s="447">
        <f>SUM(S287:S290)</f>
      </c>
      <c r="T291" s="447">
        <f>SUM(T287:T290)</f>
      </c>
      <c r="U291" s="447">
        <f>SUM(U287:U290)</f>
      </c>
      <c r="V291" s="447">
        <f>SUM(V287:V290)</f>
      </c>
      <c r="W291" s="447">
        <f>SUM(W287:W290)</f>
      </c>
      <c r="X291" s="447">
        <f>SUM(X287:X290)</f>
      </c>
      <c r="Y291" s="447">
        <f>SUM(Y287:Y290)</f>
      </c>
    </row>
    <row r="292">
      <c r="A292" s="420"/>
      <c r="B292" s="421" t="s">
        <v>782</v>
      </c>
      <c r="C292" s="422" t="s">
        <v>768</v>
      </c>
      <c r="D292" s="421">
        <v>1986.13</v>
      </c>
      <c r="E292" s="423">
        <v>4</v>
      </c>
      <c r="F292" s="423">
        <v>4</v>
      </c>
      <c r="G292" s="468">
        <v>4190.8</v>
      </c>
      <c r="H292" s="424">
        <f t="shared" si="365"/>
      </c>
      <c r="I292" s="424">
        <f t="shared" si="13"/>
      </c>
      <c r="J292" s="424">
        <f t="shared" si="76"/>
      </c>
      <c r="K292" s="425">
        <f t="shared" si="116"/>
      </c>
      <c r="L292" s="426">
        <f t="shared" si="176"/>
      </c>
      <c r="M292" s="427">
        <f t="shared" si="146"/>
      </c>
      <c r="N292" s="427">
        <f t="shared" si="206"/>
      </c>
      <c r="O292" s="427">
        <f t="shared" si="259"/>
      </c>
      <c r="P292" s="428">
        <f t="shared" si="312"/>
      </c>
      <c r="Q292" s="429" t="s">
        <v>777</v>
      </c>
      <c r="R292" s="430" t="s">
        <v>800</v>
      </c>
      <c r="S292" s="436">
        <v>6202</v>
      </c>
      <c r="T292" s="436">
        <v>852</v>
      </c>
      <c r="U292" s="436">
        <v>1150</v>
      </c>
      <c r="V292" s="436">
        <v>135</v>
      </c>
      <c r="W292" s="435">
        <v>5</v>
      </c>
      <c r="X292" s="435">
        <v>0</v>
      </c>
      <c r="Y292" s="448">
        <v>36</v>
      </c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</row>
    <row r="293">
      <c r="A293" s="420"/>
      <c r="B293" s="421" t="s">
        <v>782</v>
      </c>
      <c r="C293" s="433" t="s">
        <v>771</v>
      </c>
      <c r="D293" s="421">
        <v>2731.29</v>
      </c>
      <c r="E293" s="423">
        <v>3</v>
      </c>
      <c r="F293" s="423">
        <v>3</v>
      </c>
      <c r="G293" s="468">
        <v>5193.6</v>
      </c>
      <c r="H293" s="424">
        <f t="shared" si="365"/>
      </c>
      <c r="I293" s="424">
        <f t="shared" si="13"/>
      </c>
      <c r="J293" s="424">
        <f t="shared" si="76"/>
      </c>
      <c r="K293" s="425">
        <f t="shared" si="116"/>
      </c>
      <c r="L293" s="426">
        <f t="shared" si="176"/>
      </c>
      <c r="M293" s="427">
        <f t="shared" si="146"/>
      </c>
      <c r="N293" s="427">
        <f t="shared" si="206"/>
      </c>
      <c r="O293" s="427">
        <f t="shared" si="259"/>
      </c>
      <c r="P293" s="428">
        <f t="shared" si="312"/>
      </c>
      <c r="Q293" s="429" t="s">
        <v>777</v>
      </c>
      <c r="R293" s="430" t="s">
        <v>800</v>
      </c>
      <c r="S293" s="436">
        <v>7998</v>
      </c>
      <c r="T293" s="436">
        <v>1052</v>
      </c>
      <c r="U293" s="436">
        <v>1352</v>
      </c>
      <c r="V293" s="436">
        <v>175</v>
      </c>
      <c r="W293" s="435">
        <v>4</v>
      </c>
      <c r="X293" s="435">
        <v>1</v>
      </c>
      <c r="Y293" s="448">
        <v>39</v>
      </c>
      <c r="Z293" s="486"/>
      <c r="AA293" s="487" t="s">
        <v>842</v>
      </c>
      <c r="AB293" s="487"/>
      <c r="AC293" s="487"/>
      <c r="AD293" s="487"/>
      <c r="AE293" s="487"/>
      <c r="AF293" s="487"/>
      <c r="AG293" s="487"/>
      <c r="AH293" s="487"/>
      <c r="AI293" s="487"/>
      <c r="AJ293" s="487"/>
      <c r="AK293" s="487"/>
    </row>
    <row r="294">
      <c r="A294" s="420"/>
      <c r="B294" s="421" t="s">
        <v>782</v>
      </c>
      <c r="C294" s="433" t="s">
        <v>772</v>
      </c>
      <c r="D294" s="421">
        <v>2515.24</v>
      </c>
      <c r="E294" s="423">
        <v>2</v>
      </c>
      <c r="F294" s="423">
        <v>1</v>
      </c>
      <c r="G294" s="467">
        <v>2141.3</v>
      </c>
      <c r="H294" s="424">
        <f t="shared" si="365"/>
      </c>
      <c r="I294" s="424">
        <v>1323</v>
      </c>
      <c r="J294" s="424">
        <v>145</v>
      </c>
      <c r="K294" s="425">
        <f t="shared" si="116"/>
      </c>
      <c r="L294" s="426">
        <f t="shared" si="176"/>
      </c>
      <c r="M294" s="427">
        <f t="shared" si="146"/>
      </c>
      <c r="N294" s="427">
        <f t="shared" si="206"/>
      </c>
      <c r="O294" s="427">
        <f t="shared" si="259"/>
      </c>
      <c r="P294" s="428">
        <f t="shared" si="312"/>
      </c>
      <c r="Q294" s="429" t="s">
        <v>777</v>
      </c>
      <c r="R294" s="430" t="s">
        <v>800</v>
      </c>
      <c r="S294" s="436">
        <v>10141</v>
      </c>
      <c r="T294" s="436">
        <v>1065</v>
      </c>
      <c r="U294" s="436">
        <v>1323</v>
      </c>
      <c r="V294" s="436">
        <v>145</v>
      </c>
      <c r="W294" s="435">
        <v>2</v>
      </c>
      <c r="X294" s="435">
        <v>1</v>
      </c>
      <c r="Y294" s="448">
        <v>40</v>
      </c>
      <c r="Z294" s="486"/>
      <c r="AA294" s="489" t="s">
        <v>806</v>
      </c>
      <c r="AB294" s="489" t="s">
        <v>807</v>
      </c>
      <c r="AC294" s="489" t="s">
        <v>808</v>
      </c>
      <c r="AD294" s="489" t="s">
        <v>809</v>
      </c>
      <c r="AE294" s="489" t="s">
        <v>810</v>
      </c>
      <c r="AF294" s="489" t="s">
        <v>811</v>
      </c>
      <c r="AG294" s="489" t="s">
        <v>750</v>
      </c>
      <c r="AH294" s="489" t="s">
        <v>812</v>
      </c>
      <c r="AI294" s="489" t="s">
        <v>748</v>
      </c>
      <c r="AJ294" s="489" t="s">
        <v>813</v>
      </c>
      <c r="AK294" s="489"/>
    </row>
    <row r="295">
      <c r="A295" s="420"/>
      <c r="B295" s="421" t="s">
        <v>782</v>
      </c>
      <c r="C295" s="433" t="s">
        <v>773</v>
      </c>
      <c r="D295" s="421">
        <v>2188.7</v>
      </c>
      <c r="E295" s="423">
        <v>3</v>
      </c>
      <c r="F295" s="423">
        <v>2</v>
      </c>
      <c r="G295" s="467">
        <v>1924.8</v>
      </c>
      <c r="H295" s="424">
        <f t="shared" si="365"/>
      </c>
      <c r="I295" s="424">
        <f t="shared" ref="I295:I307" si="14">D295/E295</f>
      </c>
      <c r="J295" s="424">
        <f t="shared" ref="J295:J307" si="77">G295/E295</f>
      </c>
      <c r="K295" s="425">
        <f t="shared" si="116"/>
      </c>
      <c r="L295" s="426">
        <f t="shared" si="176"/>
      </c>
      <c r="M295" s="427">
        <f t="shared" si="146"/>
      </c>
      <c r="N295" s="427">
        <f t="shared" si="206"/>
      </c>
      <c r="O295" s="427">
        <f t="shared" si="259"/>
      </c>
      <c r="P295" s="428">
        <f t="shared" si="312"/>
      </c>
      <c r="Q295" s="429" t="s">
        <v>777</v>
      </c>
      <c r="R295" s="430" t="s">
        <v>800</v>
      </c>
      <c r="S295" s="436">
        <v>9254</v>
      </c>
      <c r="T295" s="436">
        <v>703</v>
      </c>
      <c r="U295" s="436">
        <v>899</v>
      </c>
      <c r="V295" s="436">
        <v>103</v>
      </c>
      <c r="W295" s="435">
        <v>4</v>
      </c>
      <c r="X295" s="435">
        <v>0</v>
      </c>
      <c r="Y295" s="448">
        <v>21</v>
      </c>
      <c r="Z295" s="486"/>
      <c r="AA295" s="490" t="s">
        <v>775</v>
      </c>
      <c r="AB295" s="491" t="s">
        <v>814</v>
      </c>
      <c r="AC295" s="492">
        <v>4</v>
      </c>
      <c r="AD295" s="490">
        <v>6231.77</v>
      </c>
      <c r="AE295" s="490">
        <v>5484</v>
      </c>
      <c r="AF295" s="490">
        <v>6</v>
      </c>
      <c r="AG295" s="493">
        <f t="shared" ref="AG295:AG298" si="229">AE295/AF295</f>
      </c>
      <c r="AH295" s="493">
        <f t="shared" ref="AH295:AH298" si="282">AD295/AF295</f>
      </c>
      <c r="AI295" s="493">
        <f t="shared" ref="AI295:AI298" si="335">AE295/AD295</f>
      </c>
      <c r="AJ295" s="492">
        <f>AD295/AC295</f>
      </c>
      <c r="AK295" s="492"/>
    </row>
    <row r="296">
      <c r="A296" s="420"/>
      <c r="B296" s="437" t="s">
        <v>774</v>
      </c>
      <c r="C296" s="437"/>
      <c r="D296" s="438">
        <f>SUM(D292:D295)</f>
      </c>
      <c r="E296" s="439">
        <f>SUM(E292:E295)</f>
      </c>
      <c r="F296" s="439">
        <f>SUM(F292:F295)</f>
      </c>
      <c r="G296" s="438">
        <f>SUM(G292:G295)</f>
      </c>
      <c r="H296" s="440">
        <f t="shared" si="365"/>
      </c>
      <c r="I296" s="441">
        <f t="shared" si="14"/>
      </c>
      <c r="J296" s="442">
        <f t="shared" si="77"/>
      </c>
      <c r="K296" s="443">
        <f t="shared" si="116"/>
      </c>
      <c r="L296" s="444">
        <f t="shared" si="176"/>
      </c>
      <c r="M296" s="443">
        <f t="shared" si="146"/>
      </c>
      <c r="N296" s="443">
        <f t="shared" si="206"/>
      </c>
      <c r="O296" s="445">
        <f t="shared" si="259"/>
      </c>
      <c r="P296" s="446">
        <f t="shared" si="312"/>
      </c>
      <c r="Q296" s="444"/>
      <c r="R296" s="444"/>
      <c r="S296" s="447">
        <f>SUM(S292:S295)</f>
      </c>
      <c r="T296" s="447">
        <f>SUM(T292:T295)</f>
      </c>
      <c r="U296" s="447">
        <f>SUM(U292:U295)</f>
      </c>
      <c r="V296" s="447">
        <f>SUM(V292:V295)</f>
      </c>
      <c r="W296" s="447">
        <f>SUM(W292:W295)</f>
      </c>
      <c r="X296" s="447">
        <f>SUM(X292:X295)</f>
      </c>
      <c r="Y296" s="447">
        <f>SUM(Y292:Y295)</f>
      </c>
      <c r="Z296" s="486"/>
      <c r="AA296" s="490" t="s">
        <v>782</v>
      </c>
      <c r="AB296" s="491" t="s">
        <v>815</v>
      </c>
      <c r="AC296" s="492">
        <v>4</v>
      </c>
      <c r="AD296" s="490">
        <v>9421.36</v>
      </c>
      <c r="AE296" s="490">
        <v>13450.5</v>
      </c>
      <c r="AF296" s="490">
        <v>12</v>
      </c>
      <c r="AG296" s="493">
        <f t="shared" si="229"/>
      </c>
      <c r="AH296" s="493">
        <f t="shared" si="282"/>
      </c>
      <c r="AI296" s="493">
        <f t="shared" si="335"/>
      </c>
      <c r="AJ296" s="492">
        <f t="shared" ref="AJ296:AJ298" si="46">AD296/4</f>
      </c>
      <c r="AK296" s="492"/>
    </row>
    <row r="297">
      <c r="A297" s="420"/>
      <c r="B297" s="421" t="s">
        <v>767</v>
      </c>
      <c r="C297" s="433" t="s">
        <v>776</v>
      </c>
      <c r="D297" s="459">
        <v>1890.15</v>
      </c>
      <c r="E297" s="423">
        <v>1</v>
      </c>
      <c r="F297" s="423">
        <v>1</v>
      </c>
      <c r="G297" s="460">
        <v>1197.6</v>
      </c>
      <c r="H297" s="424">
        <f t="shared" si="365"/>
      </c>
      <c r="I297" s="424">
        <f t="shared" si="14"/>
      </c>
      <c r="J297" s="424">
        <f t="shared" si="77"/>
      </c>
      <c r="K297" s="425">
        <f t="shared" si="116"/>
      </c>
      <c r="L297" s="426">
        <f t="shared" si="176"/>
      </c>
      <c r="M297" s="427">
        <f t="shared" si="146"/>
      </c>
      <c r="N297" s="427">
        <f t="shared" si="206"/>
      </c>
      <c r="O297" s="427">
        <f t="shared" si="259"/>
      </c>
      <c r="P297" s="428">
        <f t="shared" si="312"/>
      </c>
      <c r="Q297" s="429" t="s">
        <v>777</v>
      </c>
      <c r="R297" s="430" t="s">
        <v>778</v>
      </c>
      <c r="S297" s="436">
        <v>7375</v>
      </c>
      <c r="T297" s="436">
        <v>673</v>
      </c>
      <c r="U297" s="436">
        <v>844</v>
      </c>
      <c r="V297" s="436">
        <v>86</v>
      </c>
      <c r="W297" s="435">
        <v>3</v>
      </c>
      <c r="X297" s="435">
        <v>0</v>
      </c>
      <c r="Y297" s="448">
        <v>26</v>
      </c>
      <c r="Z297" s="486"/>
      <c r="AA297" s="490" t="s">
        <v>767</v>
      </c>
      <c r="AB297" s="491" t="s">
        <v>816</v>
      </c>
      <c r="AC297" s="492">
        <v>4</v>
      </c>
      <c r="AD297" s="490">
        <v>5664</v>
      </c>
      <c r="AE297" s="490">
        <v>2001.6</v>
      </c>
      <c r="AF297" s="490">
        <v>3</v>
      </c>
      <c r="AG297" s="493">
        <f t="shared" si="229"/>
      </c>
      <c r="AH297" s="493">
        <f t="shared" si="282"/>
      </c>
      <c r="AI297" s="493">
        <f t="shared" si="335"/>
      </c>
      <c r="AJ297" s="492">
        <f t="shared" si="46"/>
      </c>
      <c r="AK297" s="492"/>
    </row>
    <row r="298">
      <c r="A298" s="420"/>
      <c r="B298" s="421" t="s">
        <v>767</v>
      </c>
      <c r="C298" s="422" t="s">
        <v>779</v>
      </c>
      <c r="D298" s="459">
        <v>1047.92</v>
      </c>
      <c r="E298" s="423">
        <v>1</v>
      </c>
      <c r="F298" s="423">
        <v>1</v>
      </c>
      <c r="G298" s="460">
        <v>402</v>
      </c>
      <c r="H298" s="424">
        <f t="shared" si="365"/>
      </c>
      <c r="I298" s="424">
        <f t="shared" si="14"/>
      </c>
      <c r="J298" s="424">
        <f t="shared" si="77"/>
      </c>
      <c r="K298" s="425">
        <f t="shared" si="116"/>
      </c>
      <c r="L298" s="426">
        <f t="shared" si="176"/>
      </c>
      <c r="M298" s="427">
        <f t="shared" si="146"/>
      </c>
      <c r="N298" s="427">
        <f t="shared" si="206"/>
      </c>
      <c r="O298" s="427">
        <f t="shared" si="259"/>
      </c>
      <c r="P298" s="428">
        <f t="shared" si="312"/>
      </c>
      <c r="Q298" s="429" t="s">
        <v>777</v>
      </c>
      <c r="R298" s="430" t="s">
        <v>778</v>
      </c>
      <c r="S298" s="436">
        <v>4586</v>
      </c>
      <c r="T298" s="436">
        <v>448</v>
      </c>
      <c r="U298" s="436">
        <v>678</v>
      </c>
      <c r="V298" s="436">
        <v>67</v>
      </c>
      <c r="W298" s="435">
        <v>2</v>
      </c>
      <c r="X298" s="435">
        <v>0</v>
      </c>
      <c r="Y298" s="448">
        <v>17</v>
      </c>
      <c r="Z298" s="486"/>
      <c r="AA298" s="490" t="s">
        <v>789</v>
      </c>
      <c r="AB298" s="491" t="s">
        <v>817</v>
      </c>
      <c r="AC298" s="492">
        <v>4</v>
      </c>
      <c r="AD298" s="490">
        <v>10086.5</v>
      </c>
      <c r="AE298" s="490">
        <v>10335.6</v>
      </c>
      <c r="AF298" s="490">
        <v>9</v>
      </c>
      <c r="AG298" s="493">
        <f t="shared" si="229"/>
      </c>
      <c r="AH298" s="493">
        <f t="shared" si="282"/>
      </c>
      <c r="AI298" s="493">
        <f t="shared" si="335"/>
      </c>
      <c r="AJ298" s="492">
        <f t="shared" si="46"/>
      </c>
      <c r="AK298" s="492"/>
    </row>
    <row r="299">
      <c r="A299" s="420"/>
      <c r="B299" s="421" t="s">
        <v>767</v>
      </c>
      <c r="C299" s="422" t="s">
        <v>780</v>
      </c>
      <c r="D299" s="459">
        <v>1042.27</v>
      </c>
      <c r="E299" s="423">
        <v>1</v>
      </c>
      <c r="F299" s="423">
        <v>0</v>
      </c>
      <c r="G299" s="460">
        <v>402</v>
      </c>
      <c r="H299" s="424">
        <f t="shared" si="365"/>
      </c>
      <c r="I299" s="424">
        <f t="shared" si="14"/>
      </c>
      <c r="J299" s="424">
        <f t="shared" si="77"/>
      </c>
      <c r="K299" s="425">
        <f t="shared" si="116"/>
      </c>
      <c r="L299" s="426">
        <f t="shared" si="176"/>
      </c>
      <c r="M299" s="427">
        <f t="shared" si="146"/>
      </c>
      <c r="N299" s="427">
        <f t="shared" si="206"/>
      </c>
      <c r="O299" s="427">
        <f t="shared" si="259"/>
      </c>
      <c r="P299" s="428">
        <f t="shared" si="312"/>
      </c>
      <c r="Q299" s="429" t="s">
        <v>777</v>
      </c>
      <c r="R299" s="430" t="s">
        <v>778</v>
      </c>
      <c r="S299" s="436">
        <v>4218</v>
      </c>
      <c r="T299" s="436">
        <v>497</v>
      </c>
      <c r="U299" s="436">
        <v>700</v>
      </c>
      <c r="V299" s="436">
        <v>79</v>
      </c>
      <c r="W299" s="435">
        <v>3</v>
      </c>
      <c r="X299" s="435">
        <v>0</v>
      </c>
      <c r="Y299" s="448">
        <v>23</v>
      </c>
      <c r="Z299" s="486"/>
      <c r="AA299" s="495" t="s">
        <v>819</v>
      </c>
      <c r="AB299" s="495"/>
      <c r="AC299" s="495"/>
      <c r="AD299" s="495"/>
      <c r="AE299" s="495"/>
      <c r="AF299" s="495"/>
      <c r="AG299" s="495"/>
      <c r="AH299" s="495"/>
      <c r="AI299" s="495"/>
      <c r="AJ299" s="495"/>
      <c r="AK299" s="495"/>
    </row>
    <row r="300">
      <c r="A300" s="420"/>
      <c r="B300" s="421" t="s">
        <v>767</v>
      </c>
      <c r="C300" s="422" t="s">
        <v>781</v>
      </c>
      <c r="D300" s="459">
        <v>1683.66</v>
      </c>
      <c r="E300" s="423">
        <v>0</v>
      </c>
      <c r="F300" s="423">
        <v>0</v>
      </c>
      <c r="G300" s="460">
        <v>0</v>
      </c>
      <c r="H300" s="424">
        <f t="shared" si="365"/>
      </c>
      <c r="I300" s="424">
        <f t="shared" si="14"/>
      </c>
      <c r="J300" s="424">
        <f t="shared" si="77"/>
      </c>
      <c r="K300" s="425">
        <f t="shared" si="116"/>
      </c>
      <c r="L300" s="426">
        <f t="shared" si="176"/>
      </c>
      <c r="M300" s="427">
        <f t="shared" si="146"/>
      </c>
      <c r="N300" s="427">
        <f t="shared" si="206"/>
      </c>
      <c r="O300" s="427">
        <f t="shared" si="259"/>
      </c>
      <c r="P300" s="428">
        <f t="shared" si="312"/>
      </c>
      <c r="Q300" s="429" t="s">
        <v>777</v>
      </c>
      <c r="R300" s="430" t="s">
        <v>778</v>
      </c>
      <c r="S300" s="436">
        <v>6802</v>
      </c>
      <c r="T300" s="436">
        <v>746</v>
      </c>
      <c r="U300" s="436">
        <v>1050</v>
      </c>
      <c r="V300" s="436">
        <v>101</v>
      </c>
      <c r="W300" s="435">
        <v>0</v>
      </c>
      <c r="X300" s="435">
        <v>0</v>
      </c>
      <c r="Y300" s="448">
        <v>30</v>
      </c>
      <c r="Z300" s="486"/>
      <c r="AA300" s="478" t="s">
        <v>809</v>
      </c>
      <c r="AB300" s="478" t="s">
        <v>820</v>
      </c>
      <c r="AC300" s="479" t="s">
        <v>821</v>
      </c>
      <c r="AD300" s="478" t="s">
        <v>822</v>
      </c>
      <c r="AE300" s="478" t="s">
        <v>823</v>
      </c>
      <c r="AF300" s="478" t="s">
        <v>824</v>
      </c>
      <c r="AG300" s="478" t="s">
        <v>825</v>
      </c>
      <c r="AH300" s="480" t="s">
        <v>764</v>
      </c>
      <c r="AI300" s="480" t="s">
        <v>826</v>
      </c>
      <c r="AJ300" s="480" t="s">
        <v>827</v>
      </c>
      <c r="AK300" s="480" t="s">
        <v>808</v>
      </c>
    </row>
    <row r="301">
      <c r="A301" s="420"/>
      <c r="B301" s="437" t="s">
        <v>774</v>
      </c>
      <c r="C301" s="437"/>
      <c r="D301" s="438">
        <f>SUM(D297:D300)</f>
      </c>
      <c r="E301" s="439">
        <f>SUM(E297:E300)</f>
      </c>
      <c r="F301" s="439">
        <f>SUM(F297:F300)</f>
      </c>
      <c r="G301" s="438">
        <f>SUM(G297:G300)</f>
      </c>
      <c r="H301" s="440">
        <f t="shared" si="365"/>
      </c>
      <c r="I301" s="441">
        <f t="shared" si="14"/>
      </c>
      <c r="J301" s="442">
        <f t="shared" si="77"/>
      </c>
      <c r="K301" s="443">
        <f t="shared" si="116"/>
      </c>
      <c r="L301" s="444">
        <f t="shared" si="176"/>
      </c>
      <c r="M301" s="443">
        <f t="shared" si="146"/>
      </c>
      <c r="N301" s="443">
        <f t="shared" si="206"/>
      </c>
      <c r="O301" s="445">
        <f t="shared" si="259"/>
      </c>
      <c r="P301" s="446">
        <f t="shared" si="312"/>
      </c>
      <c r="Q301" s="444"/>
      <c r="R301" s="444"/>
      <c r="S301" s="447">
        <f>SUM(S297:S300)</f>
      </c>
      <c r="T301" s="447">
        <f>SUM(T297:T300)</f>
      </c>
      <c r="U301" s="447">
        <f>SUM(U297:U300)</f>
      </c>
      <c r="V301" s="447">
        <f>SUM(V297:V300)</f>
      </c>
      <c r="W301" s="447">
        <f>SUM(W297:W300)</f>
      </c>
      <c r="X301" s="447">
        <f>SUM(X297:X300)</f>
      </c>
      <c r="Y301" s="447">
        <f>SUM(Y297:Y300)</f>
      </c>
      <c r="Z301" s="486"/>
      <c r="AA301" s="465">
        <f>SUM(AD295:AD298)</f>
      </c>
      <c r="AB301" s="465">
        <f>SUM(AE295:AE298)</f>
      </c>
      <c r="AC301" s="481">
        <f>AB301/((AK301*300)+AA301)</f>
      </c>
      <c r="AD301" s="482">
        <f>AA301/AJ301</f>
      </c>
      <c r="AE301" s="481">
        <f>AB301/AJ301</f>
      </c>
      <c r="AF301" s="483">
        <f>AJ301/AI301</f>
      </c>
      <c r="AG301" s="483">
        <f>AH301/AJ301</f>
      </c>
      <c r="AH301" s="484">
        <v>3</v>
      </c>
      <c r="AI301" s="484">
        <v>50</v>
      </c>
      <c r="AJ301" s="485">
        <f>SUM(AF295:AF298)</f>
      </c>
      <c r="AK301" s="485">
        <f>SUM(AC295:AC298)</f>
      </c>
    </row>
    <row r="302">
      <c r="A302" s="420"/>
      <c r="B302" s="421" t="s">
        <v>789</v>
      </c>
      <c r="C302" s="422" t="s">
        <v>783</v>
      </c>
      <c r="D302" s="459">
        <v>2525.25</v>
      </c>
      <c r="E302" s="423">
        <v>2</v>
      </c>
      <c r="F302" s="423">
        <v>2</v>
      </c>
      <c r="G302" s="460">
        <v>1816.8</v>
      </c>
      <c r="H302" s="424">
        <f t="shared" si="365"/>
      </c>
      <c r="I302" s="424">
        <f t="shared" si="14"/>
      </c>
      <c r="J302" s="424">
        <f t="shared" si="77"/>
      </c>
      <c r="K302" s="425">
        <f t="shared" si="116"/>
      </c>
      <c r="L302" s="426">
        <f t="shared" si="176"/>
      </c>
      <c r="M302" s="427">
        <f t="shared" si="146"/>
      </c>
      <c r="N302" s="427">
        <f t="shared" si="206"/>
      </c>
      <c r="O302" s="427">
        <f t="shared" si="259"/>
      </c>
      <c r="P302" s="428">
        <f t="shared" si="312"/>
      </c>
      <c r="Q302" s="429" t="s">
        <v>777</v>
      </c>
      <c r="R302" s="430" t="s">
        <v>778</v>
      </c>
      <c r="S302" s="436">
        <v>7485</v>
      </c>
      <c r="T302" s="436">
        <v>781</v>
      </c>
      <c r="U302" s="436">
        <v>1036</v>
      </c>
      <c r="V302" s="436">
        <v>108</v>
      </c>
      <c r="W302" s="435">
        <v>7</v>
      </c>
      <c r="X302" s="435">
        <v>0</v>
      </c>
      <c r="Y302" s="448">
        <v>28</v>
      </c>
      <c r="Z302" s="486"/>
    </row>
    <row r="303">
      <c r="A303" s="420"/>
      <c r="B303" s="421" t="s">
        <v>789</v>
      </c>
      <c r="C303" s="451" t="s">
        <v>784</v>
      </c>
      <c r="D303" s="459">
        <v>3225.45</v>
      </c>
      <c r="E303" s="423">
        <v>3</v>
      </c>
      <c r="F303" s="423">
        <v>3</v>
      </c>
      <c r="G303" s="460">
        <v>2797.2</v>
      </c>
      <c r="H303" s="424">
        <f t="shared" si="365"/>
      </c>
      <c r="I303" s="424">
        <f t="shared" si="14"/>
      </c>
      <c r="J303" s="424">
        <f t="shared" si="77"/>
      </c>
      <c r="K303" s="425">
        <f t="shared" si="116"/>
      </c>
      <c r="L303" s="426">
        <f t="shared" si="176"/>
      </c>
      <c r="M303" s="427">
        <f t="shared" si="146"/>
      </c>
      <c r="N303" s="427">
        <f t="shared" si="206"/>
      </c>
      <c r="O303" s="427">
        <f t="shared" si="259"/>
      </c>
      <c r="P303" s="428">
        <f t="shared" si="312"/>
      </c>
      <c r="Q303" s="429" t="s">
        <v>777</v>
      </c>
      <c r="R303" s="430" t="s">
        <v>778</v>
      </c>
      <c r="S303" s="436">
        <v>10887</v>
      </c>
      <c r="T303" s="436">
        <v>1211</v>
      </c>
      <c r="U303" s="436">
        <v>1504</v>
      </c>
      <c r="V303" s="436">
        <v>138</v>
      </c>
      <c r="W303" s="435">
        <v>3</v>
      </c>
      <c r="X303" s="435">
        <v>0</v>
      </c>
      <c r="Y303" s="448">
        <v>47</v>
      </c>
    </row>
    <row r="304">
      <c r="A304" s="420"/>
      <c r="B304" s="421" t="s">
        <v>789</v>
      </c>
      <c r="C304" s="451" t="s">
        <v>785</v>
      </c>
      <c r="D304" s="459">
        <v>2913.11</v>
      </c>
      <c r="E304" s="423">
        <v>2</v>
      </c>
      <c r="F304" s="423">
        <v>1</v>
      </c>
      <c r="G304" s="460">
        <v>1580.4</v>
      </c>
      <c r="H304" s="424">
        <f t="shared" si="365"/>
      </c>
      <c r="I304" s="424">
        <f t="shared" si="14"/>
      </c>
      <c r="J304" s="424">
        <f t="shared" si="77"/>
      </c>
      <c r="K304" s="425">
        <f t="shared" si="116"/>
      </c>
      <c r="L304" s="426">
        <f t="shared" si="176"/>
      </c>
      <c r="M304" s="427">
        <f t="shared" si="146"/>
      </c>
      <c r="N304" s="427">
        <f t="shared" si="206"/>
      </c>
      <c r="O304" s="427">
        <f t="shared" si="259"/>
      </c>
      <c r="P304" s="428">
        <f t="shared" si="312"/>
      </c>
      <c r="Q304" s="429" t="s">
        <v>777</v>
      </c>
      <c r="R304" s="430" t="s">
        <v>778</v>
      </c>
      <c r="S304" s="436">
        <v>10636</v>
      </c>
      <c r="T304" s="436">
        <v>1277</v>
      </c>
      <c r="U304" s="436">
        <v>1628</v>
      </c>
      <c r="V304" s="436">
        <v>142</v>
      </c>
      <c r="W304" s="435">
        <v>5</v>
      </c>
      <c r="X304" s="435">
        <v>1</v>
      </c>
      <c r="Y304" s="448">
        <v>25</v>
      </c>
    </row>
    <row r="305">
      <c r="A305" s="420"/>
      <c r="B305" s="421" t="s">
        <v>789</v>
      </c>
      <c r="C305" s="451" t="s">
        <v>786</v>
      </c>
      <c r="D305" s="459">
        <v>1422.69</v>
      </c>
      <c r="E305" s="423">
        <v>2</v>
      </c>
      <c r="F305" s="423">
        <v>2</v>
      </c>
      <c r="G305" s="460">
        <v>4141.2</v>
      </c>
      <c r="H305" s="424">
        <f t="shared" si="365"/>
      </c>
      <c r="I305" s="424">
        <f t="shared" si="14"/>
      </c>
      <c r="J305" s="424">
        <f t="shared" si="77"/>
      </c>
      <c r="K305" s="425">
        <f t="shared" si="116"/>
      </c>
      <c r="L305" s="426">
        <f t="shared" si="176"/>
      </c>
      <c r="M305" s="427">
        <f t="shared" si="146"/>
      </c>
      <c r="N305" s="427">
        <f t="shared" si="206"/>
      </c>
      <c r="O305" s="427">
        <f t="shared" si="259"/>
      </c>
      <c r="P305" s="428">
        <f t="shared" si="312"/>
      </c>
      <c r="Q305" s="429" t="s">
        <v>777</v>
      </c>
      <c r="R305" s="430" t="s">
        <v>778</v>
      </c>
      <c r="S305" s="436">
        <v>5810</v>
      </c>
      <c r="T305" s="436">
        <v>640</v>
      </c>
      <c r="U305" s="436">
        <v>905</v>
      </c>
      <c r="V305" s="436">
        <v>88</v>
      </c>
      <c r="W305" s="435">
        <v>2</v>
      </c>
      <c r="X305" s="435">
        <v>0</v>
      </c>
      <c r="Y305" s="448">
        <v>19</v>
      </c>
      <c r="AB305" s="497"/>
      <c r="AC305" s="486"/>
      <c r="AD305" s="486"/>
    </row>
    <row r="306">
      <c r="A306" s="420"/>
      <c r="B306" s="437" t="s">
        <v>774</v>
      </c>
      <c r="C306" s="437"/>
      <c r="D306" s="438">
        <f>SUM(D302:D305)</f>
      </c>
      <c r="E306" s="438">
        <f>SUM(E302:E305)</f>
      </c>
      <c r="F306" s="438">
        <f>SUM(F302:F305)</f>
      </c>
      <c r="G306" s="438">
        <f>SUM(G302:G305)</f>
      </c>
      <c r="H306" s="440">
        <f t="shared" si="365"/>
      </c>
      <c r="I306" s="441">
        <f t="shared" si="14"/>
      </c>
      <c r="J306" s="442">
        <f t="shared" si="77"/>
      </c>
      <c r="K306" s="443">
        <f t="shared" si="116"/>
      </c>
      <c r="L306" s="444">
        <f t="shared" si="176"/>
      </c>
      <c r="M306" s="443">
        <f t="shared" si="146"/>
      </c>
      <c r="N306" s="443">
        <f t="shared" si="206"/>
      </c>
      <c r="O306" s="445">
        <f t="shared" si="259"/>
      </c>
      <c r="P306" s="446">
        <f t="shared" si="312"/>
      </c>
      <c r="Q306" s="444"/>
      <c r="R306" s="444"/>
      <c r="S306" s="447">
        <f>SUM(S302:S305)</f>
      </c>
      <c r="T306" s="447">
        <f>SUM(T302:T305)</f>
      </c>
      <c r="U306" s="447">
        <f>SUM(U302:U305)</f>
      </c>
      <c r="V306" s="447">
        <f>SUM(V302:V305)</f>
      </c>
      <c r="W306" s="447">
        <f>SUM(W302:W305)</f>
      </c>
      <c r="X306" s="447">
        <f>SUM(X302:X305)</f>
      </c>
      <c r="Y306" s="447">
        <f>SUM(Y302:Y305)</f>
      </c>
      <c r="AB306" s="497"/>
      <c r="AC306" s="497"/>
    </row>
    <row r="307">
      <c r="A307" s="420"/>
      <c r="B307" s="452" t="s">
        <v>787</v>
      </c>
      <c r="C307" s="452"/>
      <c r="D307" s="466">
        <f>D291+D296+D306+D301</f>
      </c>
      <c r="E307" s="466">
        <f>E291+E296+E306+E301</f>
      </c>
      <c r="F307" s="466">
        <f>F291+F296+F306+F301</f>
      </c>
      <c r="G307" s="466">
        <f>G291+G296+G306+G301</f>
      </c>
      <c r="H307" s="452">
        <f t="shared" si="365"/>
      </c>
      <c r="I307" s="452">
        <f t="shared" si="14"/>
      </c>
      <c r="J307" s="452">
        <f t="shared" si="77"/>
      </c>
      <c r="K307" s="455">
        <f t="shared" si="116"/>
      </c>
      <c r="L307" s="452">
        <f t="shared" si="176"/>
      </c>
      <c r="M307" s="455">
        <f t="shared" si="146"/>
      </c>
      <c r="N307" s="455">
        <f t="shared" si="206"/>
      </c>
      <c r="O307" s="455">
        <f t="shared" si="259"/>
      </c>
      <c r="P307" s="452">
        <f t="shared" si="312"/>
      </c>
      <c r="Q307" s="456"/>
      <c r="R307" s="456"/>
      <c r="S307" s="454">
        <f>S291+S296+S306+S301</f>
      </c>
      <c r="T307" s="454">
        <f>T291+T296+T306+T301</f>
      </c>
      <c r="U307" s="454">
        <f>U291+U296+U306+U301</f>
      </c>
      <c r="V307" s="454">
        <f>V291+V296+V306+V301</f>
      </c>
      <c r="W307" s="454">
        <f>W291+W296+W306+W301</f>
      </c>
      <c r="X307" s="454">
        <f>X291+X296+X306+X301</f>
      </c>
      <c r="Y307" s="454">
        <f>Y291+Y296+Y306+Y301</f>
      </c>
      <c r="AC307" s="486"/>
      <c r="AD307" s="486"/>
    </row>
    <row r="308">
      <c r="A308" s="405" t="s">
        <v>738</v>
      </c>
      <c r="B308" s="405"/>
      <c r="C308" s="405"/>
      <c r="D308" s="406" t="s">
        <v>739</v>
      </c>
      <c r="E308" s="406"/>
      <c r="F308" s="406"/>
      <c r="G308" s="406"/>
      <c r="H308" s="406"/>
      <c r="I308" s="406"/>
      <c r="J308" s="406"/>
      <c r="K308" s="407" t="s">
        <v>740</v>
      </c>
      <c r="L308" s="407"/>
      <c r="M308" s="407"/>
      <c r="N308" s="407"/>
      <c r="O308" s="407"/>
      <c r="P308" s="407"/>
      <c r="Q308" s="407"/>
      <c r="R308" s="407"/>
      <c r="S308" s="408" t="s">
        <v>741</v>
      </c>
      <c r="T308" s="408"/>
      <c r="U308" s="408"/>
      <c r="V308" s="408"/>
      <c r="W308" s="408"/>
      <c r="X308" s="408"/>
      <c r="Y308" s="408"/>
    </row>
    <row r="309">
      <c r="A309" s="409" t="s">
        <v>742</v>
      </c>
      <c r="B309" s="409" t="s">
        <v>743</v>
      </c>
      <c r="C309" s="409" t="s">
        <v>744</v>
      </c>
      <c r="D309" s="410" t="s">
        <v>745</v>
      </c>
      <c r="E309" s="411" t="s">
        <v>746</v>
      </c>
      <c r="F309" s="463" t="s">
        <v>792</v>
      </c>
      <c r="G309" s="410" t="s">
        <v>747</v>
      </c>
      <c r="H309" s="412" t="s">
        <v>748</v>
      </c>
      <c r="I309" s="413" t="s">
        <v>749</v>
      </c>
      <c r="J309" s="410" t="s">
        <v>750</v>
      </c>
      <c r="K309" s="414" t="s">
        <v>751</v>
      </c>
      <c r="L309" s="415" t="s">
        <v>752</v>
      </c>
      <c r="M309" s="414" t="s">
        <v>753</v>
      </c>
      <c r="N309" s="414" t="s">
        <v>754</v>
      </c>
      <c r="O309" s="416" t="s">
        <v>755</v>
      </c>
      <c r="P309" s="416" t="s">
        <v>756</v>
      </c>
      <c r="Q309" s="417" t="s">
        <v>757</v>
      </c>
      <c r="R309" s="417" t="s">
        <v>758</v>
      </c>
      <c r="S309" s="431" t="s">
        <v>759</v>
      </c>
      <c r="T309" s="431" t="s">
        <v>760</v>
      </c>
      <c r="U309" s="431" t="s">
        <v>761</v>
      </c>
      <c r="V309" s="431" t="s">
        <v>762</v>
      </c>
      <c r="W309" s="431" t="s">
        <v>763</v>
      </c>
      <c r="X309" s="431" t="s">
        <v>764</v>
      </c>
      <c r="Y309" s="419" t="s">
        <v>765</v>
      </c>
    </row>
    <row r="310">
      <c r="A310" s="420" t="s">
        <v>843</v>
      </c>
      <c r="B310" s="421" t="s">
        <v>767</v>
      </c>
      <c r="C310" s="451" t="s">
        <v>794</v>
      </c>
      <c r="D310" s="421">
        <v>1934.58</v>
      </c>
      <c r="E310" s="423">
        <v>0</v>
      </c>
      <c r="F310" s="423">
        <v>0</v>
      </c>
      <c r="G310" s="467">
        <v>0</v>
      </c>
      <c r="H310" s="424">
        <f t="shared" ref="H310:H329" si="366">G310/D310</f>
      </c>
      <c r="I310" s="424">
        <f>D310/E310</f>
      </c>
      <c r="J310" s="424">
        <f>G310/E310</f>
      </c>
      <c r="K310" s="425">
        <f t="shared" ref="K310:K329" si="117">T310/S310</f>
      </c>
      <c r="L310" s="426">
        <f t="shared" ref="L310:L329" si="177">D310/U310</f>
      </c>
      <c r="M310" s="427">
        <f t="shared" ref="M310:M329" si="147">V310/U310</f>
      </c>
      <c r="N310" s="427">
        <f t="shared" ref="N310:N329" si="207">E310/W310</f>
      </c>
      <c r="O310" s="427">
        <f t="shared" ref="O310:O329" si="260">X310/E310</f>
      </c>
      <c r="P310" s="428">
        <f t="shared" ref="P310:P329" si="313">(Y310*1000)/D310</f>
      </c>
      <c r="Q310" s="429" t="s">
        <v>769</v>
      </c>
      <c r="R310" s="430" t="s">
        <v>800</v>
      </c>
      <c r="S310" s="461">
        <v>9323</v>
      </c>
      <c r="T310" s="461">
        <v>1479</v>
      </c>
      <c r="U310" s="461">
        <v>1925</v>
      </c>
      <c r="V310" s="461">
        <v>213</v>
      </c>
      <c r="W310" s="461">
        <v>0</v>
      </c>
      <c r="X310" s="461">
        <v>0</v>
      </c>
      <c r="Y310" s="461">
        <v>44</v>
      </c>
    </row>
    <row r="311">
      <c r="A311" s="420"/>
      <c r="B311" s="421" t="s">
        <v>767</v>
      </c>
      <c r="C311" s="421" t="s">
        <v>796</v>
      </c>
      <c r="D311" s="421">
        <v>1836.12</v>
      </c>
      <c r="E311" s="423">
        <v>0</v>
      </c>
      <c r="F311" s="423">
        <v>0</v>
      </c>
      <c r="G311" s="467">
        <v>0</v>
      </c>
      <c r="H311" s="424">
        <f t="shared" si="366"/>
      </c>
      <c r="I311" s="424">
        <v>2161</v>
      </c>
      <c r="J311" s="424">
        <v>234</v>
      </c>
      <c r="K311" s="425">
        <f t="shared" si="117"/>
      </c>
      <c r="L311" s="426">
        <f t="shared" si="177"/>
      </c>
      <c r="M311" s="427">
        <f t="shared" si="147"/>
      </c>
      <c r="N311" s="427">
        <f t="shared" si="207"/>
      </c>
      <c r="O311" s="427">
        <f t="shared" si="260"/>
      </c>
      <c r="P311" s="428">
        <f t="shared" si="313"/>
      </c>
      <c r="Q311" s="429" t="s">
        <v>769</v>
      </c>
      <c r="R311" s="430" t="s">
        <v>800</v>
      </c>
      <c r="S311" s="461">
        <v>6194</v>
      </c>
      <c r="T311" s="461">
        <v>945</v>
      </c>
      <c r="U311" s="461">
        <v>1474</v>
      </c>
      <c r="V311" s="461">
        <v>196</v>
      </c>
      <c r="W311" s="461">
        <v>2</v>
      </c>
      <c r="X311" s="461">
        <v>0</v>
      </c>
      <c r="Y311" s="461">
        <v>40</v>
      </c>
    </row>
    <row r="312">
      <c r="A312" s="420"/>
      <c r="B312" s="421" t="s">
        <v>767</v>
      </c>
      <c r="C312" s="421" t="s">
        <v>797</v>
      </c>
      <c r="D312" s="421">
        <v>1308.77</v>
      </c>
      <c r="E312" s="423">
        <v>2</v>
      </c>
      <c r="F312" s="423">
        <v>2</v>
      </c>
      <c r="G312" s="467">
        <v>2295.6</v>
      </c>
      <c r="H312" s="424">
        <f t="shared" si="366"/>
      </c>
      <c r="I312" s="424">
        <f t="shared" ref="I312:I329" si="15">D312/E312</f>
      </c>
      <c r="J312" s="424">
        <f t="shared" ref="J312:J329" si="78">G312/E312</f>
      </c>
      <c r="K312" s="425">
        <f t="shared" si="117"/>
      </c>
      <c r="L312" s="426">
        <f t="shared" si="177"/>
      </c>
      <c r="M312" s="427">
        <f t="shared" si="147"/>
      </c>
      <c r="N312" s="427">
        <f t="shared" si="207"/>
      </c>
      <c r="O312" s="427">
        <f t="shared" si="260"/>
      </c>
      <c r="P312" s="428">
        <f t="shared" si="313"/>
      </c>
      <c r="Q312" s="429" t="s">
        <v>769</v>
      </c>
      <c r="R312" s="430" t="s">
        <v>800</v>
      </c>
      <c r="S312" s="461">
        <v>4417</v>
      </c>
      <c r="T312" s="461">
        <v>640</v>
      </c>
      <c r="U312" s="461">
        <v>960</v>
      </c>
      <c r="V312" s="461">
        <v>118</v>
      </c>
      <c r="W312" s="461">
        <v>3</v>
      </c>
      <c r="X312" s="461">
        <v>0</v>
      </c>
      <c r="Y312" s="461">
        <v>24</v>
      </c>
      <c r="AA312" s="487" t="s">
        <v>844</v>
      </c>
      <c r="AB312" s="487"/>
      <c r="AC312" s="487"/>
      <c r="AD312" s="487"/>
      <c r="AE312" s="487"/>
      <c r="AF312" s="487"/>
      <c r="AG312" s="487"/>
      <c r="AH312" s="487"/>
      <c r="AI312" s="487"/>
      <c r="AJ312" s="487"/>
      <c r="AK312" s="487"/>
    </row>
    <row r="313">
      <c r="A313" s="420"/>
      <c r="B313" s="421" t="s">
        <v>767</v>
      </c>
      <c r="C313" s="421" t="s">
        <v>798</v>
      </c>
      <c r="D313" s="421">
        <v>953.31</v>
      </c>
      <c r="E313" s="423">
        <v>1</v>
      </c>
      <c r="F313" s="423">
        <v>0</v>
      </c>
      <c r="G313" s="462">
        <v>652.8</v>
      </c>
      <c r="H313" s="424">
        <f t="shared" si="366"/>
      </c>
      <c r="I313" s="424">
        <f t="shared" si="15"/>
      </c>
      <c r="J313" s="424">
        <f t="shared" si="78"/>
      </c>
      <c r="K313" s="425">
        <f t="shared" si="117"/>
      </c>
      <c r="L313" s="426">
        <f t="shared" si="177"/>
      </c>
      <c r="M313" s="427">
        <f t="shared" si="147"/>
      </c>
      <c r="N313" s="427">
        <f t="shared" si="207"/>
      </c>
      <c r="O313" s="427">
        <f t="shared" si="260"/>
      </c>
      <c r="P313" s="428">
        <f t="shared" si="313"/>
      </c>
      <c r="Q313" s="429" t="s">
        <v>769</v>
      </c>
      <c r="R313" s="430" t="s">
        <v>800</v>
      </c>
      <c r="S313" s="461">
        <v>4478</v>
      </c>
      <c r="T313" s="461">
        <v>538</v>
      </c>
      <c r="U313" s="461">
        <v>833</v>
      </c>
      <c r="V313" s="461">
        <v>112</v>
      </c>
      <c r="W313" s="461">
        <v>1</v>
      </c>
      <c r="X313" s="435">
        <v>0</v>
      </c>
      <c r="Y313" s="435">
        <v>32</v>
      </c>
      <c r="AA313" s="489" t="s">
        <v>806</v>
      </c>
      <c r="AB313" s="489" t="s">
        <v>807</v>
      </c>
      <c r="AC313" s="489" t="s">
        <v>808</v>
      </c>
      <c r="AD313" s="489" t="s">
        <v>809</v>
      </c>
      <c r="AE313" s="489" t="s">
        <v>810</v>
      </c>
      <c r="AF313" s="489" t="s">
        <v>811</v>
      </c>
      <c r="AG313" s="489" t="s">
        <v>750</v>
      </c>
      <c r="AH313" s="489" t="s">
        <v>812</v>
      </c>
      <c r="AI313" s="489" t="s">
        <v>748</v>
      </c>
      <c r="AJ313" s="489" t="s">
        <v>813</v>
      </c>
      <c r="AK313" s="489"/>
    </row>
    <row customHeight="true" ht="20.238095238095237" r="314">
      <c r="A314" s="420"/>
      <c r="B314" s="421" t="s">
        <v>767</v>
      </c>
      <c r="C314" s="422" t="s">
        <v>768</v>
      </c>
      <c r="D314" s="421">
        <v>803.37</v>
      </c>
      <c r="E314" s="423">
        <v>1</v>
      </c>
      <c r="F314" s="423">
        <v>1</v>
      </c>
      <c r="G314" s="462">
        <v>1197.6</v>
      </c>
      <c r="H314" s="424">
        <f t="shared" si="366"/>
      </c>
      <c r="I314" s="424">
        <f t="shared" si="15"/>
      </c>
      <c r="J314" s="424">
        <f t="shared" si="78"/>
      </c>
      <c r="K314" s="425">
        <f t="shared" si="117"/>
      </c>
      <c r="L314" s="426">
        <f t="shared" si="177"/>
      </c>
      <c r="M314" s="427">
        <f t="shared" si="147"/>
      </c>
      <c r="N314" s="427">
        <f t="shared" si="207"/>
      </c>
      <c r="O314" s="427">
        <f t="shared" si="260"/>
      </c>
      <c r="P314" s="428">
        <f t="shared" si="313"/>
      </c>
      <c r="Q314" s="429" t="s">
        <v>769</v>
      </c>
      <c r="R314" s="430" t="s">
        <v>800</v>
      </c>
      <c r="S314" s="461">
        <v>3890</v>
      </c>
      <c r="T314" s="461">
        <v>495</v>
      </c>
      <c r="U314" s="461">
        <v>742</v>
      </c>
      <c r="V314" s="461">
        <v>90</v>
      </c>
      <c r="W314" s="461">
        <v>1</v>
      </c>
      <c r="X314" s="435">
        <v>0</v>
      </c>
      <c r="Y314" s="435">
        <v>20</v>
      </c>
      <c r="AA314" s="490" t="s">
        <v>767</v>
      </c>
      <c r="AB314" s="496" t="s">
        <v>845</v>
      </c>
      <c r="AC314" s="490">
        <v>5</v>
      </c>
      <c r="AD314" s="490">
        <v>6836.15</v>
      </c>
      <c r="AE314" s="490">
        <v>4146</v>
      </c>
      <c r="AF314" s="490">
        <v>4</v>
      </c>
      <c r="AG314" s="493">
        <f t="shared" ref="AG314:AG316" si="230">AE314/AF314</f>
      </c>
      <c r="AH314" s="493">
        <f t="shared" ref="AH314:AH316" si="283">AD314/AF314</f>
      </c>
      <c r="AI314" s="493">
        <f t="shared" ref="AI314:AI316" si="336">AE314/AD314</f>
      </c>
      <c r="AJ314" s="492">
        <f>AD314/AC314</f>
      </c>
      <c r="AK314" s="492"/>
    </row>
    <row r="315">
      <c r="A315" s="420"/>
      <c r="B315" s="437" t="s">
        <v>774</v>
      </c>
      <c r="C315" s="437"/>
      <c r="D315" s="438">
        <f>SUM(D310:D314)</f>
      </c>
      <c r="E315" s="438">
        <f>SUM(E310:E314)</f>
      </c>
      <c r="F315" s="438">
        <f>SUM(F310:F314)</f>
      </c>
      <c r="G315" s="438">
        <f>SUM(G310:G314)</f>
      </c>
      <c r="H315" s="440">
        <f t="shared" si="366"/>
      </c>
      <c r="I315" s="441">
        <f t="shared" si="15"/>
      </c>
      <c r="J315" s="442">
        <f t="shared" si="78"/>
      </c>
      <c r="K315" s="443">
        <f t="shared" si="117"/>
      </c>
      <c r="L315" s="444">
        <f t="shared" si="177"/>
      </c>
      <c r="M315" s="443">
        <f t="shared" si="147"/>
      </c>
      <c r="N315" s="443">
        <f t="shared" si="207"/>
      </c>
      <c r="O315" s="445">
        <f t="shared" si="260"/>
      </c>
      <c r="P315" s="446">
        <f t="shared" si="313"/>
      </c>
      <c r="Q315" s="444"/>
      <c r="R315" s="444"/>
      <c r="S315" s="447">
        <f>SUM(S310:S314)</f>
      </c>
      <c r="T315" s="447">
        <f>SUM(T310:T314)</f>
      </c>
      <c r="U315" s="447">
        <f>SUM(U310:U314)</f>
      </c>
      <c r="V315" s="447">
        <f>SUM(V310:V314)</f>
      </c>
      <c r="W315" s="447">
        <f>SUM(W310:W314)</f>
      </c>
      <c r="X315" s="447">
        <f>SUM(X310:X314)</f>
      </c>
      <c r="Y315" s="447">
        <f>SUM(Y310:Y314)</f>
      </c>
      <c r="AA315" s="490" t="s">
        <v>789</v>
      </c>
      <c r="AB315" s="496" t="s">
        <v>846</v>
      </c>
      <c r="AC315" s="490">
        <v>5</v>
      </c>
      <c r="AD315" s="490">
        <v>5624.86</v>
      </c>
      <c r="AE315" s="490">
        <v>2500.1</v>
      </c>
      <c r="AF315" s="490">
        <v>4</v>
      </c>
      <c r="AG315" s="493">
        <f t="shared" si="230"/>
      </c>
      <c r="AH315" s="493">
        <f t="shared" si="283"/>
      </c>
      <c r="AI315" s="493">
        <f t="shared" si="336"/>
      </c>
      <c r="AJ315" s="492">
        <f t="shared" ref="AJ315:AJ316" si="47">AD315/4</f>
      </c>
      <c r="AK315" s="492"/>
    </row>
    <row customHeight="true" ht="20.238095238095237" r="316">
      <c r="A316" s="420"/>
      <c r="B316" s="421" t="s">
        <v>789</v>
      </c>
      <c r="C316" s="433" t="s">
        <v>771</v>
      </c>
      <c r="D316" s="459">
        <v>744.93</v>
      </c>
      <c r="E316" s="423">
        <v>2</v>
      </c>
      <c r="F316" s="423">
        <v>2</v>
      </c>
      <c r="G316" s="460">
        <v>1696.1</v>
      </c>
      <c r="H316" s="424">
        <f t="shared" si="366"/>
      </c>
      <c r="I316" s="424">
        <f t="shared" si="15"/>
      </c>
      <c r="J316" s="424">
        <f t="shared" si="78"/>
      </c>
      <c r="K316" s="425">
        <f t="shared" si="117"/>
      </c>
      <c r="L316" s="426">
        <f t="shared" si="177"/>
      </c>
      <c r="M316" s="427">
        <f t="shared" si="147"/>
      </c>
      <c r="N316" s="427">
        <f t="shared" si="207"/>
      </c>
      <c r="O316" s="427">
        <f t="shared" si="260"/>
      </c>
      <c r="P316" s="428">
        <f t="shared" si="313"/>
      </c>
      <c r="Q316" s="429" t="s">
        <v>777</v>
      </c>
      <c r="R316" s="430" t="s">
        <v>800</v>
      </c>
      <c r="S316" s="436">
        <v>3784</v>
      </c>
      <c r="T316" s="436">
        <v>506</v>
      </c>
      <c r="U316" s="436">
        <v>752</v>
      </c>
      <c r="V316" s="436">
        <v>82</v>
      </c>
      <c r="W316" s="435">
        <v>2</v>
      </c>
      <c r="X316" s="435">
        <v>0</v>
      </c>
      <c r="Y316" s="448">
        <v>14</v>
      </c>
      <c r="Z316" s="486"/>
      <c r="AA316" s="490" t="s">
        <v>775</v>
      </c>
      <c r="AB316" s="496" t="s">
        <v>847</v>
      </c>
      <c r="AC316" s="490">
        <v>6</v>
      </c>
      <c r="AD316" s="490">
        <v>14860.95</v>
      </c>
      <c r="AE316" s="490">
        <v>21135.1</v>
      </c>
      <c r="AF316" s="490">
        <v>25</v>
      </c>
      <c r="AG316" s="493">
        <f t="shared" si="230"/>
      </c>
      <c r="AH316" s="493">
        <f t="shared" si="283"/>
      </c>
      <c r="AI316" s="493">
        <f t="shared" si="336"/>
      </c>
      <c r="AJ316" s="492">
        <f t="shared" si="47"/>
      </c>
      <c r="AK316" s="492"/>
    </row>
    <row customHeight="true" ht="20.238095238095237" r="317">
      <c r="A317" s="420"/>
      <c r="B317" s="421" t="s">
        <v>789</v>
      </c>
      <c r="C317" s="433" t="s">
        <v>772</v>
      </c>
      <c r="D317" s="459">
        <v>1390.57</v>
      </c>
      <c r="E317" s="423">
        <v>2</v>
      </c>
      <c r="F317" s="423">
        <v>2</v>
      </c>
      <c r="G317" s="460">
        <v>804</v>
      </c>
      <c r="H317" s="424">
        <f t="shared" si="366"/>
      </c>
      <c r="I317" s="424">
        <f t="shared" si="15"/>
      </c>
      <c r="J317" s="424">
        <f t="shared" si="78"/>
      </c>
      <c r="K317" s="425">
        <f t="shared" si="117"/>
      </c>
      <c r="L317" s="426">
        <f t="shared" si="177"/>
      </c>
      <c r="M317" s="427">
        <f t="shared" si="147"/>
      </c>
      <c r="N317" s="427">
        <f t="shared" si="207"/>
      </c>
      <c r="O317" s="427">
        <f t="shared" si="260"/>
      </c>
      <c r="P317" s="428">
        <f t="shared" si="313"/>
      </c>
      <c r="Q317" s="429" t="s">
        <v>777</v>
      </c>
      <c r="R317" s="430" t="s">
        <v>800</v>
      </c>
      <c r="S317" s="436">
        <v>6142</v>
      </c>
      <c r="T317" s="436">
        <v>649</v>
      </c>
      <c r="U317" s="436">
        <v>920</v>
      </c>
      <c r="V317" s="436">
        <v>116</v>
      </c>
      <c r="W317" s="435">
        <v>3</v>
      </c>
      <c r="X317" s="435">
        <v>0</v>
      </c>
      <c r="Y317" s="448">
        <v>35</v>
      </c>
      <c r="Z317" s="486"/>
      <c r="AA317" s="495" t="s">
        <v>819</v>
      </c>
      <c r="AB317" s="495"/>
      <c r="AC317" s="495"/>
      <c r="AD317" s="495"/>
      <c r="AE317" s="495"/>
      <c r="AF317" s="495"/>
      <c r="AG317" s="495"/>
      <c r="AH317" s="495"/>
      <c r="AI317" s="495"/>
      <c r="AJ317" s="495"/>
      <c r="AK317" s="495"/>
    </row>
    <row r="318">
      <c r="A318" s="420"/>
      <c r="B318" s="421" t="s">
        <v>789</v>
      </c>
      <c r="C318" s="433" t="s">
        <v>773</v>
      </c>
      <c r="D318" s="459">
        <v>1416.88</v>
      </c>
      <c r="E318" s="423">
        <v>0</v>
      </c>
      <c r="F318" s="423">
        <v>0</v>
      </c>
      <c r="G318" s="460">
        <v>0</v>
      </c>
      <c r="H318" s="424">
        <f t="shared" si="366"/>
      </c>
      <c r="I318" s="424">
        <f t="shared" si="15"/>
      </c>
      <c r="J318" s="424">
        <f t="shared" si="78"/>
      </c>
      <c r="K318" s="425">
        <f t="shared" si="117"/>
      </c>
      <c r="L318" s="426">
        <f t="shared" si="177"/>
      </c>
      <c r="M318" s="427">
        <f t="shared" si="147"/>
      </c>
      <c r="N318" s="427">
        <f t="shared" si="207"/>
      </c>
      <c r="O318" s="427">
        <f t="shared" si="260"/>
      </c>
      <c r="P318" s="428">
        <f t="shared" si="313"/>
      </c>
      <c r="Q318" s="429" t="s">
        <v>777</v>
      </c>
      <c r="R318" s="430" t="s">
        <v>800</v>
      </c>
      <c r="S318" s="436">
        <v>6811</v>
      </c>
      <c r="T318" s="436">
        <v>611</v>
      </c>
      <c r="U318" s="436">
        <v>905</v>
      </c>
      <c r="V318" s="436">
        <v>109</v>
      </c>
      <c r="W318" s="435">
        <v>1</v>
      </c>
      <c r="X318" s="435">
        <v>0</v>
      </c>
      <c r="Y318" s="448">
        <v>29</v>
      </c>
      <c r="Z318" s="486"/>
      <c r="AA318" s="478" t="s">
        <v>809</v>
      </c>
      <c r="AB318" s="478" t="s">
        <v>820</v>
      </c>
      <c r="AC318" s="479" t="s">
        <v>821</v>
      </c>
      <c r="AD318" s="478" t="s">
        <v>822</v>
      </c>
      <c r="AE318" s="478" t="s">
        <v>823</v>
      </c>
      <c r="AF318" s="478" t="s">
        <v>824</v>
      </c>
      <c r="AG318" s="478" t="s">
        <v>825</v>
      </c>
      <c r="AH318" s="480" t="s">
        <v>764</v>
      </c>
      <c r="AI318" s="480" t="s">
        <v>826</v>
      </c>
      <c r="AJ318" s="480" t="s">
        <v>827</v>
      </c>
      <c r="AK318" s="480" t="s">
        <v>808</v>
      </c>
    </row>
    <row r="319">
      <c r="A319" s="420"/>
      <c r="B319" s="421" t="s">
        <v>789</v>
      </c>
      <c r="C319" s="433" t="s">
        <v>776</v>
      </c>
      <c r="D319" s="459">
        <v>969.41</v>
      </c>
      <c r="E319" s="423">
        <v>0</v>
      </c>
      <c r="F319" s="423">
        <v>0</v>
      </c>
      <c r="G319" s="460">
        <v>0</v>
      </c>
      <c r="H319" s="424">
        <f t="shared" si="366"/>
      </c>
      <c r="I319" s="424">
        <f t="shared" si="15"/>
      </c>
      <c r="J319" s="424">
        <f t="shared" si="78"/>
      </c>
      <c r="K319" s="425">
        <f t="shared" si="117"/>
      </c>
      <c r="L319" s="426">
        <f t="shared" si="177"/>
      </c>
      <c r="M319" s="427">
        <f t="shared" si="147"/>
      </c>
      <c r="N319" s="427">
        <f t="shared" si="207"/>
      </c>
      <c r="O319" s="427">
        <f t="shared" si="260"/>
      </c>
      <c r="P319" s="428">
        <f t="shared" si="313"/>
      </c>
      <c r="Q319" s="429" t="s">
        <v>777</v>
      </c>
      <c r="R319" s="430" t="s">
        <v>778</v>
      </c>
      <c r="S319" s="436">
        <v>5575</v>
      </c>
      <c r="T319" s="436">
        <v>570</v>
      </c>
      <c r="U319" s="436">
        <v>807</v>
      </c>
      <c r="V319" s="436">
        <v>117</v>
      </c>
      <c r="W319" s="435">
        <v>1</v>
      </c>
      <c r="X319" s="435">
        <v>0</v>
      </c>
      <c r="Y319" s="448">
        <v>27</v>
      </c>
      <c r="Z319" s="486"/>
      <c r="AA319" s="465">
        <f>SUM(AD314:AD316)</f>
      </c>
      <c r="AB319" s="465">
        <f>SUM(AE314:AE316)</f>
      </c>
      <c r="AC319" s="481">
        <f>AB319/((AK319*300)+AA319)</f>
      </c>
      <c r="AD319" s="482">
        <f>AA319/AJ319</f>
      </c>
      <c r="AE319" s="481">
        <f>AB319/AJ319</f>
      </c>
      <c r="AF319" s="483">
        <f>AJ319/AI319</f>
      </c>
      <c r="AG319" s="483">
        <f>AH319/AJ319</f>
      </c>
      <c r="AH319" s="484">
        <v>5</v>
      </c>
      <c r="AI319" s="484">
        <v>51</v>
      </c>
      <c r="AJ319" s="485">
        <f>SUM(AF314:AF316)</f>
      </c>
      <c r="AK319" s="485">
        <f>SUM(AC314:AC316)</f>
      </c>
    </row>
    <row r="320">
      <c r="A320" s="420"/>
      <c r="B320" s="421" t="s">
        <v>789</v>
      </c>
      <c r="C320" s="422" t="s">
        <v>779</v>
      </c>
      <c r="D320" s="459">
        <v>1103.07</v>
      </c>
      <c r="E320" s="423">
        <v>0</v>
      </c>
      <c r="F320" s="423">
        <v>0</v>
      </c>
      <c r="G320" s="460">
        <v>0</v>
      </c>
      <c r="H320" s="424">
        <f t="shared" si="366"/>
      </c>
      <c r="I320" s="424">
        <f t="shared" si="15"/>
      </c>
      <c r="J320" s="424">
        <f t="shared" si="78"/>
      </c>
      <c r="K320" s="425">
        <f t="shared" si="117"/>
      </c>
      <c r="L320" s="426">
        <f t="shared" si="177"/>
      </c>
      <c r="M320" s="427">
        <f t="shared" si="147"/>
      </c>
      <c r="N320" s="427">
        <f t="shared" si="207"/>
      </c>
      <c r="O320" s="427">
        <f t="shared" si="260"/>
      </c>
      <c r="P320" s="428">
        <f t="shared" si="313"/>
      </c>
      <c r="Q320" s="429" t="s">
        <v>777</v>
      </c>
      <c r="R320" s="430" t="s">
        <v>778</v>
      </c>
      <c r="S320" s="436">
        <v>5850</v>
      </c>
      <c r="T320" s="436">
        <v>578</v>
      </c>
      <c r="U320" s="436">
        <v>934</v>
      </c>
      <c r="V320" s="436">
        <v>106</v>
      </c>
      <c r="W320" s="435">
        <v>1</v>
      </c>
      <c r="X320" s="435">
        <v>0</v>
      </c>
      <c r="Y320" s="448">
        <v>15</v>
      </c>
      <c r="Z320" s="486"/>
    </row>
    <row r="321">
      <c r="A321" s="420"/>
      <c r="B321" s="437" t="s">
        <v>774</v>
      </c>
      <c r="C321" s="437"/>
      <c r="D321" s="438">
        <f>SUM(D316:D320)</f>
      </c>
      <c r="E321" s="438">
        <f>SUM(E316:E320)</f>
      </c>
      <c r="F321" s="438">
        <f>SUM(F316:F320)</f>
      </c>
      <c r="G321" s="438">
        <f>SUM(G316:G320)</f>
      </c>
      <c r="H321" s="440">
        <f t="shared" si="366"/>
      </c>
      <c r="I321" s="441">
        <f t="shared" si="15"/>
      </c>
      <c r="J321" s="442">
        <f t="shared" si="78"/>
      </c>
      <c r="K321" s="443">
        <f t="shared" si="117"/>
      </c>
      <c r="L321" s="444">
        <f t="shared" si="177"/>
      </c>
      <c r="M321" s="443">
        <f t="shared" si="147"/>
      </c>
      <c r="N321" s="443">
        <f t="shared" si="207"/>
      </c>
      <c r="O321" s="445">
        <f t="shared" si="260"/>
      </c>
      <c r="P321" s="446">
        <f t="shared" si="313"/>
      </c>
      <c r="Q321" s="444"/>
      <c r="R321" s="444"/>
      <c r="S321" s="447">
        <f>SUM(S316:S320)</f>
      </c>
      <c r="T321" s="447">
        <f>SUM(T316:T320)</f>
      </c>
      <c r="U321" s="447">
        <f>SUM(U316:U320)</f>
      </c>
      <c r="V321" s="447">
        <f>SUM(V316:V320)</f>
      </c>
      <c r="W321" s="447">
        <f>SUM(W316:W320)</f>
      </c>
      <c r="X321" s="447">
        <f>SUM(X316:X320)</f>
      </c>
      <c r="Y321" s="447">
        <f>SUM(Y316:Y320)</f>
      </c>
      <c r="Z321" s="486"/>
    </row>
    <row customHeight="true" ht="18.452380952380953" r="322">
      <c r="A322" s="420"/>
      <c r="B322" s="421" t="s">
        <v>775</v>
      </c>
      <c r="C322" s="422" t="s">
        <v>780</v>
      </c>
      <c r="D322" s="459">
        <v>1180.82</v>
      </c>
      <c r="E322" s="423">
        <v>3</v>
      </c>
      <c r="F322" s="423">
        <v>1</v>
      </c>
      <c r="G322" s="460">
        <v>2184</v>
      </c>
      <c r="H322" s="424">
        <f t="shared" si="366"/>
      </c>
      <c r="I322" s="424">
        <f t="shared" si="15"/>
      </c>
      <c r="J322" s="424">
        <f t="shared" si="78"/>
      </c>
      <c r="K322" s="425">
        <f t="shared" si="117"/>
      </c>
      <c r="L322" s="426">
        <f t="shared" si="177"/>
      </c>
      <c r="M322" s="427">
        <f t="shared" si="147"/>
      </c>
      <c r="N322" s="427">
        <f t="shared" si="207"/>
      </c>
      <c r="O322" s="427">
        <f t="shared" si="260"/>
      </c>
      <c r="P322" s="428">
        <f t="shared" si="313"/>
      </c>
      <c r="Q322" s="429" t="s">
        <v>777</v>
      </c>
      <c r="R322" s="430" t="s">
        <v>778</v>
      </c>
      <c r="S322" s="436">
        <v>6825</v>
      </c>
      <c r="T322" s="436">
        <v>727</v>
      </c>
      <c r="U322" s="436">
        <v>1192</v>
      </c>
      <c r="V322" s="436">
        <v>126</v>
      </c>
      <c r="W322" s="435">
        <v>5</v>
      </c>
      <c r="X322" s="435">
        <v>1</v>
      </c>
      <c r="Y322" s="448">
        <v>25</v>
      </c>
      <c r="Z322" s="486"/>
    </row>
    <row customHeight="true" ht="18.452380952380953" r="323">
      <c r="A323" s="420"/>
      <c r="B323" s="421" t="s">
        <v>775</v>
      </c>
      <c r="C323" s="422" t="s">
        <v>781</v>
      </c>
      <c r="D323" s="459">
        <v>2127.69</v>
      </c>
      <c r="E323" s="423">
        <v>1</v>
      </c>
      <c r="F323" s="423">
        <v>1</v>
      </c>
      <c r="G323" s="460">
        <v>652.8</v>
      </c>
      <c r="H323" s="424">
        <f t="shared" si="366"/>
      </c>
      <c r="I323" s="424">
        <f t="shared" si="15"/>
      </c>
      <c r="J323" s="424">
        <f t="shared" si="78"/>
      </c>
      <c r="K323" s="425">
        <f t="shared" si="117"/>
      </c>
      <c r="L323" s="426">
        <f t="shared" si="177"/>
      </c>
      <c r="M323" s="427">
        <f t="shared" si="147"/>
      </c>
      <c r="N323" s="427">
        <f t="shared" si="207"/>
      </c>
      <c r="O323" s="427">
        <f t="shared" si="260"/>
      </c>
      <c r="P323" s="428">
        <f t="shared" si="313"/>
      </c>
      <c r="Q323" s="429" t="s">
        <v>777</v>
      </c>
      <c r="R323" s="430" t="s">
        <v>778</v>
      </c>
      <c r="S323" s="436">
        <v>11645</v>
      </c>
      <c r="T323" s="436">
        <v>1078</v>
      </c>
      <c r="U323" s="436">
        <v>1603</v>
      </c>
      <c r="V323" s="436">
        <v>187</v>
      </c>
      <c r="W323" s="435">
        <v>1</v>
      </c>
      <c r="X323" s="435">
        <v>0</v>
      </c>
      <c r="Y323" s="448">
        <v>35</v>
      </c>
      <c r="Z323" s="486"/>
    </row>
    <row r="324">
      <c r="A324" s="420"/>
      <c r="B324" s="421" t="s">
        <v>775</v>
      </c>
      <c r="C324" s="422" t="s">
        <v>783</v>
      </c>
      <c r="D324" s="459">
        <v>2619.69</v>
      </c>
      <c r="E324" s="423">
        <v>4</v>
      </c>
      <c r="F324" s="423">
        <v>1</v>
      </c>
      <c r="G324" s="460">
        <v>3312</v>
      </c>
      <c r="H324" s="424">
        <f t="shared" si="366"/>
      </c>
      <c r="I324" s="424">
        <f t="shared" si="15"/>
      </c>
      <c r="J324" s="424">
        <f t="shared" si="78"/>
      </c>
      <c r="K324" s="425">
        <f t="shared" si="117"/>
      </c>
      <c r="L324" s="426">
        <f t="shared" si="177"/>
      </c>
      <c r="M324" s="427">
        <f t="shared" si="147"/>
      </c>
      <c r="N324" s="427">
        <f t="shared" si="207"/>
      </c>
      <c r="O324" s="427">
        <f t="shared" si="260"/>
      </c>
      <c r="P324" s="428">
        <f t="shared" si="313"/>
      </c>
      <c r="Q324" s="429" t="s">
        <v>777</v>
      </c>
      <c r="R324" s="430" t="s">
        <v>778</v>
      </c>
      <c r="S324" s="436">
        <v>13885</v>
      </c>
      <c r="T324" s="436">
        <v>1430</v>
      </c>
      <c r="U324" s="436">
        <v>1999</v>
      </c>
      <c r="V324" s="436">
        <v>196</v>
      </c>
      <c r="W324" s="435">
        <v>9</v>
      </c>
      <c r="X324" s="435">
        <v>1</v>
      </c>
      <c r="Y324" s="448">
        <v>41</v>
      </c>
      <c r="Z324" s="486"/>
    </row>
    <row r="325">
      <c r="A325" s="420"/>
      <c r="B325" s="421" t="s">
        <v>775</v>
      </c>
      <c r="C325" s="451" t="s">
        <v>784</v>
      </c>
      <c r="D325" s="459">
        <v>2726.72</v>
      </c>
      <c r="E325" s="423">
        <v>2</v>
      </c>
      <c r="F325" s="423">
        <v>2</v>
      </c>
      <c r="G325" s="460">
        <v>1599.6</v>
      </c>
      <c r="H325" s="424">
        <f t="shared" si="366"/>
      </c>
      <c r="I325" s="424">
        <f t="shared" si="15"/>
      </c>
      <c r="J325" s="424">
        <f t="shared" si="78"/>
      </c>
      <c r="K325" s="425">
        <f t="shared" si="117"/>
      </c>
      <c r="L325" s="426">
        <f t="shared" si="177"/>
      </c>
      <c r="M325" s="427">
        <f t="shared" si="147"/>
      </c>
      <c r="N325" s="427">
        <f t="shared" si="207"/>
      </c>
      <c r="O325" s="427">
        <f t="shared" si="260"/>
      </c>
      <c r="P325" s="428">
        <f t="shared" si="313"/>
      </c>
      <c r="Q325" s="429" t="s">
        <v>777</v>
      </c>
      <c r="R325" s="430" t="s">
        <v>778</v>
      </c>
      <c r="S325" s="436">
        <v>13196</v>
      </c>
      <c r="T325" s="436">
        <v>1482</v>
      </c>
      <c r="U325" s="436">
        <v>1999</v>
      </c>
      <c r="V325" s="436">
        <v>168</v>
      </c>
      <c r="W325" s="435">
        <v>3</v>
      </c>
      <c r="X325" s="435">
        <v>0</v>
      </c>
      <c r="Y325" s="448">
        <v>37</v>
      </c>
    </row>
    <row r="326">
      <c r="A326" s="420"/>
      <c r="B326" s="421" t="s">
        <v>775</v>
      </c>
      <c r="C326" s="451" t="s">
        <v>785</v>
      </c>
      <c r="D326" s="459">
        <v>3978.21</v>
      </c>
      <c r="E326" s="423">
        <v>6</v>
      </c>
      <c r="F326" s="423">
        <v>5</v>
      </c>
      <c r="G326" s="460">
        <v>5312.1</v>
      </c>
      <c r="H326" s="424">
        <f t="shared" si="366"/>
      </c>
      <c r="I326" s="424">
        <f t="shared" si="15"/>
      </c>
      <c r="J326" s="424">
        <f t="shared" si="78"/>
      </c>
      <c r="K326" s="425">
        <f t="shared" si="117"/>
      </c>
      <c r="L326" s="426">
        <f t="shared" si="177"/>
      </c>
      <c r="M326" s="427">
        <f t="shared" si="147"/>
      </c>
      <c r="N326" s="427">
        <f t="shared" si="207"/>
      </c>
      <c r="O326" s="427">
        <f t="shared" si="260"/>
      </c>
      <c r="P326" s="428">
        <f t="shared" si="313"/>
      </c>
      <c r="Q326" s="429" t="s">
        <v>777</v>
      </c>
      <c r="R326" s="430" t="s">
        <v>778</v>
      </c>
      <c r="S326" s="436">
        <v>17266</v>
      </c>
      <c r="T326" s="436">
        <v>1869</v>
      </c>
      <c r="U326" s="436">
        <v>2328</v>
      </c>
      <c r="V326" s="436">
        <v>171</v>
      </c>
      <c r="W326" s="435">
        <v>9</v>
      </c>
      <c r="X326" s="435">
        <v>1</v>
      </c>
      <c r="Y326" s="448">
        <v>38</v>
      </c>
    </row>
    <row r="327">
      <c r="A327" s="420"/>
      <c r="B327" s="421" t="s">
        <v>775</v>
      </c>
      <c r="C327" s="451" t="s">
        <v>786</v>
      </c>
      <c r="D327" s="459">
        <v>2227.82</v>
      </c>
      <c r="E327" s="423">
        <v>9</v>
      </c>
      <c r="F327" s="423">
        <v>5</v>
      </c>
      <c r="G327" s="460">
        <v>8074.6</v>
      </c>
      <c r="H327" s="424">
        <f t="shared" si="366"/>
      </c>
      <c r="I327" s="424">
        <f t="shared" si="15"/>
      </c>
      <c r="J327" s="424">
        <f t="shared" si="78"/>
      </c>
      <c r="K327" s="425">
        <f t="shared" si="117"/>
      </c>
      <c r="L327" s="426">
        <f t="shared" si="177"/>
      </c>
      <c r="M327" s="427">
        <f t="shared" si="147"/>
      </c>
      <c r="N327" s="427">
        <f t="shared" si="207"/>
      </c>
      <c r="O327" s="427">
        <f t="shared" si="260"/>
      </c>
      <c r="P327" s="428">
        <f t="shared" si="313"/>
      </c>
      <c r="Q327" s="429" t="s">
        <v>777</v>
      </c>
      <c r="R327" s="430" t="s">
        <v>778</v>
      </c>
      <c r="S327" s="436">
        <v>13527</v>
      </c>
      <c r="T327" s="436">
        <v>1279</v>
      </c>
      <c r="U327" s="436">
        <v>1572</v>
      </c>
      <c r="V327" s="436">
        <v>93</v>
      </c>
      <c r="W327" s="435">
        <v>10</v>
      </c>
      <c r="X327" s="435">
        <v>2</v>
      </c>
      <c r="Y327" s="448">
        <v>30</v>
      </c>
      <c r="AB327" s="497"/>
      <c r="AC327" s="486"/>
      <c r="AD327" s="486"/>
    </row>
    <row r="328">
      <c r="A328" s="420"/>
      <c r="B328" s="437" t="s">
        <v>774</v>
      </c>
      <c r="C328" s="437"/>
      <c r="D328" s="438">
        <f>SUM(D322:D327)</f>
      </c>
      <c r="E328" s="438">
        <f>SUM(E322:E327)</f>
      </c>
      <c r="F328" s="438">
        <f>SUM(F322:F327)</f>
      </c>
      <c r="G328" s="438">
        <f>SUM(G322:G327)</f>
      </c>
      <c r="H328" s="440">
        <f t="shared" si="366"/>
      </c>
      <c r="I328" s="441">
        <f t="shared" si="15"/>
      </c>
      <c r="J328" s="442">
        <f t="shared" si="78"/>
      </c>
      <c r="K328" s="443">
        <f t="shared" si="117"/>
      </c>
      <c r="L328" s="444">
        <f t="shared" si="177"/>
      </c>
      <c r="M328" s="443">
        <f t="shared" si="147"/>
      </c>
      <c r="N328" s="443">
        <f t="shared" si="207"/>
      </c>
      <c r="O328" s="445">
        <f t="shared" si="260"/>
      </c>
      <c r="P328" s="446">
        <f t="shared" si="313"/>
      </c>
      <c r="Q328" s="444"/>
      <c r="R328" s="444"/>
      <c r="S328" s="447">
        <f>SUM(S322:S327)</f>
      </c>
      <c r="T328" s="447">
        <f>SUM(T322:T327)</f>
      </c>
      <c r="U328" s="447">
        <f>SUM(U322:U327)</f>
      </c>
      <c r="V328" s="447">
        <f>SUM(V322:V327)</f>
      </c>
      <c r="W328" s="447">
        <f>SUM(W322:W327)</f>
      </c>
      <c r="X328" s="447">
        <f>SUM(X322:X327)</f>
      </c>
      <c r="Y328" s="447">
        <f>SUM(Y322:Y327)</f>
      </c>
      <c r="AB328" s="497"/>
      <c r="AC328" s="497"/>
    </row>
    <row r="329">
      <c r="A329" s="420"/>
      <c r="B329" s="452" t="s">
        <v>787</v>
      </c>
      <c r="C329" s="452"/>
      <c r="D329" s="466">
        <f>D315+D328+D321</f>
      </c>
      <c r="E329" s="466">
        <f>E315+E328+E321</f>
      </c>
      <c r="F329" s="466">
        <f>F315+F328+F321</f>
      </c>
      <c r="G329" s="466">
        <f>G315+G328+G321</f>
      </c>
      <c r="H329" s="452">
        <f t="shared" si="366"/>
      </c>
      <c r="I329" s="452">
        <f t="shared" si="15"/>
      </c>
      <c r="J329" s="452">
        <f t="shared" si="78"/>
      </c>
      <c r="K329" s="455">
        <f t="shared" si="117"/>
      </c>
      <c r="L329" s="452">
        <f t="shared" si="177"/>
      </c>
      <c r="M329" s="455">
        <f t="shared" si="147"/>
      </c>
      <c r="N329" s="455">
        <f t="shared" si="207"/>
      </c>
      <c r="O329" s="455">
        <f t="shared" si="260"/>
      </c>
      <c r="P329" s="452">
        <f t="shared" si="313"/>
      </c>
      <c r="Q329" s="456"/>
      <c r="R329" s="456"/>
      <c r="S329" s="454">
        <f>S315+S328+S321</f>
      </c>
      <c r="T329" s="454">
        <f>T315+T328+T321</f>
      </c>
      <c r="U329" s="454">
        <f>U315+U328+U321</f>
      </c>
      <c r="V329" s="454">
        <f>V315+V328+V321</f>
      </c>
      <c r="W329" s="454">
        <f>W315+W328+W321</f>
      </c>
      <c r="X329" s="454">
        <f>X315+X328+X321</f>
      </c>
      <c r="Y329" s="454">
        <f>Y315+Y328+Y321</f>
      </c>
      <c r="AC329" s="486"/>
      <c r="AD329" s="486"/>
    </row>
    <row r="330">
      <c r="A330" s="405" t="s">
        <v>738</v>
      </c>
      <c r="B330" s="405"/>
      <c r="C330" s="405"/>
      <c r="D330" s="406" t="s">
        <v>739</v>
      </c>
      <c r="E330" s="406"/>
      <c r="F330" s="406"/>
      <c r="G330" s="406"/>
      <c r="H330" s="406"/>
      <c r="I330" s="406"/>
      <c r="J330" s="406"/>
      <c r="K330" s="407" t="s">
        <v>740</v>
      </c>
      <c r="L330" s="407"/>
      <c r="M330" s="407"/>
      <c r="N330" s="407"/>
      <c r="O330" s="407"/>
      <c r="P330" s="407"/>
      <c r="Q330" s="407"/>
      <c r="R330" s="407"/>
      <c r="S330" s="408" t="s">
        <v>741</v>
      </c>
      <c r="T330" s="408"/>
      <c r="U330" s="408"/>
      <c r="V330" s="408"/>
      <c r="W330" s="408"/>
      <c r="X330" s="408"/>
      <c r="Y330" s="408"/>
    </row>
    <row r="331">
      <c r="A331" s="409" t="s">
        <v>742</v>
      </c>
      <c r="B331" s="409" t="s">
        <v>743</v>
      </c>
      <c r="C331" s="409" t="s">
        <v>744</v>
      </c>
      <c r="D331" s="410" t="s">
        <v>745</v>
      </c>
      <c r="E331" s="411" t="s">
        <v>746</v>
      </c>
      <c r="F331" s="463" t="s">
        <v>792</v>
      </c>
      <c r="G331" s="410" t="s">
        <v>747</v>
      </c>
      <c r="H331" s="412" t="s">
        <v>748</v>
      </c>
      <c r="I331" s="413" t="s">
        <v>749</v>
      </c>
      <c r="J331" s="410" t="s">
        <v>750</v>
      </c>
      <c r="K331" s="414" t="s">
        <v>751</v>
      </c>
      <c r="L331" s="415" t="s">
        <v>752</v>
      </c>
      <c r="M331" s="414" t="s">
        <v>753</v>
      </c>
      <c r="N331" s="414" t="s">
        <v>754</v>
      </c>
      <c r="O331" s="416" t="s">
        <v>755</v>
      </c>
      <c r="P331" s="416" t="s">
        <v>756</v>
      </c>
      <c r="Q331" s="417" t="s">
        <v>757</v>
      </c>
      <c r="R331" s="417" t="s">
        <v>758</v>
      </c>
      <c r="S331" s="431" t="s">
        <v>759</v>
      </c>
      <c r="T331" s="431" t="s">
        <v>760</v>
      </c>
      <c r="U331" s="431" t="s">
        <v>761</v>
      </c>
      <c r="V331" s="431" t="s">
        <v>762</v>
      </c>
      <c r="W331" s="431" t="s">
        <v>763</v>
      </c>
      <c r="X331" s="431" t="s">
        <v>764</v>
      </c>
      <c r="Y331" s="419" t="s">
        <v>765</v>
      </c>
    </row>
    <row r="332">
      <c r="A332" s="420" t="s">
        <v>848</v>
      </c>
      <c r="B332" s="421" t="s">
        <v>767</v>
      </c>
      <c r="C332" s="451" t="s">
        <v>794</v>
      </c>
      <c r="D332" s="421">
        <v>3279.7</v>
      </c>
      <c r="E332" s="423">
        <v>4</v>
      </c>
      <c r="F332" s="423">
        <v>2</v>
      </c>
      <c r="G332" s="467">
        <v>6046.2</v>
      </c>
      <c r="H332" s="424">
        <f t="shared" ref="H332:H351" si="367">G332/D332</f>
      </c>
      <c r="I332" s="424">
        <f>D332/E332</f>
      </c>
      <c r="J332" s="424">
        <f>G332/E332</f>
      </c>
      <c r="K332" s="425">
        <f t="shared" ref="K332:K351" si="118">T332/S332</f>
      </c>
      <c r="L332" s="426">
        <f t="shared" ref="L332:L351" si="178">D332/U332</f>
      </c>
      <c r="M332" s="427">
        <f t="shared" ref="M332:M351" si="148">V332/U332</f>
      </c>
      <c r="N332" s="427">
        <f t="shared" ref="N332:N351" si="208">E332/W332</f>
      </c>
      <c r="O332" s="427">
        <f t="shared" ref="O332:O351" si="261">X332/E332</f>
      </c>
      <c r="P332" s="428">
        <f t="shared" ref="P332:P351" si="314">(Y332*1000)/D332</f>
      </c>
      <c r="Q332" s="429" t="s">
        <v>769</v>
      </c>
      <c r="R332" s="430" t="s">
        <v>802</v>
      </c>
      <c r="S332" s="461">
        <v>17237</v>
      </c>
      <c r="T332" s="461">
        <v>2503</v>
      </c>
      <c r="U332" s="461">
        <v>3154</v>
      </c>
      <c r="V332" s="461">
        <v>256</v>
      </c>
      <c r="W332" s="461">
        <v>4</v>
      </c>
      <c r="X332" s="461">
        <v>1</v>
      </c>
      <c r="Y332" s="461">
        <v>50</v>
      </c>
      <c r="AC332" s="497"/>
    </row>
    <row r="333">
      <c r="A333" s="420"/>
      <c r="B333" s="421" t="s">
        <v>767</v>
      </c>
      <c r="C333" s="421" t="s">
        <v>796</v>
      </c>
      <c r="D333" s="421">
        <v>2179.04</v>
      </c>
      <c r="E333" s="423">
        <v>1</v>
      </c>
      <c r="F333" s="423">
        <v>0</v>
      </c>
      <c r="G333" s="467">
        <v>598</v>
      </c>
      <c r="H333" s="424">
        <f t="shared" si="367"/>
      </c>
      <c r="I333" s="424">
        <v>2161</v>
      </c>
      <c r="J333" s="424">
        <v>234</v>
      </c>
      <c r="K333" s="425">
        <f t="shared" si="118"/>
      </c>
      <c r="L333" s="426">
        <f t="shared" si="178"/>
      </c>
      <c r="M333" s="427">
        <f t="shared" si="148"/>
      </c>
      <c r="N333" s="427">
        <f t="shared" si="208"/>
      </c>
      <c r="O333" s="427">
        <f t="shared" si="261"/>
      </c>
      <c r="P333" s="428">
        <f t="shared" si="314"/>
      </c>
      <c r="Q333" s="429" t="s">
        <v>769</v>
      </c>
      <c r="R333" s="430" t="s">
        <v>802</v>
      </c>
      <c r="S333" s="461">
        <v>9747</v>
      </c>
      <c r="T333" s="461">
        <v>1637</v>
      </c>
      <c r="U333" s="461">
        <v>2169</v>
      </c>
      <c r="V333" s="461">
        <v>236</v>
      </c>
      <c r="W333" s="461">
        <v>2</v>
      </c>
      <c r="X333" s="461">
        <v>0</v>
      </c>
      <c r="Y333" s="461">
        <v>33</v>
      </c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</row>
    <row r="334">
      <c r="A334" s="420"/>
      <c r="B334" s="421" t="s">
        <v>767</v>
      </c>
      <c r="C334" s="421" t="s">
        <v>797</v>
      </c>
      <c r="D334" s="421">
        <v>1862.9</v>
      </c>
      <c r="E334" s="423">
        <v>7</v>
      </c>
      <c r="F334" s="423">
        <v>4</v>
      </c>
      <c r="G334" s="467">
        <v>5642.9</v>
      </c>
      <c r="H334" s="424">
        <f t="shared" si="367"/>
      </c>
      <c r="I334" s="424">
        <f t="shared" ref="I334:I351" si="16">D334/E334</f>
      </c>
      <c r="J334" s="424">
        <f t="shared" ref="J334:J351" si="79">G334/E334</f>
      </c>
      <c r="K334" s="425">
        <f t="shared" si="118"/>
      </c>
      <c r="L334" s="426">
        <f t="shared" si="178"/>
      </c>
      <c r="M334" s="427">
        <f t="shared" si="148"/>
      </c>
      <c r="N334" s="427">
        <f t="shared" si="208"/>
      </c>
      <c r="O334" s="427">
        <f t="shared" si="261"/>
      </c>
      <c r="P334" s="428">
        <f t="shared" si="314"/>
      </c>
      <c r="Q334" s="429" t="s">
        <v>769</v>
      </c>
      <c r="R334" s="430" t="s">
        <v>802</v>
      </c>
      <c r="S334" s="461">
        <v>7740</v>
      </c>
      <c r="T334" s="461">
        <v>1256</v>
      </c>
      <c r="U334" s="461">
        <v>1796</v>
      </c>
      <c r="V334" s="461">
        <v>195</v>
      </c>
      <c r="W334" s="461">
        <v>9</v>
      </c>
      <c r="X334" s="461">
        <v>2</v>
      </c>
      <c r="Y334" s="461">
        <v>32</v>
      </c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</row>
    <row r="335">
      <c r="A335" s="420"/>
      <c r="B335" s="421" t="s">
        <v>767</v>
      </c>
      <c r="C335" s="421" t="s">
        <v>798</v>
      </c>
      <c r="D335" s="421">
        <v>2249.74</v>
      </c>
      <c r="E335" s="423">
        <v>6</v>
      </c>
      <c r="F335" s="423">
        <v>1</v>
      </c>
      <c r="G335" s="462">
        <v>9874.4</v>
      </c>
      <c r="H335" s="424">
        <f t="shared" si="367"/>
      </c>
      <c r="I335" s="424">
        <f t="shared" si="16"/>
      </c>
      <c r="J335" s="424">
        <f t="shared" si="79"/>
      </c>
      <c r="K335" s="425">
        <f t="shared" si="118"/>
      </c>
      <c r="L335" s="426">
        <f t="shared" si="178"/>
      </c>
      <c r="M335" s="427">
        <f t="shared" si="148"/>
      </c>
      <c r="N335" s="427">
        <f t="shared" si="208"/>
      </c>
      <c r="O335" s="427">
        <f t="shared" si="261"/>
      </c>
      <c r="P335" s="428">
        <f t="shared" si="314"/>
      </c>
      <c r="Q335" s="429" t="s">
        <v>769</v>
      </c>
      <c r="R335" s="430" t="s">
        <v>802</v>
      </c>
      <c r="S335" s="461">
        <v>7609</v>
      </c>
      <c r="T335" s="461">
        <v>1169</v>
      </c>
      <c r="U335" s="461">
        <v>1643</v>
      </c>
      <c r="V335" s="461">
        <v>178</v>
      </c>
      <c r="W335" s="461">
        <v>6</v>
      </c>
      <c r="X335" s="435">
        <v>1</v>
      </c>
      <c r="Y335" s="435">
        <v>38</v>
      </c>
      <c r="Z335" s="486"/>
      <c r="AA335" s="487" t="s">
        <v>849</v>
      </c>
      <c r="AB335" s="487"/>
      <c r="AC335" s="487"/>
      <c r="AD335" s="487"/>
      <c r="AE335" s="487"/>
      <c r="AF335" s="487"/>
      <c r="AG335" s="487"/>
      <c r="AH335" s="487"/>
      <c r="AI335" s="487"/>
      <c r="AJ335" s="487"/>
      <c r="AK335" s="487"/>
    </row>
    <row r="336">
      <c r="A336" s="420"/>
      <c r="B336" s="421" t="s">
        <v>767</v>
      </c>
      <c r="C336" s="422" t="s">
        <v>768</v>
      </c>
      <c r="D336" s="421">
        <v>1798.98</v>
      </c>
      <c r="E336" s="423">
        <v>1</v>
      </c>
      <c r="F336" s="423">
        <v>1</v>
      </c>
      <c r="G336" s="462">
        <v>2943.6</v>
      </c>
      <c r="H336" s="424">
        <f t="shared" si="367"/>
      </c>
      <c r="I336" s="424">
        <f t="shared" si="16"/>
      </c>
      <c r="J336" s="424">
        <f t="shared" si="79"/>
      </c>
      <c r="K336" s="425">
        <f t="shared" si="118"/>
      </c>
      <c r="L336" s="426">
        <f t="shared" si="178"/>
      </c>
      <c r="M336" s="427">
        <f t="shared" si="148"/>
      </c>
      <c r="N336" s="427">
        <f t="shared" si="208"/>
      </c>
      <c r="O336" s="427">
        <f t="shared" si="261"/>
      </c>
      <c r="P336" s="428">
        <f t="shared" si="314"/>
      </c>
      <c r="Q336" s="429" t="s">
        <v>769</v>
      </c>
      <c r="R336" s="430" t="s">
        <v>802</v>
      </c>
      <c r="S336" s="461">
        <v>6630</v>
      </c>
      <c r="T336" s="461">
        <v>1115</v>
      </c>
      <c r="U336" s="461">
        <v>1519</v>
      </c>
      <c r="V336" s="461">
        <v>164</v>
      </c>
      <c r="W336" s="461">
        <v>3</v>
      </c>
      <c r="X336" s="435">
        <v>0</v>
      </c>
      <c r="Y336" s="435">
        <v>25</v>
      </c>
      <c r="Z336" s="486"/>
      <c r="AA336" s="489" t="s">
        <v>806</v>
      </c>
      <c r="AB336" s="489" t="s">
        <v>807</v>
      </c>
      <c r="AC336" s="489" t="s">
        <v>808</v>
      </c>
      <c r="AD336" s="489" t="s">
        <v>809</v>
      </c>
      <c r="AE336" s="489" t="s">
        <v>810</v>
      </c>
      <c r="AF336" s="489" t="s">
        <v>811</v>
      </c>
      <c r="AG336" s="489" t="s">
        <v>750</v>
      </c>
      <c r="AH336" s="489" t="s">
        <v>812</v>
      </c>
      <c r="AI336" s="489" t="s">
        <v>748</v>
      </c>
      <c r="AJ336" s="489" t="s">
        <v>813</v>
      </c>
      <c r="AK336" s="489"/>
    </row>
    <row r="337">
      <c r="A337" s="420"/>
      <c r="B337" s="437" t="s">
        <v>774</v>
      </c>
      <c r="C337" s="437"/>
      <c r="D337" s="438">
        <f>SUM(D332:D336)</f>
      </c>
      <c r="E337" s="438">
        <f>SUM(E332:E336)</f>
      </c>
      <c r="F337" s="438">
        <f>SUM(F332:F336)</f>
      </c>
      <c r="G337" s="438">
        <f>SUM(G332:G336)</f>
      </c>
      <c r="H337" s="440">
        <f t="shared" si="367"/>
      </c>
      <c r="I337" s="441">
        <f t="shared" si="16"/>
      </c>
      <c r="J337" s="442">
        <f t="shared" si="79"/>
      </c>
      <c r="K337" s="443">
        <f t="shared" si="118"/>
      </c>
      <c r="L337" s="444">
        <f t="shared" si="178"/>
      </c>
      <c r="M337" s="443">
        <f t="shared" si="148"/>
      </c>
      <c r="N337" s="443">
        <f t="shared" si="208"/>
      </c>
      <c r="O337" s="445">
        <f t="shared" si="261"/>
      </c>
      <c r="P337" s="446">
        <f t="shared" si="314"/>
      </c>
      <c r="Q337" s="444"/>
      <c r="R337" s="444"/>
      <c r="S337" s="447">
        <f>SUM(S332:S336)</f>
      </c>
      <c r="T337" s="447">
        <f>SUM(T332:T336)</f>
      </c>
      <c r="U337" s="447">
        <f>SUM(U332:U336)</f>
      </c>
      <c r="V337" s="447">
        <f>SUM(V332:V336)</f>
      </c>
      <c r="W337" s="447">
        <f>SUM(W332:W336)</f>
      </c>
      <c r="X337" s="447">
        <f>SUM(X332:X336)</f>
      </c>
      <c r="Y337" s="447">
        <f>SUM(Y332:Y336)</f>
      </c>
      <c r="Z337" s="486"/>
      <c r="AA337" s="490" t="s">
        <v>767</v>
      </c>
      <c r="AB337" s="496" t="s">
        <v>845</v>
      </c>
      <c r="AC337" s="490">
        <v>5</v>
      </c>
      <c r="AD337" s="490">
        <v>11370.36</v>
      </c>
      <c r="AE337" s="490">
        <v>25105.1</v>
      </c>
      <c r="AF337" s="490">
        <v>19</v>
      </c>
      <c r="AG337" s="493">
        <f t="shared" ref="AG337:AG339" si="231">AE337/AF337</f>
      </c>
      <c r="AH337" s="493">
        <f t="shared" ref="AH337:AH339" si="284">AD337/AF337</f>
      </c>
      <c r="AI337" s="493">
        <f t="shared" ref="AI337:AI339" si="337">AE337/AD337</f>
      </c>
      <c r="AJ337" s="492">
        <f>AD337/AC337</f>
      </c>
      <c r="AK337" s="492"/>
    </row>
    <row r="338">
      <c r="A338" s="420"/>
      <c r="B338" s="421" t="s">
        <v>789</v>
      </c>
      <c r="C338" s="433" t="s">
        <v>771</v>
      </c>
      <c r="D338" s="459">
        <v>1532.86</v>
      </c>
      <c r="E338" s="423">
        <v>1</v>
      </c>
      <c r="F338" s="423">
        <v>1</v>
      </c>
      <c r="G338" s="460">
        <v>652.8</v>
      </c>
      <c r="H338" s="424">
        <f t="shared" si="367"/>
      </c>
      <c r="I338" s="424">
        <f t="shared" si="16"/>
      </c>
      <c r="J338" s="424">
        <f t="shared" si="79"/>
      </c>
      <c r="K338" s="425">
        <f t="shared" si="118"/>
      </c>
      <c r="L338" s="426">
        <f t="shared" si="178"/>
      </c>
      <c r="M338" s="427">
        <f t="shared" si="148"/>
      </c>
      <c r="N338" s="427">
        <f t="shared" si="208"/>
      </c>
      <c r="O338" s="427">
        <f t="shared" si="261"/>
      </c>
      <c r="P338" s="428">
        <f t="shared" si="314"/>
      </c>
      <c r="Q338" s="429" t="s">
        <v>777</v>
      </c>
      <c r="R338" s="430" t="s">
        <v>802</v>
      </c>
      <c r="S338" s="461">
        <v>5860</v>
      </c>
      <c r="T338" s="461">
        <v>981</v>
      </c>
      <c r="U338" s="461">
        <v>1406</v>
      </c>
      <c r="V338" s="461">
        <v>152</v>
      </c>
      <c r="W338" s="461">
        <v>2</v>
      </c>
      <c r="X338" s="461">
        <v>0</v>
      </c>
      <c r="Y338" s="461">
        <v>20</v>
      </c>
      <c r="Z338" s="486"/>
      <c r="AA338" s="490" t="s">
        <v>789</v>
      </c>
      <c r="AB338" s="496" t="s">
        <v>846</v>
      </c>
      <c r="AC338" s="490">
        <v>5</v>
      </c>
      <c r="AD338" s="490">
        <v>7560.48</v>
      </c>
      <c r="AE338" s="490">
        <v>5668.8</v>
      </c>
      <c r="AF338" s="490">
        <v>7</v>
      </c>
      <c r="AG338" s="493">
        <f t="shared" si="231"/>
      </c>
      <c r="AH338" s="493">
        <f t="shared" si="284"/>
      </c>
      <c r="AI338" s="493">
        <f t="shared" si="337"/>
      </c>
      <c r="AJ338" s="492">
        <f t="shared" ref="AJ338:AJ339" si="48">AD338/4</f>
      </c>
      <c r="AK338" s="492"/>
    </row>
    <row r="339">
      <c r="A339" s="420"/>
      <c r="B339" s="421" t="s">
        <v>789</v>
      </c>
      <c r="C339" s="433" t="s">
        <v>772</v>
      </c>
      <c r="D339" s="459">
        <v>1494.41</v>
      </c>
      <c r="E339" s="423">
        <v>1</v>
      </c>
      <c r="F339" s="423">
        <v>1</v>
      </c>
      <c r="G339" s="460">
        <v>402</v>
      </c>
      <c r="H339" s="424">
        <f t="shared" si="367"/>
      </c>
      <c r="I339" s="424">
        <f t="shared" si="16"/>
      </c>
      <c r="J339" s="424">
        <f t="shared" si="79"/>
      </c>
      <c r="K339" s="425">
        <f t="shared" si="118"/>
      </c>
      <c r="L339" s="426">
        <f t="shared" si="178"/>
      </c>
      <c r="M339" s="427">
        <f t="shared" si="148"/>
      </c>
      <c r="N339" s="427">
        <f t="shared" si="208"/>
      </c>
      <c r="O339" s="427">
        <f t="shared" si="261"/>
      </c>
      <c r="P339" s="428">
        <f t="shared" si="314"/>
      </c>
      <c r="Q339" s="429" t="s">
        <v>777</v>
      </c>
      <c r="R339" s="430" t="s">
        <v>802</v>
      </c>
      <c r="S339" s="461">
        <v>7255</v>
      </c>
      <c r="T339" s="461">
        <v>911</v>
      </c>
      <c r="U339" s="461">
        <v>1291</v>
      </c>
      <c r="V339" s="461">
        <v>120</v>
      </c>
      <c r="W339" s="461">
        <v>5</v>
      </c>
      <c r="X339" s="461">
        <v>0</v>
      </c>
      <c r="Y339" s="461">
        <v>17</v>
      </c>
      <c r="Z339" s="486"/>
      <c r="AA339" s="490" t="s">
        <v>782</v>
      </c>
      <c r="AB339" s="496" t="s">
        <v>847</v>
      </c>
      <c r="AC339" s="490">
        <v>6</v>
      </c>
      <c r="AD339" s="490">
        <v>14404.71</v>
      </c>
      <c r="AE339" s="490">
        <v>34450</v>
      </c>
      <c r="AF339" s="490">
        <v>27</v>
      </c>
      <c r="AG339" s="493">
        <f t="shared" si="231"/>
      </c>
      <c r="AH339" s="493">
        <f t="shared" si="284"/>
      </c>
      <c r="AI339" s="493">
        <f t="shared" si="337"/>
      </c>
      <c r="AJ339" s="492">
        <f t="shared" si="48"/>
      </c>
      <c r="AK339" s="492"/>
    </row>
    <row r="340">
      <c r="A340" s="420"/>
      <c r="B340" s="421" t="s">
        <v>789</v>
      </c>
      <c r="C340" s="433" t="s">
        <v>773</v>
      </c>
      <c r="D340" s="459">
        <v>1368.3</v>
      </c>
      <c r="E340" s="423">
        <v>3</v>
      </c>
      <c r="F340" s="423">
        <v>3</v>
      </c>
      <c r="G340" s="460">
        <v>2218.8</v>
      </c>
      <c r="H340" s="424">
        <f t="shared" si="367"/>
      </c>
      <c r="I340" s="424">
        <f t="shared" si="16"/>
      </c>
      <c r="J340" s="424">
        <f t="shared" si="79"/>
      </c>
      <c r="K340" s="425">
        <f t="shared" si="118"/>
      </c>
      <c r="L340" s="426">
        <f t="shared" si="178"/>
      </c>
      <c r="M340" s="427">
        <f t="shared" si="148"/>
      </c>
      <c r="N340" s="427">
        <f t="shared" si="208"/>
      </c>
      <c r="O340" s="427">
        <f t="shared" si="261"/>
      </c>
      <c r="P340" s="428">
        <f t="shared" si="314"/>
      </c>
      <c r="Q340" s="429" t="s">
        <v>777</v>
      </c>
      <c r="R340" s="430" t="s">
        <v>802</v>
      </c>
      <c r="S340" s="461">
        <v>5791</v>
      </c>
      <c r="T340" s="461">
        <v>795</v>
      </c>
      <c r="U340" s="461">
        <v>1139</v>
      </c>
      <c r="V340" s="461">
        <v>137</v>
      </c>
      <c r="W340" s="461">
        <v>5</v>
      </c>
      <c r="X340" s="461">
        <v>0</v>
      </c>
      <c r="Y340" s="461">
        <v>82</v>
      </c>
      <c r="Z340" s="486"/>
      <c r="AA340" s="495" t="s">
        <v>819</v>
      </c>
      <c r="AB340" s="495"/>
      <c r="AC340" s="495"/>
      <c r="AD340" s="495"/>
      <c r="AE340" s="495"/>
      <c r="AF340" s="495"/>
      <c r="AG340" s="495"/>
      <c r="AH340" s="495"/>
      <c r="AI340" s="495"/>
      <c r="AJ340" s="495"/>
      <c r="AK340" s="495"/>
    </row>
    <row r="341">
      <c r="A341" s="420"/>
      <c r="B341" s="421" t="s">
        <v>789</v>
      </c>
      <c r="C341" s="433" t="s">
        <v>776</v>
      </c>
      <c r="D341" s="459">
        <v>1035.77</v>
      </c>
      <c r="E341" s="423">
        <v>0</v>
      </c>
      <c r="F341" s="423">
        <v>0</v>
      </c>
      <c r="G341" s="460">
        <v>0</v>
      </c>
      <c r="H341" s="424">
        <f t="shared" si="367"/>
      </c>
      <c r="I341" s="424">
        <f t="shared" si="16"/>
      </c>
      <c r="J341" s="424">
        <f t="shared" si="79"/>
      </c>
      <c r="K341" s="425">
        <f t="shared" si="118"/>
      </c>
      <c r="L341" s="426">
        <f t="shared" si="178"/>
      </c>
      <c r="M341" s="427">
        <f t="shared" si="148"/>
      </c>
      <c r="N341" s="427">
        <f t="shared" si="208"/>
      </c>
      <c r="O341" s="427">
        <f t="shared" si="261"/>
      </c>
      <c r="P341" s="428">
        <f t="shared" si="314"/>
      </c>
      <c r="Q341" s="429" t="s">
        <v>777</v>
      </c>
      <c r="R341" s="430" t="s">
        <v>778</v>
      </c>
      <c r="S341" s="461">
        <v>4792</v>
      </c>
      <c r="T341" s="461">
        <v>667</v>
      </c>
      <c r="U341" s="461">
        <v>983</v>
      </c>
      <c r="V341" s="461">
        <v>111</v>
      </c>
      <c r="W341" s="461">
        <v>0</v>
      </c>
      <c r="X341" s="435">
        <v>0</v>
      </c>
      <c r="Y341" s="435">
        <v>12</v>
      </c>
      <c r="Z341" s="486"/>
      <c r="AA341" s="478" t="s">
        <v>809</v>
      </c>
      <c r="AB341" s="478" t="s">
        <v>820</v>
      </c>
      <c r="AC341" s="479" t="s">
        <v>821</v>
      </c>
      <c r="AD341" s="478" t="s">
        <v>822</v>
      </c>
      <c r="AE341" s="478" t="s">
        <v>823</v>
      </c>
      <c r="AF341" s="478" t="s">
        <v>824</v>
      </c>
      <c r="AG341" s="478" t="s">
        <v>825</v>
      </c>
      <c r="AH341" s="480" t="s">
        <v>764</v>
      </c>
      <c r="AI341" s="480" t="s">
        <v>826</v>
      </c>
      <c r="AJ341" s="480" t="s">
        <v>827</v>
      </c>
      <c r="AK341" s="480" t="s">
        <v>808</v>
      </c>
    </row>
    <row r="342">
      <c r="A342" s="420"/>
      <c r="B342" s="421" t="s">
        <v>789</v>
      </c>
      <c r="C342" s="422" t="s">
        <v>779</v>
      </c>
      <c r="D342" s="459">
        <v>2129.14</v>
      </c>
      <c r="E342" s="423">
        <v>2</v>
      </c>
      <c r="F342" s="423">
        <v>2</v>
      </c>
      <c r="G342" s="460">
        <v>2395.2</v>
      </c>
      <c r="H342" s="424">
        <f t="shared" si="367"/>
      </c>
      <c r="I342" s="424">
        <f t="shared" si="16"/>
      </c>
      <c r="J342" s="424">
        <f t="shared" si="79"/>
      </c>
      <c r="K342" s="425">
        <f t="shared" si="118"/>
      </c>
      <c r="L342" s="426">
        <f t="shared" si="178"/>
      </c>
      <c r="M342" s="427">
        <f t="shared" si="148"/>
      </c>
      <c r="N342" s="427">
        <f t="shared" si="208"/>
      </c>
      <c r="O342" s="427">
        <f t="shared" si="261"/>
      </c>
      <c r="P342" s="428">
        <f t="shared" si="314"/>
      </c>
      <c r="Q342" s="429" t="s">
        <v>777</v>
      </c>
      <c r="R342" s="430" t="s">
        <v>778</v>
      </c>
      <c r="S342" s="461">
        <v>8824</v>
      </c>
      <c r="T342" s="461">
        <v>1191</v>
      </c>
      <c r="U342" s="461">
        <v>1692</v>
      </c>
      <c r="V342" s="461">
        <v>183</v>
      </c>
      <c r="W342" s="461">
        <v>4</v>
      </c>
      <c r="X342" s="435">
        <v>0</v>
      </c>
      <c r="Y342" s="435">
        <v>44</v>
      </c>
      <c r="Z342" s="486"/>
      <c r="AA342" s="465">
        <f>SUM(AD337:AD339)</f>
      </c>
      <c r="AB342" s="465">
        <f>SUM(AE337:AE339)</f>
      </c>
      <c r="AC342" s="481">
        <f>AB342/((AK342*300)+AA342)</f>
      </c>
      <c r="AD342" s="482">
        <f>AA342/AJ342</f>
      </c>
      <c r="AE342" s="481">
        <f>AB342/AJ342</f>
      </c>
      <c r="AF342" s="483">
        <f>AJ342/AI342</f>
      </c>
      <c r="AG342" s="483">
        <f>AH342/AJ342</f>
      </c>
      <c r="AH342" s="484">
        <v>8</v>
      </c>
      <c r="AI342" s="484">
        <v>72</v>
      </c>
      <c r="AJ342" s="485">
        <f>SUM(AF337:AF339)</f>
      </c>
      <c r="AK342" s="485">
        <f>SUM(AC337:AC339)</f>
      </c>
    </row>
    <row r="343">
      <c r="A343" s="420"/>
      <c r="B343" s="437" t="s">
        <v>774</v>
      </c>
      <c r="C343" s="437"/>
      <c r="D343" s="438">
        <f>SUM(D338:D342)</f>
      </c>
      <c r="E343" s="438">
        <f>SUM(E338:E342)</f>
      </c>
      <c r="F343" s="438">
        <f>SUM(F338:F342)</f>
      </c>
      <c r="G343" s="438">
        <f>SUM(G338:G342)</f>
      </c>
      <c r="H343" s="440">
        <f t="shared" si="367"/>
      </c>
      <c r="I343" s="441">
        <f t="shared" si="16"/>
      </c>
      <c r="J343" s="442">
        <f t="shared" si="79"/>
      </c>
      <c r="K343" s="443">
        <f t="shared" si="118"/>
      </c>
      <c r="L343" s="444">
        <f t="shared" si="178"/>
      </c>
      <c r="M343" s="443">
        <f t="shared" si="148"/>
      </c>
      <c r="N343" s="443">
        <f t="shared" si="208"/>
      </c>
      <c r="O343" s="445">
        <f t="shared" si="261"/>
      </c>
      <c r="P343" s="446">
        <f t="shared" si="314"/>
      </c>
      <c r="Q343" s="444"/>
      <c r="R343" s="444"/>
      <c r="S343" s="447">
        <f>SUM(S338:S342)</f>
      </c>
      <c r="T343" s="447">
        <f>SUM(T338:T342)</f>
      </c>
      <c r="U343" s="447">
        <f>SUM(U338:U342)</f>
      </c>
      <c r="V343" s="447">
        <f>SUM(V338:V342)</f>
      </c>
      <c r="W343" s="447">
        <f>SUM(W338:W342)</f>
      </c>
      <c r="X343" s="447">
        <f>SUM(X338:X342)</f>
      </c>
      <c r="Y343" s="447">
        <f>SUM(Y338:Y342)</f>
      </c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</row>
    <row r="344">
      <c r="A344" s="420"/>
      <c r="B344" s="421" t="s">
        <v>782</v>
      </c>
      <c r="C344" s="422" t="s">
        <v>780</v>
      </c>
      <c r="D344" s="459">
        <v>2168.21</v>
      </c>
      <c r="E344" s="423">
        <v>2</v>
      </c>
      <c r="F344" s="423">
        <v>1</v>
      </c>
      <c r="G344" s="460">
        <v>4141.2</v>
      </c>
      <c r="H344" s="424">
        <f t="shared" si="367"/>
      </c>
      <c r="I344" s="424">
        <f t="shared" si="16"/>
      </c>
      <c r="J344" s="424">
        <f t="shared" si="79"/>
      </c>
      <c r="K344" s="425">
        <f t="shared" si="118"/>
      </c>
      <c r="L344" s="426">
        <f t="shared" si="178"/>
      </c>
      <c r="M344" s="427">
        <f t="shared" si="148"/>
      </c>
      <c r="N344" s="427">
        <f t="shared" si="208"/>
      </c>
      <c r="O344" s="427">
        <f t="shared" si="261"/>
      </c>
      <c r="P344" s="428">
        <f t="shared" si="314"/>
      </c>
      <c r="Q344" s="429" t="s">
        <v>777</v>
      </c>
      <c r="R344" s="430" t="s">
        <v>778</v>
      </c>
      <c r="S344" s="461">
        <v>8081</v>
      </c>
      <c r="T344" s="461">
        <v>1175</v>
      </c>
      <c r="U344" s="461">
        <v>1675</v>
      </c>
      <c r="V344" s="461">
        <v>193</v>
      </c>
      <c r="W344" s="461">
        <v>1</v>
      </c>
      <c r="X344" s="461">
        <v>0</v>
      </c>
      <c r="Y344" s="461">
        <v>29</v>
      </c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</row>
    <row r="345">
      <c r="A345" s="420"/>
      <c r="B345" s="421" t="s">
        <v>782</v>
      </c>
      <c r="C345" s="422" t="s">
        <v>781</v>
      </c>
      <c r="D345" s="459">
        <v>1923.77</v>
      </c>
      <c r="E345" s="423">
        <v>5</v>
      </c>
      <c r="F345" s="423">
        <v>1</v>
      </c>
      <c r="G345" s="460">
        <v>6079.2</v>
      </c>
      <c r="H345" s="424">
        <f t="shared" si="367"/>
      </c>
      <c r="I345" s="424">
        <f t="shared" si="16"/>
      </c>
      <c r="J345" s="424">
        <f t="shared" si="79"/>
      </c>
      <c r="K345" s="425">
        <f t="shared" si="118"/>
      </c>
      <c r="L345" s="426">
        <f t="shared" si="178"/>
      </c>
      <c r="M345" s="427">
        <f t="shared" si="148"/>
      </c>
      <c r="N345" s="427">
        <f t="shared" si="208"/>
      </c>
      <c r="O345" s="427">
        <f t="shared" si="261"/>
      </c>
      <c r="P345" s="428">
        <f t="shared" si="314"/>
      </c>
      <c r="Q345" s="429" t="s">
        <v>777</v>
      </c>
      <c r="R345" s="430" t="s">
        <v>778</v>
      </c>
      <c r="S345" s="461">
        <v>9691</v>
      </c>
      <c r="T345" s="461">
        <v>1432</v>
      </c>
      <c r="U345" s="461">
        <v>2002</v>
      </c>
      <c r="V345" s="461">
        <v>197</v>
      </c>
      <c r="W345" s="461">
        <v>6</v>
      </c>
      <c r="X345" s="461">
        <v>1</v>
      </c>
      <c r="Y345" s="461">
        <v>34</v>
      </c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</row>
    <row r="346">
      <c r="A346" s="420"/>
      <c r="B346" s="421" t="s">
        <v>782</v>
      </c>
      <c r="C346" s="422" t="s">
        <v>783</v>
      </c>
      <c r="D346" s="459">
        <v>2094.78</v>
      </c>
      <c r="E346" s="423">
        <v>3</v>
      </c>
      <c r="F346" s="423">
        <v>2</v>
      </c>
      <c r="G346" s="460">
        <v>1304.4</v>
      </c>
      <c r="H346" s="424">
        <f t="shared" si="367"/>
      </c>
      <c r="I346" s="424">
        <f t="shared" si="16"/>
      </c>
      <c r="J346" s="424">
        <f t="shared" si="79"/>
      </c>
      <c r="K346" s="425">
        <f t="shared" si="118"/>
      </c>
      <c r="L346" s="426">
        <f t="shared" si="178"/>
      </c>
      <c r="M346" s="427">
        <f t="shared" si="148"/>
      </c>
      <c r="N346" s="427">
        <f t="shared" si="208"/>
      </c>
      <c r="O346" s="427">
        <f t="shared" si="261"/>
      </c>
      <c r="P346" s="428">
        <f t="shared" si="314"/>
      </c>
      <c r="Q346" s="429" t="s">
        <v>777</v>
      </c>
      <c r="R346" s="430" t="s">
        <v>778</v>
      </c>
      <c r="S346" s="461">
        <v>9860</v>
      </c>
      <c r="T346" s="461">
        <v>1417</v>
      </c>
      <c r="U346" s="461">
        <v>2023</v>
      </c>
      <c r="V346" s="461">
        <v>193</v>
      </c>
      <c r="W346" s="461">
        <v>6</v>
      </c>
      <c r="X346" s="461">
        <v>1</v>
      </c>
      <c r="Y346" s="461">
        <v>35</v>
      </c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</row>
    <row r="347">
      <c r="A347" s="420"/>
      <c r="B347" s="421" t="s">
        <v>782</v>
      </c>
      <c r="C347" s="451" t="s">
        <v>784</v>
      </c>
      <c r="D347" s="459">
        <v>3019.04</v>
      </c>
      <c r="E347" s="423">
        <v>4</v>
      </c>
      <c r="F347" s="423">
        <v>4</v>
      </c>
      <c r="G347" s="460">
        <v>8103.6</v>
      </c>
      <c r="H347" s="424">
        <f t="shared" si="367"/>
      </c>
      <c r="I347" s="424">
        <f t="shared" si="16"/>
      </c>
      <c r="J347" s="424">
        <f t="shared" si="79"/>
      </c>
      <c r="K347" s="425">
        <f t="shared" si="118"/>
      </c>
      <c r="L347" s="426">
        <f t="shared" si="178"/>
      </c>
      <c r="M347" s="427">
        <f t="shared" si="148"/>
      </c>
      <c r="N347" s="427">
        <f t="shared" si="208"/>
      </c>
      <c r="O347" s="427">
        <f t="shared" si="261"/>
      </c>
      <c r="P347" s="428">
        <f t="shared" si="314"/>
      </c>
      <c r="Q347" s="429" t="s">
        <v>777</v>
      </c>
      <c r="R347" s="430" t="s">
        <v>778</v>
      </c>
      <c r="S347" s="461">
        <v>13005</v>
      </c>
      <c r="T347" s="461">
        <v>2117</v>
      </c>
      <c r="U347" s="461">
        <v>2898</v>
      </c>
      <c r="V347" s="461">
        <v>262</v>
      </c>
      <c r="W347" s="461">
        <v>4</v>
      </c>
      <c r="X347" s="435">
        <v>0</v>
      </c>
      <c r="Y347" s="435">
        <v>52</v>
      </c>
      <c r="Z347" s="486"/>
      <c r="AA347" s="486"/>
      <c r="AB347" s="486"/>
      <c r="AD347" s="486"/>
      <c r="AE347" s="486"/>
      <c r="AF347" s="486"/>
      <c r="AG347" s="486"/>
      <c r="AH347" s="486"/>
      <c r="AI347" s="486"/>
      <c r="AJ347" s="486"/>
      <c r="AK347" s="497"/>
    </row>
    <row r="348">
      <c r="A348" s="420"/>
      <c r="B348" s="421" t="s">
        <v>782</v>
      </c>
      <c r="C348" s="451" t="s">
        <v>785</v>
      </c>
      <c r="D348" s="459">
        <v>3109.53</v>
      </c>
      <c r="E348" s="423">
        <v>5</v>
      </c>
      <c r="F348" s="423">
        <v>4</v>
      </c>
      <c r="G348" s="460">
        <v>10106.4</v>
      </c>
      <c r="H348" s="424">
        <f t="shared" si="367"/>
      </c>
      <c r="I348" s="424">
        <f t="shared" si="16"/>
      </c>
      <c r="J348" s="424">
        <f t="shared" si="79"/>
      </c>
      <c r="K348" s="425">
        <f t="shared" si="118"/>
      </c>
      <c r="L348" s="426">
        <f t="shared" si="178"/>
      </c>
      <c r="M348" s="427">
        <f t="shared" si="148"/>
      </c>
      <c r="N348" s="427">
        <f t="shared" si="208"/>
      </c>
      <c r="O348" s="427">
        <f t="shared" si="261"/>
      </c>
      <c r="P348" s="428">
        <f t="shared" si="314"/>
      </c>
      <c r="Q348" s="429" t="s">
        <v>777</v>
      </c>
      <c r="R348" s="430" t="s">
        <v>778</v>
      </c>
      <c r="S348" s="461">
        <v>15025</v>
      </c>
      <c r="T348" s="461">
        <v>2462</v>
      </c>
      <c r="U348" s="461">
        <v>3161</v>
      </c>
      <c r="V348" s="461">
        <v>198</v>
      </c>
      <c r="W348" s="461">
        <v>7</v>
      </c>
      <c r="X348" s="435">
        <v>1</v>
      </c>
      <c r="Y348" s="435">
        <v>42</v>
      </c>
    </row>
    <row r="349">
      <c r="A349" s="420"/>
      <c r="B349" s="421" t="s">
        <v>782</v>
      </c>
      <c r="C349" s="451" t="s">
        <v>786</v>
      </c>
      <c r="D349" s="459">
        <v>2089.38</v>
      </c>
      <c r="E349" s="423">
        <v>8</v>
      </c>
      <c r="F349" s="423">
        <v>5</v>
      </c>
      <c r="G349" s="460">
        <v>4715.2</v>
      </c>
      <c r="H349" s="424">
        <f t="shared" si="367"/>
      </c>
      <c r="I349" s="424">
        <f t="shared" si="16"/>
      </c>
      <c r="J349" s="424">
        <f t="shared" si="79"/>
      </c>
      <c r="K349" s="425">
        <f t="shared" si="118"/>
      </c>
      <c r="L349" s="426">
        <f t="shared" si="178"/>
      </c>
      <c r="M349" s="427">
        <f t="shared" si="148"/>
      </c>
      <c r="N349" s="427">
        <f t="shared" si="208"/>
      </c>
      <c r="O349" s="427">
        <f t="shared" si="261"/>
      </c>
      <c r="P349" s="428">
        <f t="shared" si="314"/>
      </c>
      <c r="Q349" s="429" t="s">
        <v>777</v>
      </c>
      <c r="R349" s="430" t="s">
        <v>778</v>
      </c>
      <c r="S349" s="436">
        <v>10521</v>
      </c>
      <c r="T349" s="436">
        <v>1591</v>
      </c>
      <c r="U349" s="436">
        <v>2020</v>
      </c>
      <c r="V349" s="436">
        <v>156</v>
      </c>
      <c r="W349" s="435">
        <v>9</v>
      </c>
      <c r="X349" s="435">
        <v>1</v>
      </c>
      <c r="Y349" s="448">
        <v>45</v>
      </c>
    </row>
    <row r="350">
      <c r="A350" s="420"/>
      <c r="B350" s="437" t="s">
        <v>774</v>
      </c>
      <c r="C350" s="437"/>
      <c r="D350" s="438">
        <f>SUM(D344:D349)</f>
      </c>
      <c r="E350" s="438">
        <f>SUM(E344:E349)</f>
      </c>
      <c r="F350" s="438">
        <f>SUM(F344:F349)</f>
      </c>
      <c r="G350" s="438">
        <f>SUM(G344:G349)</f>
      </c>
      <c r="H350" s="440">
        <f t="shared" si="367"/>
      </c>
      <c r="I350" s="441">
        <f t="shared" si="16"/>
      </c>
      <c r="J350" s="442">
        <f t="shared" si="79"/>
      </c>
      <c r="K350" s="443">
        <f t="shared" si="118"/>
      </c>
      <c r="L350" s="444">
        <f t="shared" si="178"/>
      </c>
      <c r="M350" s="443">
        <f t="shared" si="148"/>
      </c>
      <c r="N350" s="443">
        <f t="shared" si="208"/>
      </c>
      <c r="O350" s="445">
        <f t="shared" si="261"/>
      </c>
      <c r="P350" s="446">
        <f t="shared" si="314"/>
      </c>
      <c r="Q350" s="444"/>
      <c r="R350" s="444"/>
      <c r="S350" s="447">
        <f>SUM(S344:S349)</f>
      </c>
      <c r="T350" s="447">
        <f>SUM(T344:T349)</f>
      </c>
      <c r="U350" s="447">
        <f>SUM(U344:U349)</f>
      </c>
      <c r="V350" s="447">
        <f>SUM(V344:V349)</f>
      </c>
      <c r="W350" s="447">
        <f>SUM(W344:W349)</f>
      </c>
      <c r="X350" s="447">
        <f>SUM(X344:X349)</f>
      </c>
      <c r="Y350" s="447">
        <f>SUM(Y344:Y349)</f>
      </c>
    </row>
    <row r="351">
      <c r="A351" s="420"/>
      <c r="B351" s="452" t="s">
        <v>787</v>
      </c>
      <c r="C351" s="452"/>
      <c r="D351" s="466">
        <f>D337+D350+D343</f>
      </c>
      <c r="E351" s="466">
        <f>E337+E350+E343</f>
      </c>
      <c r="F351" s="466">
        <f>F337+F350+F343</f>
      </c>
      <c r="G351" s="466">
        <f>G337+G350+G343</f>
      </c>
      <c r="H351" s="452">
        <f t="shared" si="367"/>
      </c>
      <c r="I351" s="452">
        <f t="shared" si="16"/>
      </c>
      <c r="J351" s="452">
        <f t="shared" si="79"/>
      </c>
      <c r="K351" s="455">
        <f t="shared" si="118"/>
      </c>
      <c r="L351" s="452">
        <f t="shared" si="178"/>
      </c>
      <c r="M351" s="455">
        <f t="shared" si="148"/>
      </c>
      <c r="N351" s="455">
        <f t="shared" si="208"/>
      </c>
      <c r="O351" s="455">
        <f t="shared" si="261"/>
      </c>
      <c r="P351" s="452">
        <f t="shared" si="314"/>
      </c>
      <c r="Q351" s="456"/>
      <c r="R351" s="456"/>
      <c r="S351" s="454">
        <f>S337+S350+S343</f>
      </c>
      <c r="T351" s="454">
        <f>T337+T350+T343</f>
      </c>
      <c r="U351" s="454">
        <f>U337+U350+U343</f>
      </c>
      <c r="V351" s="454">
        <f>V337+V350+V343</f>
      </c>
      <c r="W351" s="454">
        <f>W337+W350+W343</f>
      </c>
      <c r="X351" s="454">
        <f>X337+X350+X343</f>
      </c>
      <c r="Y351" s="454">
        <f>Y337+Y350+Y343</f>
      </c>
    </row>
    <row r="352">
      <c r="A352" s="405" t="s">
        <v>738</v>
      </c>
      <c r="B352" s="405"/>
      <c r="C352" s="405"/>
      <c r="D352" s="406" t="s">
        <v>739</v>
      </c>
      <c r="E352" s="406"/>
      <c r="F352" s="406"/>
      <c r="G352" s="406"/>
      <c r="H352" s="406"/>
      <c r="I352" s="406"/>
      <c r="J352" s="406"/>
      <c r="K352" s="407" t="s">
        <v>740</v>
      </c>
      <c r="L352" s="407"/>
      <c r="M352" s="407"/>
      <c r="N352" s="407"/>
      <c r="O352" s="407"/>
      <c r="P352" s="407"/>
      <c r="Q352" s="407"/>
      <c r="R352" s="407"/>
      <c r="S352" s="408" t="s">
        <v>741</v>
      </c>
      <c r="T352" s="408"/>
      <c r="U352" s="408"/>
      <c r="V352" s="408"/>
      <c r="W352" s="408"/>
      <c r="X352" s="408"/>
      <c r="Y352" s="408"/>
    </row>
    <row r="353">
      <c r="A353" s="409" t="s">
        <v>742</v>
      </c>
      <c r="B353" s="409" t="s">
        <v>743</v>
      </c>
      <c r="C353" s="409" t="s">
        <v>744</v>
      </c>
      <c r="D353" s="410" t="s">
        <v>745</v>
      </c>
      <c r="E353" s="411" t="s">
        <v>746</v>
      </c>
      <c r="F353" s="463" t="s">
        <v>792</v>
      </c>
      <c r="G353" s="410" t="s">
        <v>747</v>
      </c>
      <c r="H353" s="412" t="s">
        <v>748</v>
      </c>
      <c r="I353" s="413" t="s">
        <v>749</v>
      </c>
      <c r="J353" s="410" t="s">
        <v>750</v>
      </c>
      <c r="K353" s="414" t="s">
        <v>751</v>
      </c>
      <c r="L353" s="415" t="s">
        <v>752</v>
      </c>
      <c r="M353" s="414" t="s">
        <v>753</v>
      </c>
      <c r="N353" s="414" t="s">
        <v>754</v>
      </c>
      <c r="O353" s="416" t="s">
        <v>755</v>
      </c>
      <c r="P353" s="416" t="s">
        <v>756</v>
      </c>
      <c r="Q353" s="417" t="s">
        <v>757</v>
      </c>
      <c r="R353" s="417" t="s">
        <v>758</v>
      </c>
      <c r="S353" s="431" t="s">
        <v>759</v>
      </c>
      <c r="T353" s="431" t="s">
        <v>760</v>
      </c>
      <c r="U353" s="431" t="s">
        <v>761</v>
      </c>
      <c r="V353" s="431" t="s">
        <v>762</v>
      </c>
      <c r="W353" s="431" t="s">
        <v>763</v>
      </c>
      <c r="X353" s="431" t="s">
        <v>764</v>
      </c>
      <c r="Y353" s="419" t="s">
        <v>765</v>
      </c>
    </row>
    <row r="354">
      <c r="A354" s="420" t="s">
        <v>850</v>
      </c>
      <c r="B354" s="421" t="s">
        <v>767</v>
      </c>
      <c r="C354" s="451" t="s">
        <v>794</v>
      </c>
      <c r="D354" s="421">
        <v>2955.56</v>
      </c>
      <c r="E354" s="423">
        <v>2</v>
      </c>
      <c r="F354" s="423">
        <v>1</v>
      </c>
      <c r="G354" s="467">
        <v>1599.6000000000001</v>
      </c>
      <c r="H354" s="424">
        <f t="shared" ref="H354:H374" si="368">G354/D354</f>
      </c>
      <c r="I354" s="424">
        <f>D354/E354</f>
      </c>
      <c r="J354" s="424">
        <f>G354/E354</f>
      </c>
      <c r="K354" s="425">
        <f t="shared" ref="K354:K374" si="119">T354/S354</f>
      </c>
      <c r="L354" s="426">
        <f t="shared" ref="L354:L374" si="179">D354/U354</f>
      </c>
      <c r="M354" s="427">
        <f t="shared" ref="M354:M374" si="149">V354/U354</f>
      </c>
      <c r="N354" s="427">
        <f t="shared" ref="N354:N374" si="209">E354/W354</f>
      </c>
      <c r="O354" s="427">
        <f t="shared" ref="O354:O374" si="262">X354/E354</f>
      </c>
      <c r="P354" s="428">
        <f t="shared" ref="P354:P374" si="315">(Y354*1000)/D354</f>
      </c>
      <c r="Q354" s="429" t="s">
        <v>769</v>
      </c>
      <c r="R354" s="430" t="s">
        <v>851</v>
      </c>
      <c r="S354" s="461">
        <v>12623</v>
      </c>
      <c r="T354" s="461">
        <v>1975</v>
      </c>
      <c r="U354" s="461">
        <v>2510</v>
      </c>
      <c r="V354" s="461">
        <v>230</v>
      </c>
      <c r="W354" s="461">
        <v>3</v>
      </c>
      <c r="X354" s="461">
        <v>0</v>
      </c>
      <c r="Y354" s="461">
        <v>28</v>
      </c>
      <c r="AA354" s="487" t="s">
        <v>842</v>
      </c>
      <c r="AB354" s="487"/>
      <c r="AC354" s="487"/>
      <c r="AD354" s="487"/>
      <c r="AE354" s="487"/>
      <c r="AF354" s="487"/>
      <c r="AG354" s="487"/>
      <c r="AH354" s="487"/>
      <c r="AI354" s="487"/>
      <c r="AJ354" s="487"/>
      <c r="AK354" s="487"/>
    </row>
    <row r="355">
      <c r="A355" s="420"/>
      <c r="B355" s="421" t="s">
        <v>767</v>
      </c>
      <c r="C355" s="421" t="s">
        <v>796</v>
      </c>
      <c r="D355" s="421">
        <v>3569.640000000001</v>
      </c>
      <c r="E355" s="423">
        <v>4</v>
      </c>
      <c r="F355" s="423">
        <v>2</v>
      </c>
      <c r="G355" s="467">
        <v>3349.199999999999</v>
      </c>
      <c r="H355" s="424">
        <f t="shared" si="368"/>
      </c>
      <c r="I355" s="424">
        <v>2161</v>
      </c>
      <c r="J355" s="424">
        <v>234</v>
      </c>
      <c r="K355" s="425">
        <f t="shared" si="119"/>
      </c>
      <c r="L355" s="426">
        <f t="shared" si="179"/>
      </c>
      <c r="M355" s="427">
        <f t="shared" si="149"/>
      </c>
      <c r="N355" s="427">
        <f t="shared" si="209"/>
      </c>
      <c r="O355" s="427">
        <f t="shared" si="262"/>
      </c>
      <c r="P355" s="428">
        <f t="shared" si="315"/>
      </c>
      <c r="Q355" s="429" t="s">
        <v>769</v>
      </c>
      <c r="R355" s="430" t="s">
        <v>851</v>
      </c>
      <c r="S355" s="461">
        <v>11007</v>
      </c>
      <c r="T355" s="461">
        <v>1447</v>
      </c>
      <c r="U355" s="461">
        <v>1879</v>
      </c>
      <c r="V355" s="461">
        <v>220</v>
      </c>
      <c r="W355" s="461">
        <v>4</v>
      </c>
      <c r="X355" s="461">
        <v>1</v>
      </c>
      <c r="Y355" s="461">
        <v>53</v>
      </c>
      <c r="AA355" s="489" t="s">
        <v>806</v>
      </c>
      <c r="AB355" s="489" t="s">
        <v>807</v>
      </c>
      <c r="AC355" s="489" t="s">
        <v>808</v>
      </c>
      <c r="AD355" s="489" t="s">
        <v>809</v>
      </c>
      <c r="AE355" s="489" t="s">
        <v>810</v>
      </c>
      <c r="AF355" s="489" t="s">
        <v>811</v>
      </c>
      <c r="AG355" s="489" t="s">
        <v>750</v>
      </c>
      <c r="AH355" s="489" t="s">
        <v>812</v>
      </c>
      <c r="AI355" s="489" t="s">
        <v>748</v>
      </c>
      <c r="AJ355" s="489" t="s">
        <v>813</v>
      </c>
      <c r="AK355" s="489"/>
    </row>
    <row r="356">
      <c r="A356" s="420"/>
      <c r="B356" s="421" t="s">
        <v>767</v>
      </c>
      <c r="C356" s="421" t="s">
        <v>797</v>
      </c>
      <c r="D356" s="421">
        <v>3343.7199999999993</v>
      </c>
      <c r="E356" s="423">
        <v>4</v>
      </c>
      <c r="F356" s="423">
        <v>2</v>
      </c>
      <c r="G356" s="467">
        <v>5983.199999999999</v>
      </c>
      <c r="H356" s="424">
        <f t="shared" si="368"/>
      </c>
      <c r="I356" s="424">
        <f t="shared" ref="I356:I360" si="17">D356/E356</f>
      </c>
      <c r="J356" s="424">
        <f t="shared" ref="J356:J360" si="80">G356/E356</f>
      </c>
      <c r="K356" s="425">
        <f t="shared" si="119"/>
      </c>
      <c r="L356" s="426">
        <f t="shared" si="179"/>
      </c>
      <c r="M356" s="427">
        <f t="shared" si="149"/>
      </c>
      <c r="N356" s="427">
        <f t="shared" si="209"/>
      </c>
      <c r="O356" s="427">
        <f t="shared" si="262"/>
      </c>
      <c r="P356" s="428">
        <f t="shared" si="315"/>
      </c>
      <c r="Q356" s="429" t="s">
        <v>769</v>
      </c>
      <c r="R356" s="430" t="s">
        <v>851</v>
      </c>
      <c r="S356" s="461">
        <v>8175</v>
      </c>
      <c r="T356" s="461">
        <v>1038</v>
      </c>
      <c r="U356" s="461">
        <v>1444</v>
      </c>
      <c r="V356" s="461">
        <v>168</v>
      </c>
      <c r="W356" s="461">
        <v>4</v>
      </c>
      <c r="X356" s="461">
        <v>0</v>
      </c>
      <c r="Y356" s="461">
        <v>38</v>
      </c>
      <c r="AA356" s="490" t="s">
        <v>767</v>
      </c>
      <c r="AB356" s="491" t="s">
        <v>814</v>
      </c>
      <c r="AC356" s="492">
        <v>4</v>
      </c>
      <c r="AD356" s="490">
        <v>12569.12</v>
      </c>
      <c r="AE356" s="490">
        <v>12782.399999999998</v>
      </c>
      <c r="AF356" s="490">
        <v>12</v>
      </c>
      <c r="AG356" s="493">
        <f t="shared" ref="AG356:AG359" si="232">AE356/AF356</f>
      </c>
      <c r="AH356" s="493">
        <f t="shared" ref="AH356:AH359" si="285">AD356/AF356</f>
      </c>
      <c r="AI356" s="493">
        <f t="shared" ref="AI356:AI359" si="338">AE356/AD356</f>
      </c>
      <c r="AJ356" s="492">
        <f>AD356/AC356</f>
      </c>
      <c r="AK356" s="492"/>
    </row>
    <row r="357">
      <c r="A357" s="420"/>
      <c r="B357" s="421" t="s">
        <v>767</v>
      </c>
      <c r="C357" s="421" t="s">
        <v>798</v>
      </c>
      <c r="D357" s="421">
        <v>2700.2000000000007</v>
      </c>
      <c r="E357" s="423">
        <v>2</v>
      </c>
      <c r="F357" s="423">
        <v>2</v>
      </c>
      <c r="G357" s="462">
        <v>1850.3999999999996</v>
      </c>
      <c r="H357" s="424">
        <f t="shared" si="368"/>
      </c>
      <c r="I357" s="424">
        <f t="shared" si="17"/>
      </c>
      <c r="J357" s="424">
        <f t="shared" si="80"/>
      </c>
      <c r="K357" s="425">
        <f t="shared" si="119"/>
      </c>
      <c r="L357" s="426">
        <f t="shared" si="179"/>
      </c>
      <c r="M357" s="427">
        <f t="shared" si="149"/>
      </c>
      <c r="N357" s="427">
        <f t="shared" si="209"/>
      </c>
      <c r="O357" s="427">
        <f t="shared" si="262"/>
      </c>
      <c r="P357" s="428">
        <f t="shared" si="315"/>
      </c>
      <c r="Q357" s="429" t="s">
        <v>769</v>
      </c>
      <c r="R357" s="430" t="s">
        <v>851</v>
      </c>
      <c r="S357" s="461">
        <v>8015</v>
      </c>
      <c r="T357" s="461">
        <v>1025</v>
      </c>
      <c r="U357" s="461">
        <v>1389</v>
      </c>
      <c r="V357" s="461">
        <v>160</v>
      </c>
      <c r="W357" s="461">
        <v>4</v>
      </c>
      <c r="X357" s="435">
        <v>0</v>
      </c>
      <c r="Y357" s="435">
        <v>26</v>
      </c>
      <c r="AA357" s="490" t="s">
        <v>782</v>
      </c>
      <c r="AB357" s="491" t="s">
        <v>815</v>
      </c>
      <c r="AC357" s="492">
        <v>4</v>
      </c>
      <c r="AD357" s="490">
        <v>7945.8</v>
      </c>
      <c r="AE357" s="490">
        <v>10224</v>
      </c>
      <c r="AF357" s="490">
        <v>7</v>
      </c>
      <c r="AG357" s="493">
        <f t="shared" si="232"/>
      </c>
      <c r="AH357" s="493">
        <f t="shared" si="285"/>
      </c>
      <c r="AI357" s="493">
        <f t="shared" si="338"/>
      </c>
      <c r="AJ357" s="492">
        <f t="shared" ref="AJ357:AJ359" si="49">AD357/4</f>
      </c>
      <c r="AK357" s="492"/>
    </row>
    <row r="358">
      <c r="A358" s="420"/>
      <c r="B358" s="437" t="s">
        <v>774</v>
      </c>
      <c r="C358" s="437"/>
      <c r="D358" s="438">
        <f>SUM(D354:D357)</f>
      </c>
      <c r="E358" s="439">
        <f>SUM(E354:E357)</f>
      </c>
      <c r="F358" s="439">
        <f>SUM(F354:F357)</f>
      </c>
      <c r="G358" s="438">
        <f>SUM(G354:G357)</f>
      </c>
      <c r="H358" s="440">
        <f t="shared" si="368"/>
      </c>
      <c r="I358" s="441">
        <f t="shared" si="17"/>
      </c>
      <c r="J358" s="442">
        <f t="shared" si="80"/>
      </c>
      <c r="K358" s="443">
        <f t="shared" si="119"/>
      </c>
      <c r="L358" s="444">
        <f t="shared" si="179"/>
      </c>
      <c r="M358" s="443">
        <f t="shared" si="149"/>
      </c>
      <c r="N358" s="443">
        <f t="shared" si="209"/>
      </c>
      <c r="O358" s="445">
        <f t="shared" si="262"/>
      </c>
      <c r="P358" s="446">
        <f t="shared" si="315"/>
      </c>
      <c r="Q358" s="444"/>
      <c r="R358" s="444"/>
      <c r="S358" s="447">
        <f>SUM(S354:S357)</f>
      </c>
      <c r="T358" s="447">
        <f>SUM(T354:T357)</f>
      </c>
      <c r="U358" s="447">
        <f>SUM(U354:U357)</f>
      </c>
      <c r="V358" s="447">
        <f>SUM(V354:V357)</f>
      </c>
      <c r="W358" s="447">
        <f>SUM(W354:W357)</f>
      </c>
      <c r="X358" s="447">
        <f>SUM(X354:X357)</f>
      </c>
      <c r="Y358" s="447">
        <f>SUM(Y354:Y357)</f>
      </c>
      <c r="AA358" s="490" t="s">
        <v>789</v>
      </c>
      <c r="AB358" s="491" t="s">
        <v>816</v>
      </c>
      <c r="AC358" s="492">
        <v>4</v>
      </c>
      <c r="AD358" s="490">
        <v>8058.01</v>
      </c>
      <c r="AE358" s="490">
        <v>4563.6</v>
      </c>
      <c r="AF358" s="490">
        <v>3</v>
      </c>
      <c r="AG358" s="493">
        <f t="shared" si="232"/>
      </c>
      <c r="AH358" s="493">
        <f t="shared" si="285"/>
      </c>
      <c r="AI358" s="493">
        <f t="shared" si="338"/>
      </c>
      <c r="AJ358" s="492">
        <f t="shared" si="49"/>
      </c>
      <c r="AK358" s="492"/>
    </row>
    <row r="359">
      <c r="A359" s="420"/>
      <c r="B359" s="421" t="s">
        <v>782</v>
      </c>
      <c r="C359" s="422" t="s">
        <v>768</v>
      </c>
      <c r="D359" s="421">
        <v>2188.6899999999987</v>
      </c>
      <c r="E359" s="423">
        <v>0</v>
      </c>
      <c r="F359" s="423">
        <v>0</v>
      </c>
      <c r="G359" s="468">
        <v>0</v>
      </c>
      <c r="H359" s="424">
        <f t="shared" si="368"/>
      </c>
      <c r="I359" s="424">
        <f t="shared" si="17"/>
      </c>
      <c r="J359" s="424">
        <f t="shared" si="80"/>
      </c>
      <c r="K359" s="425">
        <f t="shared" si="119"/>
      </c>
      <c r="L359" s="426">
        <f t="shared" si="179"/>
      </c>
      <c r="M359" s="427">
        <f t="shared" si="149"/>
      </c>
      <c r="N359" s="427">
        <f t="shared" si="209"/>
      </c>
      <c r="O359" s="427">
        <f t="shared" si="262"/>
      </c>
      <c r="P359" s="428">
        <f t="shared" si="315"/>
      </c>
      <c r="Q359" s="429" t="s">
        <v>777</v>
      </c>
      <c r="R359" s="430" t="s">
        <v>851</v>
      </c>
      <c r="S359" s="436">
        <v>7027</v>
      </c>
      <c r="T359" s="436">
        <v>950</v>
      </c>
      <c r="U359" s="436">
        <v>1267</v>
      </c>
      <c r="V359" s="436">
        <v>153</v>
      </c>
      <c r="W359" s="435">
        <v>1</v>
      </c>
      <c r="X359" s="435">
        <v>0</v>
      </c>
      <c r="Y359" s="448">
        <v>25</v>
      </c>
      <c r="AA359" s="490" t="s">
        <v>775</v>
      </c>
      <c r="AB359" s="491" t="s">
        <v>817</v>
      </c>
      <c r="AC359" s="492">
        <v>4</v>
      </c>
      <c r="AD359" s="490">
        <v>8271.13</v>
      </c>
      <c r="AE359" s="490">
        <v>22208.8</v>
      </c>
      <c r="AF359" s="490">
        <v>14</v>
      </c>
      <c r="AG359" s="493">
        <f t="shared" si="232"/>
      </c>
      <c r="AH359" s="493">
        <f t="shared" si="285"/>
      </c>
      <c r="AI359" s="493">
        <f t="shared" si="338"/>
      </c>
      <c r="AJ359" s="492">
        <f t="shared" si="49"/>
      </c>
      <c r="AK359" s="492"/>
      <c r="AL359" s="486"/>
      <c r="AM359" s="486"/>
      <c r="AN359" s="486"/>
      <c r="AO359" s="486"/>
      <c r="AP359" s="486"/>
      <c r="AQ359" s="486"/>
      <c r="AR359" s="486"/>
      <c r="AS359" s="486"/>
    </row>
    <row r="360">
      <c r="A360" s="420"/>
      <c r="B360" s="421" t="s">
        <v>782</v>
      </c>
      <c r="C360" s="433" t="s">
        <v>771</v>
      </c>
      <c r="D360" s="421">
        <v>1645.41</v>
      </c>
      <c r="E360" s="423">
        <v>0</v>
      </c>
      <c r="F360" s="423">
        <v>0</v>
      </c>
      <c r="G360" s="468">
        <v>0</v>
      </c>
      <c r="H360" s="424">
        <f t="shared" si="368"/>
      </c>
      <c r="I360" s="424">
        <f t="shared" si="17"/>
      </c>
      <c r="J360" s="424">
        <f t="shared" si="80"/>
      </c>
      <c r="K360" s="425">
        <f t="shared" si="119"/>
      </c>
      <c r="L360" s="426">
        <f t="shared" si="179"/>
      </c>
      <c r="M360" s="427">
        <f t="shared" si="149"/>
      </c>
      <c r="N360" s="427">
        <f t="shared" si="209"/>
      </c>
      <c r="O360" s="427">
        <f t="shared" si="262"/>
      </c>
      <c r="P360" s="428">
        <f t="shared" si="315"/>
      </c>
      <c r="Q360" s="429" t="s">
        <v>777</v>
      </c>
      <c r="R360" s="430" t="s">
        <v>851</v>
      </c>
      <c r="S360" s="436">
        <v>5917</v>
      </c>
      <c r="T360" s="436">
        <v>817</v>
      </c>
      <c r="U360" s="436">
        <v>1162</v>
      </c>
      <c r="V360" s="436">
        <v>101</v>
      </c>
      <c r="W360" s="435">
        <v>0</v>
      </c>
      <c r="X360" s="435">
        <v>0</v>
      </c>
      <c r="Y360" s="448">
        <v>19</v>
      </c>
      <c r="AA360" s="495" t="s">
        <v>819</v>
      </c>
      <c r="AB360" s="495"/>
      <c r="AC360" s="495"/>
      <c r="AD360" s="495"/>
      <c r="AE360" s="495"/>
      <c r="AF360" s="495"/>
      <c r="AG360" s="495"/>
      <c r="AH360" s="495"/>
      <c r="AI360" s="495"/>
      <c r="AJ360" s="495"/>
      <c r="AK360" s="495"/>
      <c r="AL360" s="486"/>
      <c r="AM360" s="486"/>
      <c r="AN360" s="486"/>
      <c r="AO360" s="486"/>
      <c r="AP360" s="486"/>
      <c r="AQ360" s="486"/>
      <c r="AR360" s="486"/>
      <c r="AS360" s="486"/>
    </row>
    <row r="361">
      <c r="A361" s="420"/>
      <c r="B361" s="421" t="s">
        <v>782</v>
      </c>
      <c r="C361" s="433" t="s">
        <v>772</v>
      </c>
      <c r="D361" s="421">
        <v>1927.34</v>
      </c>
      <c r="E361" s="423">
        <v>5</v>
      </c>
      <c r="F361" s="423">
        <v>4</v>
      </c>
      <c r="G361" s="467">
        <v>6082.8</v>
      </c>
      <c r="H361" s="424">
        <f t="shared" si="368"/>
      </c>
      <c r="I361" s="424">
        <v>1323</v>
      </c>
      <c r="J361" s="424">
        <v>145</v>
      </c>
      <c r="K361" s="425">
        <f t="shared" si="119"/>
      </c>
      <c r="L361" s="426">
        <f t="shared" si="179"/>
      </c>
      <c r="M361" s="427">
        <f t="shared" si="149"/>
      </c>
      <c r="N361" s="427">
        <f t="shared" si="209"/>
      </c>
      <c r="O361" s="427">
        <f t="shared" si="262"/>
      </c>
      <c r="P361" s="428">
        <f t="shared" si="315"/>
      </c>
      <c r="Q361" s="429" t="s">
        <v>777</v>
      </c>
      <c r="R361" s="430" t="s">
        <v>778</v>
      </c>
      <c r="S361" s="436">
        <v>6318</v>
      </c>
      <c r="T361" s="436">
        <v>843</v>
      </c>
      <c r="U361" s="436">
        <v>1228</v>
      </c>
      <c r="V361" s="436">
        <v>114</v>
      </c>
      <c r="W361" s="435">
        <v>7</v>
      </c>
      <c r="X361" s="435">
        <v>1</v>
      </c>
      <c r="Y361" s="448">
        <v>36</v>
      </c>
      <c r="AA361" s="478" t="s">
        <v>809</v>
      </c>
      <c r="AB361" s="478" t="s">
        <v>820</v>
      </c>
      <c r="AC361" s="479" t="s">
        <v>821</v>
      </c>
      <c r="AD361" s="478" t="s">
        <v>822</v>
      </c>
      <c r="AE361" s="478" t="s">
        <v>823</v>
      </c>
      <c r="AF361" s="478" t="s">
        <v>824</v>
      </c>
      <c r="AG361" s="478" t="s">
        <v>825</v>
      </c>
      <c r="AH361" s="480" t="s">
        <v>764</v>
      </c>
      <c r="AI361" s="480" t="s">
        <v>826</v>
      </c>
      <c r="AJ361" s="480" t="s">
        <v>827</v>
      </c>
      <c r="AK361" s="480" t="s">
        <v>808</v>
      </c>
      <c r="AL361" s="486"/>
      <c r="AM361" s="486"/>
      <c r="AN361" s="486"/>
      <c r="AO361" s="486"/>
      <c r="AP361" s="486"/>
      <c r="AQ361" s="486"/>
      <c r="AR361" s="486"/>
      <c r="AS361" s="486"/>
    </row>
    <row r="362">
      <c r="A362" s="420"/>
      <c r="B362" s="421" t="s">
        <v>782</v>
      </c>
      <c r="C362" s="433" t="s">
        <v>773</v>
      </c>
      <c r="D362" s="421">
        <v>2125.44</v>
      </c>
      <c r="E362" s="423">
        <v>2</v>
      </c>
      <c r="F362" s="423">
        <v>2</v>
      </c>
      <c r="G362" s="467">
        <v>4141.2</v>
      </c>
      <c r="H362" s="424">
        <f t="shared" si="368"/>
      </c>
      <c r="I362" s="424">
        <f t="shared" ref="I362:I374" si="18">D362/E362</f>
      </c>
      <c r="J362" s="424">
        <f t="shared" ref="J362:J374" si="81">G362/E362</f>
      </c>
      <c r="K362" s="425">
        <f t="shared" si="119"/>
      </c>
      <c r="L362" s="426">
        <f t="shared" si="179"/>
      </c>
      <c r="M362" s="427">
        <f t="shared" si="149"/>
      </c>
      <c r="N362" s="427">
        <f t="shared" si="209"/>
      </c>
      <c r="O362" s="427">
        <f t="shared" si="262"/>
      </c>
      <c r="P362" s="428">
        <f t="shared" si="315"/>
      </c>
      <c r="Q362" s="429" t="s">
        <v>777</v>
      </c>
      <c r="R362" s="430" t="s">
        <v>778</v>
      </c>
      <c r="S362" s="436">
        <v>9599</v>
      </c>
      <c r="T362" s="436">
        <v>877</v>
      </c>
      <c r="U362" s="436">
        <v>1198</v>
      </c>
      <c r="V362" s="436">
        <v>110</v>
      </c>
      <c r="W362" s="435">
        <v>2</v>
      </c>
      <c r="X362" s="435">
        <v>0</v>
      </c>
      <c r="Y362" s="448">
        <v>31</v>
      </c>
      <c r="AA362" s="465">
        <f>SUM(AD356:AD359)</f>
      </c>
      <c r="AB362" s="465">
        <f>SUM(AE356:AE359)</f>
      </c>
      <c r="AC362" s="481">
        <f>AB362/((AK362*300)+AA362)</f>
      </c>
      <c r="AD362" s="482">
        <f>AA362/AJ362</f>
      </c>
      <c r="AE362" s="481">
        <f>AB362/AJ362</f>
      </c>
      <c r="AF362" s="483">
        <f>AJ362/AI362</f>
      </c>
      <c r="AG362" s="483">
        <f>AH362/AJ362</f>
      </c>
      <c r="AH362" s="484">
        <v>4</v>
      </c>
      <c r="AI362" s="484">
        <v>47</v>
      </c>
      <c r="AJ362" s="485">
        <f>SUM(AF356:AF359)</f>
      </c>
      <c r="AK362" s="485">
        <f>SUM(AC356:AC359)</f>
      </c>
      <c r="AL362" s="486"/>
      <c r="AM362" s="486"/>
      <c r="AN362" s="486"/>
      <c r="AO362" s="486"/>
      <c r="AP362" s="486"/>
      <c r="AQ362" s="486"/>
      <c r="AR362" s="486"/>
      <c r="AS362" s="486"/>
    </row>
    <row r="363">
      <c r="A363" s="420"/>
      <c r="B363" s="437" t="s">
        <v>774</v>
      </c>
      <c r="C363" s="437"/>
      <c r="D363" s="438">
        <f>SUM(D359:D362)</f>
      </c>
      <c r="E363" s="439">
        <f>SUM(E359:E362)</f>
      </c>
      <c r="F363" s="439">
        <f>SUM(F359:F362)</f>
      </c>
      <c r="G363" s="438">
        <f>SUM(G359:G362)</f>
      </c>
      <c r="H363" s="440">
        <f t="shared" si="368"/>
      </c>
      <c r="I363" s="441">
        <f t="shared" si="18"/>
      </c>
      <c r="J363" s="442">
        <f t="shared" si="81"/>
      </c>
      <c r="K363" s="443">
        <f t="shared" si="119"/>
      </c>
      <c r="L363" s="444">
        <f t="shared" si="179"/>
      </c>
      <c r="M363" s="443">
        <f t="shared" si="149"/>
      </c>
      <c r="N363" s="443">
        <f t="shared" si="209"/>
      </c>
      <c r="O363" s="445">
        <f t="shared" si="262"/>
      </c>
      <c r="P363" s="446">
        <f t="shared" si="315"/>
      </c>
      <c r="Q363" s="444"/>
      <c r="R363" s="444"/>
      <c r="S363" s="447">
        <f>SUM(S359:S362)</f>
      </c>
      <c r="T363" s="447">
        <f>SUM(T359:T362)</f>
      </c>
      <c r="U363" s="447">
        <f>SUM(U359:U362)</f>
      </c>
      <c r="V363" s="447">
        <f>SUM(V359:V362)</f>
      </c>
      <c r="W363" s="447">
        <f>SUM(W359:W362)</f>
      </c>
      <c r="X363" s="447">
        <f>SUM(X359:X362)</f>
      </c>
      <c r="Y363" s="447">
        <f>SUM(Y359:Y362)</f>
      </c>
      <c r="AG363" s="486"/>
      <c r="AH363" s="486"/>
      <c r="AI363" s="486"/>
      <c r="AJ363" s="486"/>
      <c r="AK363" s="486"/>
      <c r="AL363" s="486"/>
      <c r="AM363" s="486"/>
      <c r="AN363" s="486"/>
      <c r="AO363" s="486"/>
      <c r="AP363" s="486"/>
      <c r="AQ363" s="486"/>
      <c r="AR363" s="486"/>
      <c r="AS363" s="486"/>
    </row>
    <row r="364">
      <c r="A364" s="420"/>
      <c r="B364" s="421" t="s">
        <v>789</v>
      </c>
      <c r="C364" s="433" t="s">
        <v>776</v>
      </c>
      <c r="D364" s="459">
        <v>2697.84</v>
      </c>
      <c r="E364" s="423">
        <v>0</v>
      </c>
      <c r="F364" s="423">
        <v>0</v>
      </c>
      <c r="G364" s="460">
        <v>0</v>
      </c>
      <c r="H364" s="424">
        <f t="shared" si="368"/>
      </c>
      <c r="I364" s="424">
        <f t="shared" si="18"/>
      </c>
      <c r="J364" s="424">
        <f t="shared" si="81"/>
      </c>
      <c r="K364" s="425">
        <f t="shared" si="119"/>
      </c>
      <c r="L364" s="426">
        <f t="shared" si="179"/>
      </c>
      <c r="M364" s="427">
        <f t="shared" si="149"/>
      </c>
      <c r="N364" s="427">
        <f t="shared" si="209"/>
      </c>
      <c r="O364" s="427">
        <f t="shared" si="262"/>
      </c>
      <c r="P364" s="428">
        <f t="shared" si="315"/>
      </c>
      <c r="Q364" s="429" t="s">
        <v>777</v>
      </c>
      <c r="R364" s="430" t="s">
        <v>778</v>
      </c>
      <c r="S364" s="436">
        <v>12662</v>
      </c>
      <c r="T364" s="436">
        <v>1015</v>
      </c>
      <c r="U364" s="436">
        <v>1482</v>
      </c>
      <c r="V364" s="436">
        <v>154</v>
      </c>
      <c r="W364" s="435">
        <v>1</v>
      </c>
      <c r="X364" s="435">
        <v>0</v>
      </c>
      <c r="Y364" s="448">
        <v>31</v>
      </c>
      <c r="AG364" s="486"/>
      <c r="AH364" s="486"/>
      <c r="AI364" s="486"/>
      <c r="AJ364" s="486"/>
      <c r="AK364" s="486"/>
      <c r="AL364" s="486"/>
      <c r="AM364" s="486"/>
      <c r="AN364" s="486"/>
      <c r="AO364" s="486"/>
      <c r="AP364" s="486"/>
      <c r="AQ364" s="486"/>
      <c r="AR364" s="486"/>
      <c r="AS364" s="486"/>
    </row>
    <row r="365">
      <c r="A365" s="420"/>
      <c r="B365" s="421" t="s">
        <v>789</v>
      </c>
      <c r="C365" s="422" t="s">
        <v>779</v>
      </c>
      <c r="D365" s="459">
        <v>1909.6</v>
      </c>
      <c r="E365" s="423">
        <v>1</v>
      </c>
      <c r="F365" s="423">
        <v>1</v>
      </c>
      <c r="G365" s="460">
        <v>3597.6</v>
      </c>
      <c r="H365" s="424">
        <f t="shared" si="368"/>
      </c>
      <c r="I365" s="424">
        <f t="shared" si="18"/>
      </c>
      <c r="J365" s="424">
        <f t="shared" si="81"/>
      </c>
      <c r="K365" s="425">
        <f t="shared" si="119"/>
      </c>
      <c r="L365" s="426">
        <f t="shared" si="179"/>
      </c>
      <c r="M365" s="427">
        <f t="shared" si="149"/>
      </c>
      <c r="N365" s="427">
        <f t="shared" si="209"/>
      </c>
      <c r="O365" s="427">
        <f t="shared" si="262"/>
      </c>
      <c r="P365" s="428">
        <f t="shared" si="315"/>
      </c>
      <c r="Q365" s="429" t="s">
        <v>777</v>
      </c>
      <c r="R365" s="430" t="s">
        <v>778</v>
      </c>
      <c r="S365" s="436">
        <v>11286</v>
      </c>
      <c r="T365" s="436">
        <v>1016</v>
      </c>
      <c r="U365" s="436">
        <v>1437</v>
      </c>
      <c r="V365" s="436">
        <v>185</v>
      </c>
      <c r="W365" s="435">
        <v>3</v>
      </c>
      <c r="X365" s="435">
        <v>0</v>
      </c>
      <c r="Y365" s="448">
        <v>29</v>
      </c>
      <c r="AG365" s="486"/>
      <c r="AH365" s="486"/>
      <c r="AI365" s="486"/>
      <c r="AJ365" s="486"/>
      <c r="AK365" s="486"/>
      <c r="AL365" s="486"/>
      <c r="AM365" s="486"/>
      <c r="AN365" s="486"/>
      <c r="AO365" s="486"/>
      <c r="AP365" s="486"/>
      <c r="AQ365" s="486"/>
      <c r="AR365" s="486"/>
      <c r="AS365" s="486"/>
    </row>
    <row r="366">
      <c r="A366" s="420"/>
      <c r="B366" s="421" t="s">
        <v>789</v>
      </c>
      <c r="C366" s="422" t="s">
        <v>780</v>
      </c>
      <c r="D366" s="459">
        <v>1658</v>
      </c>
      <c r="E366" s="423">
        <v>1</v>
      </c>
      <c r="F366" s="423">
        <v>1</v>
      </c>
      <c r="G366" s="460">
        <v>598</v>
      </c>
      <c r="H366" s="424">
        <f t="shared" si="368"/>
      </c>
      <c r="I366" s="424">
        <f t="shared" si="18"/>
      </c>
      <c r="J366" s="424">
        <f t="shared" si="81"/>
      </c>
      <c r="K366" s="425">
        <f t="shared" si="119"/>
      </c>
      <c r="L366" s="426">
        <f t="shared" si="179"/>
      </c>
      <c r="M366" s="427">
        <f t="shared" si="149"/>
      </c>
      <c r="N366" s="427">
        <f t="shared" si="209"/>
      </c>
      <c r="O366" s="427">
        <f t="shared" si="262"/>
      </c>
      <c r="P366" s="428">
        <f t="shared" si="315"/>
      </c>
      <c r="Q366" s="429" t="s">
        <v>777</v>
      </c>
      <c r="R366" s="430" t="s">
        <v>778</v>
      </c>
      <c r="S366" s="436">
        <v>11904</v>
      </c>
      <c r="T366" s="436">
        <v>927</v>
      </c>
      <c r="U366" s="436">
        <v>1378</v>
      </c>
      <c r="V366" s="436">
        <v>139</v>
      </c>
      <c r="W366" s="435">
        <v>1</v>
      </c>
      <c r="X366" s="435">
        <v>0</v>
      </c>
      <c r="Y366" s="448">
        <v>30</v>
      </c>
      <c r="AG366" s="486"/>
      <c r="AH366" s="486"/>
      <c r="AI366" s="486"/>
      <c r="AJ366" s="486"/>
      <c r="AK366" s="486"/>
      <c r="AL366" s="486"/>
      <c r="AM366" s="486"/>
      <c r="AN366" s="486"/>
      <c r="AO366" s="486"/>
      <c r="AP366" s="486"/>
      <c r="AQ366" s="486"/>
      <c r="AR366" s="486"/>
      <c r="AS366" s="486"/>
    </row>
    <row r="367">
      <c r="A367" s="420"/>
      <c r="B367" s="421" t="s">
        <v>789</v>
      </c>
      <c r="C367" s="422" t="s">
        <v>781</v>
      </c>
      <c r="D367" s="459">
        <v>1851.49</v>
      </c>
      <c r="E367" s="423">
        <v>1</v>
      </c>
      <c r="F367" s="423">
        <v>1</v>
      </c>
      <c r="G367" s="460">
        <v>368</v>
      </c>
      <c r="H367" s="424">
        <f t="shared" si="368"/>
      </c>
      <c r="I367" s="424">
        <f t="shared" si="18"/>
      </c>
      <c r="J367" s="424">
        <f t="shared" si="81"/>
      </c>
      <c r="K367" s="425">
        <f t="shared" si="119"/>
      </c>
      <c r="L367" s="426">
        <f t="shared" si="179"/>
      </c>
      <c r="M367" s="427">
        <f t="shared" si="149"/>
      </c>
      <c r="N367" s="427">
        <f t="shared" si="209"/>
      </c>
      <c r="O367" s="427">
        <f t="shared" si="262"/>
      </c>
      <c r="P367" s="428">
        <f t="shared" si="315"/>
      </c>
      <c r="Q367" s="429" t="s">
        <v>777</v>
      </c>
      <c r="R367" s="430" t="s">
        <v>778</v>
      </c>
      <c r="S367" s="436">
        <v>11992</v>
      </c>
      <c r="T367" s="436">
        <v>1053</v>
      </c>
      <c r="U367" s="436">
        <v>1563</v>
      </c>
      <c r="V367" s="436">
        <v>144</v>
      </c>
      <c r="W367" s="435">
        <v>2</v>
      </c>
      <c r="X367" s="435">
        <v>0</v>
      </c>
      <c r="Y367" s="448">
        <v>47</v>
      </c>
      <c r="AG367" s="486"/>
      <c r="AH367" s="486"/>
      <c r="AI367" s="486"/>
      <c r="AJ367" s="486"/>
      <c r="AK367" s="486"/>
      <c r="AL367" s="486"/>
      <c r="AM367" s="486"/>
      <c r="AN367" s="486"/>
      <c r="AO367" s="486"/>
      <c r="AP367" s="486"/>
      <c r="AQ367" s="486"/>
      <c r="AR367" s="486"/>
      <c r="AS367" s="486"/>
    </row>
    <row r="368">
      <c r="A368" s="420"/>
      <c r="B368" s="437" t="s">
        <v>774</v>
      </c>
      <c r="C368" s="437"/>
      <c r="D368" s="438">
        <f>SUM(D364:D367)</f>
      </c>
      <c r="E368" s="439">
        <f>SUM(E364:E367)</f>
      </c>
      <c r="F368" s="439">
        <f>SUM(F364:F367)</f>
      </c>
      <c r="G368" s="438">
        <f>SUM(G364:G367)</f>
      </c>
      <c r="H368" s="440">
        <f t="shared" si="368"/>
      </c>
      <c r="I368" s="441">
        <f t="shared" si="18"/>
      </c>
      <c r="J368" s="442">
        <f t="shared" si="81"/>
      </c>
      <c r="K368" s="443">
        <f t="shared" si="119"/>
      </c>
      <c r="L368" s="444">
        <f t="shared" si="179"/>
      </c>
      <c r="M368" s="443">
        <f t="shared" si="149"/>
      </c>
      <c r="N368" s="443">
        <f t="shared" si="209"/>
      </c>
      <c r="O368" s="445">
        <f t="shared" si="262"/>
      </c>
      <c r="P368" s="446">
        <f t="shared" si="315"/>
      </c>
      <c r="Q368" s="444"/>
      <c r="R368" s="444"/>
      <c r="S368" s="447">
        <f>SUM(S364:S367)</f>
      </c>
      <c r="T368" s="447">
        <f>SUM(T364:T367)</f>
      </c>
      <c r="U368" s="447">
        <f>SUM(U364:U367)</f>
      </c>
      <c r="V368" s="447">
        <f>SUM(V364:V367)</f>
      </c>
      <c r="W368" s="447">
        <f>SUM(W364:W367)</f>
      </c>
      <c r="X368" s="447">
        <f>SUM(X364:X367)</f>
      </c>
      <c r="Y368" s="447">
        <f>SUM(Y364:Y367)</f>
      </c>
      <c r="AG368" s="486"/>
      <c r="AH368" s="486"/>
      <c r="AI368" s="486"/>
      <c r="AJ368" s="486"/>
      <c r="AK368" s="486"/>
      <c r="AL368" s="486"/>
      <c r="AM368" s="486"/>
      <c r="AN368" s="486"/>
      <c r="AO368" s="486"/>
      <c r="AP368" s="486"/>
      <c r="AQ368" s="486"/>
      <c r="AR368" s="486"/>
      <c r="AS368" s="486"/>
    </row>
    <row r="369">
      <c r="A369" s="420"/>
      <c r="B369" s="421" t="s">
        <v>775</v>
      </c>
      <c r="C369" s="422" t="s">
        <v>783</v>
      </c>
      <c r="D369" s="459">
        <v>2104.87</v>
      </c>
      <c r="E369" s="423">
        <v>6</v>
      </c>
      <c r="F369" s="423">
        <v>4</v>
      </c>
      <c r="G369" s="460">
        <v>10414.8</v>
      </c>
      <c r="H369" s="424">
        <f t="shared" si="368"/>
      </c>
      <c r="I369" s="424">
        <f t="shared" si="18"/>
      </c>
      <c r="J369" s="424">
        <f t="shared" si="81"/>
      </c>
      <c r="K369" s="425">
        <f t="shared" si="119"/>
      </c>
      <c r="L369" s="426">
        <f t="shared" si="179"/>
      </c>
      <c r="M369" s="427">
        <f t="shared" si="149"/>
      </c>
      <c r="N369" s="427">
        <f t="shared" si="209"/>
      </c>
      <c r="O369" s="427">
        <f t="shared" si="262"/>
      </c>
      <c r="P369" s="428">
        <f t="shared" si="315"/>
      </c>
      <c r="Q369" s="429" t="s">
        <v>777</v>
      </c>
      <c r="R369" s="430" t="s">
        <v>778</v>
      </c>
      <c r="S369" s="436">
        <v>13375</v>
      </c>
      <c r="T369" s="436">
        <v>1192</v>
      </c>
      <c r="U369" s="436">
        <v>1729</v>
      </c>
      <c r="V369" s="436">
        <v>151</v>
      </c>
      <c r="W369" s="435">
        <v>6</v>
      </c>
      <c r="X369" s="435">
        <v>1</v>
      </c>
      <c r="Y369" s="448">
        <v>26</v>
      </c>
      <c r="AG369" s="486"/>
      <c r="AH369" s="486"/>
      <c r="AI369" s="486"/>
      <c r="AJ369" s="486"/>
      <c r="AK369" s="486"/>
      <c r="AL369" s="486"/>
      <c r="AM369" s="486"/>
      <c r="AN369" s="486"/>
      <c r="AO369" s="486"/>
      <c r="AP369" s="486"/>
      <c r="AQ369" s="486"/>
      <c r="AR369" s="486"/>
      <c r="AS369" s="486"/>
    </row>
    <row r="370">
      <c r="A370" s="420"/>
      <c r="B370" s="421" t="s">
        <v>775</v>
      </c>
      <c r="C370" s="451" t="s">
        <v>784</v>
      </c>
      <c r="D370" s="459">
        <v>2365.75</v>
      </c>
      <c r="E370" s="423">
        <v>4</v>
      </c>
      <c r="F370" s="423">
        <v>0</v>
      </c>
      <c r="G370" s="460">
        <v>6446.8</v>
      </c>
      <c r="H370" s="424">
        <f t="shared" si="368"/>
      </c>
      <c r="I370" s="424">
        <f t="shared" si="18"/>
      </c>
      <c r="J370" s="424">
        <f t="shared" si="81"/>
      </c>
      <c r="K370" s="425">
        <f t="shared" si="119"/>
      </c>
      <c r="L370" s="426">
        <f t="shared" si="179"/>
      </c>
      <c r="M370" s="427">
        <f t="shared" si="149"/>
      </c>
      <c r="N370" s="427">
        <f t="shared" si="209"/>
      </c>
      <c r="O370" s="427">
        <f t="shared" si="262"/>
      </c>
      <c r="P370" s="428">
        <f t="shared" si="315"/>
      </c>
      <c r="Q370" s="429" t="s">
        <v>777</v>
      </c>
      <c r="R370" s="430" t="s">
        <v>778</v>
      </c>
      <c r="S370" s="436">
        <v>14887</v>
      </c>
      <c r="T370" s="436">
        <v>1256</v>
      </c>
      <c r="U370" s="436">
        <v>1793</v>
      </c>
      <c r="V370" s="436">
        <v>161</v>
      </c>
      <c r="W370" s="435">
        <v>4</v>
      </c>
      <c r="X370" s="435">
        <v>1</v>
      </c>
      <c r="Y370" s="448">
        <v>52</v>
      </c>
      <c r="AG370" s="486"/>
      <c r="AH370" s="486"/>
      <c r="AI370" s="486"/>
      <c r="AJ370" s="486"/>
      <c r="AK370" s="486"/>
      <c r="AL370" s="486"/>
      <c r="AM370" s="486"/>
      <c r="AN370" s="486"/>
      <c r="AO370" s="486"/>
      <c r="AP370" s="486"/>
      <c r="AQ370" s="486"/>
      <c r="AR370" s="486"/>
      <c r="AS370" s="486"/>
    </row>
    <row r="371">
      <c r="A371" s="420"/>
      <c r="B371" s="421" t="s">
        <v>775</v>
      </c>
      <c r="C371" s="451" t="s">
        <v>785</v>
      </c>
      <c r="D371" s="459">
        <v>2553.75</v>
      </c>
      <c r="E371" s="423">
        <v>2</v>
      </c>
      <c r="F371" s="423">
        <v>2</v>
      </c>
      <c r="G371" s="460">
        <v>1750.8</v>
      </c>
      <c r="H371" s="424">
        <f t="shared" si="368"/>
      </c>
      <c r="I371" s="424">
        <f t="shared" si="18"/>
      </c>
      <c r="J371" s="424">
        <f t="shared" si="81"/>
      </c>
      <c r="K371" s="425">
        <f t="shared" si="119"/>
      </c>
      <c r="L371" s="426">
        <f t="shared" si="179"/>
      </c>
      <c r="M371" s="427">
        <f t="shared" si="149"/>
      </c>
      <c r="N371" s="427">
        <f t="shared" si="209"/>
      </c>
      <c r="O371" s="427">
        <f t="shared" si="262"/>
      </c>
      <c r="P371" s="428">
        <f t="shared" si="315"/>
      </c>
      <c r="Q371" s="429" t="s">
        <v>777</v>
      </c>
      <c r="R371" s="430" t="s">
        <v>778</v>
      </c>
      <c r="S371" s="436">
        <v>13732</v>
      </c>
      <c r="T371" s="436">
        <v>1204</v>
      </c>
      <c r="U371" s="436">
        <v>1748</v>
      </c>
      <c r="V371" s="436">
        <v>141</v>
      </c>
      <c r="W371" s="435">
        <v>3</v>
      </c>
      <c r="X371" s="435">
        <v>0</v>
      </c>
      <c r="Y371" s="448">
        <v>37</v>
      </c>
      <c r="AG371" s="486"/>
      <c r="AH371" s="486"/>
      <c r="AI371" s="486"/>
      <c r="AJ371" s="486"/>
      <c r="AK371" s="486"/>
      <c r="AL371" s="486"/>
      <c r="AM371" s="486"/>
      <c r="AN371" s="486"/>
      <c r="AO371" s="486"/>
      <c r="AP371" s="486"/>
      <c r="AQ371" s="486"/>
      <c r="AR371" s="486"/>
      <c r="AS371" s="486"/>
    </row>
    <row r="372">
      <c r="A372" s="420"/>
      <c r="B372" s="421" t="s">
        <v>775</v>
      </c>
      <c r="C372" s="451" t="s">
        <v>786</v>
      </c>
      <c r="D372" s="459">
        <v>1246.76</v>
      </c>
      <c r="E372" s="423">
        <v>2</v>
      </c>
      <c r="F372" s="423">
        <v>2</v>
      </c>
      <c r="G372" s="460">
        <v>3596.4</v>
      </c>
      <c r="H372" s="424">
        <f t="shared" si="368"/>
      </c>
      <c r="I372" s="424">
        <f t="shared" si="18"/>
      </c>
      <c r="J372" s="424">
        <f t="shared" si="81"/>
      </c>
      <c r="K372" s="425">
        <f t="shared" si="119"/>
      </c>
      <c r="L372" s="426">
        <f t="shared" si="179"/>
      </c>
      <c r="M372" s="427">
        <f t="shared" si="149"/>
      </c>
      <c r="N372" s="427">
        <f t="shared" si="209"/>
      </c>
      <c r="O372" s="427">
        <f t="shared" si="262"/>
      </c>
      <c r="P372" s="428">
        <f t="shared" si="315"/>
      </c>
      <c r="Q372" s="429" t="s">
        <v>777</v>
      </c>
      <c r="R372" s="430" t="s">
        <v>778</v>
      </c>
      <c r="S372" s="436">
        <v>8586</v>
      </c>
      <c r="T372" s="436">
        <v>820</v>
      </c>
      <c r="U372" s="436">
        <v>1126</v>
      </c>
      <c r="V372" s="436">
        <v>66</v>
      </c>
      <c r="W372" s="435">
        <v>3</v>
      </c>
      <c r="X372" s="435">
        <v>0</v>
      </c>
      <c r="Y372" s="448">
        <v>19</v>
      </c>
      <c r="AG372" s="486"/>
      <c r="AH372" s="486"/>
      <c r="AI372" s="486"/>
      <c r="AJ372" s="486"/>
      <c r="AK372" s="486"/>
      <c r="AL372" s="486"/>
      <c r="AM372" s="486"/>
      <c r="AN372" s="486"/>
      <c r="AO372" s="486"/>
      <c r="AP372" s="486"/>
      <c r="AQ372" s="486"/>
      <c r="AR372" s="486"/>
      <c r="AS372" s="486"/>
    </row>
    <row r="373">
      <c r="A373" s="420"/>
      <c r="B373" s="437" t="s">
        <v>774</v>
      </c>
      <c r="C373" s="437"/>
      <c r="D373" s="438">
        <f>SUM(D369:D372)</f>
      </c>
      <c r="E373" s="438">
        <f>SUM(E369:E372)</f>
      </c>
      <c r="F373" s="438">
        <f>SUM(F369:F372)</f>
      </c>
      <c r="G373" s="438">
        <f>SUM(G369:G372)</f>
      </c>
      <c r="H373" s="440">
        <f t="shared" si="368"/>
      </c>
      <c r="I373" s="441">
        <f t="shared" si="18"/>
      </c>
      <c r="J373" s="442">
        <f t="shared" si="81"/>
      </c>
      <c r="K373" s="443">
        <f t="shared" si="119"/>
      </c>
      <c r="L373" s="444">
        <f t="shared" si="179"/>
      </c>
      <c r="M373" s="443">
        <f t="shared" si="149"/>
      </c>
      <c r="N373" s="443">
        <f t="shared" si="209"/>
      </c>
      <c r="O373" s="445">
        <f t="shared" si="262"/>
      </c>
      <c r="P373" s="446">
        <f t="shared" si="315"/>
      </c>
      <c r="Q373" s="444"/>
      <c r="R373" s="444"/>
      <c r="S373" s="447">
        <f>SUM(S369:S372)</f>
      </c>
      <c r="T373" s="447">
        <f>SUM(T369:T372)</f>
      </c>
      <c r="U373" s="447">
        <f>SUM(U369:U372)</f>
      </c>
      <c r="V373" s="447">
        <f>SUM(V369:V372)</f>
      </c>
      <c r="W373" s="447">
        <f>SUM(W369:W372)</f>
      </c>
      <c r="X373" s="447">
        <f>SUM(X369:X372)</f>
      </c>
      <c r="Y373" s="447">
        <f>SUM(Y369:Y372)</f>
      </c>
      <c r="AG373" s="486"/>
      <c r="AH373" s="486"/>
      <c r="AI373" s="486"/>
      <c r="AJ373" s="486"/>
      <c r="AK373" s="486"/>
      <c r="AL373" s="486"/>
      <c r="AM373" s="486"/>
      <c r="AN373" s="486"/>
      <c r="AO373" s="486"/>
      <c r="AP373" s="486"/>
      <c r="AQ373" s="486"/>
      <c r="AR373" s="486"/>
      <c r="AS373" s="486"/>
    </row>
    <row r="374">
      <c r="A374" s="420"/>
      <c r="B374" s="452" t="s">
        <v>787</v>
      </c>
      <c r="C374" s="452"/>
      <c r="D374" s="466">
        <f>D358+D363+D373+D368</f>
      </c>
      <c r="E374" s="466">
        <f>E358+E363+E373+E368</f>
      </c>
      <c r="F374" s="466">
        <f>F358+F363+F373+F368</f>
      </c>
      <c r="G374" s="466">
        <f>G358+G363+G373+G368</f>
      </c>
      <c r="H374" s="452">
        <f t="shared" si="368"/>
      </c>
      <c r="I374" s="452">
        <f t="shared" si="18"/>
      </c>
      <c r="J374" s="452">
        <f t="shared" si="81"/>
      </c>
      <c r="K374" s="455">
        <f t="shared" si="119"/>
      </c>
      <c r="L374" s="452">
        <f t="shared" si="179"/>
      </c>
      <c r="M374" s="455">
        <f t="shared" si="149"/>
      </c>
      <c r="N374" s="455">
        <f t="shared" si="209"/>
      </c>
      <c r="O374" s="455">
        <f t="shared" si="262"/>
      </c>
      <c r="P374" s="452">
        <f t="shared" si="315"/>
      </c>
      <c r="Q374" s="456"/>
      <c r="R374" s="456"/>
      <c r="S374" s="454">
        <f>S358+S363+S373+S368</f>
      </c>
      <c r="T374" s="454">
        <f>T358+T363+T373+T368</f>
      </c>
      <c r="U374" s="454">
        <f>U358+U363+U373+U368</f>
      </c>
      <c r="V374" s="454">
        <f>V358+V363+V373+V368</f>
      </c>
      <c r="W374" s="454">
        <f>W358+W363+W373+W368</f>
      </c>
      <c r="X374" s="454">
        <f>X358+X363+X373+X368</f>
      </c>
      <c r="Y374" s="454">
        <f>Y358+Y363+Y373+Y368</f>
      </c>
      <c r="AG374" s="486"/>
      <c r="AH374" s="486"/>
      <c r="AI374" s="486"/>
      <c r="AJ374" s="486"/>
      <c r="AK374" s="486"/>
      <c r="AL374" s="486"/>
      <c r="AM374" s="486"/>
      <c r="AN374" s="486"/>
      <c r="AO374" s="486"/>
      <c r="AP374" s="486"/>
      <c r="AQ374" s="486"/>
      <c r="AR374" s="486"/>
      <c r="AS374" s="486"/>
    </row>
    <row r="375">
      <c r="A375" s="405" t="s">
        <v>738</v>
      </c>
      <c r="B375" s="405"/>
      <c r="C375" s="405"/>
      <c r="D375" s="406" t="s">
        <v>739</v>
      </c>
      <c r="E375" s="406"/>
      <c r="F375" s="406"/>
      <c r="G375" s="406"/>
      <c r="H375" s="406"/>
      <c r="I375" s="406"/>
      <c r="J375" s="406"/>
      <c r="K375" s="407" t="s">
        <v>740</v>
      </c>
      <c r="L375" s="407"/>
      <c r="M375" s="407"/>
      <c r="N375" s="407"/>
      <c r="O375" s="407"/>
      <c r="P375" s="407"/>
      <c r="Q375" s="407"/>
      <c r="R375" s="407"/>
      <c r="S375" s="408" t="s">
        <v>741</v>
      </c>
      <c r="T375" s="408"/>
      <c r="U375" s="408"/>
      <c r="V375" s="408"/>
      <c r="W375" s="408"/>
      <c r="X375" s="408"/>
      <c r="Y375" s="408"/>
      <c r="AG375" s="486"/>
      <c r="AH375" s="486"/>
      <c r="AI375" s="486"/>
      <c r="AJ375" s="486"/>
      <c r="AK375" s="486"/>
      <c r="AL375" s="486"/>
      <c r="AM375" s="486"/>
      <c r="AN375" s="486"/>
      <c r="AO375" s="486"/>
      <c r="AP375" s="486"/>
      <c r="AQ375" s="486"/>
      <c r="AR375" s="486"/>
      <c r="AS375" s="486"/>
    </row>
    <row r="376">
      <c r="A376" s="409" t="s">
        <v>742</v>
      </c>
      <c r="B376" s="409" t="s">
        <v>743</v>
      </c>
      <c r="C376" s="409" t="s">
        <v>744</v>
      </c>
      <c r="D376" s="410" t="s">
        <v>745</v>
      </c>
      <c r="E376" s="411" t="s">
        <v>746</v>
      </c>
      <c r="F376" s="463" t="s">
        <v>792</v>
      </c>
      <c r="G376" s="410" t="s">
        <v>747</v>
      </c>
      <c r="H376" s="412" t="s">
        <v>748</v>
      </c>
      <c r="I376" s="413" t="s">
        <v>749</v>
      </c>
      <c r="J376" s="410" t="s">
        <v>750</v>
      </c>
      <c r="K376" s="414" t="s">
        <v>751</v>
      </c>
      <c r="L376" s="415" t="s">
        <v>752</v>
      </c>
      <c r="M376" s="414" t="s">
        <v>753</v>
      </c>
      <c r="N376" s="414" t="s">
        <v>754</v>
      </c>
      <c r="O376" s="416" t="s">
        <v>755</v>
      </c>
      <c r="P376" s="416" t="s">
        <v>756</v>
      </c>
      <c r="Q376" s="417" t="s">
        <v>757</v>
      </c>
      <c r="R376" s="417" t="s">
        <v>758</v>
      </c>
      <c r="S376" s="431" t="s">
        <v>759</v>
      </c>
      <c r="T376" s="431" t="s">
        <v>760</v>
      </c>
      <c r="U376" s="431" t="s">
        <v>761</v>
      </c>
      <c r="V376" s="431" t="s">
        <v>762</v>
      </c>
      <c r="W376" s="431" t="s">
        <v>763</v>
      </c>
      <c r="X376" s="431" t="s">
        <v>764</v>
      </c>
      <c r="Y376" s="419" t="s">
        <v>765</v>
      </c>
      <c r="AG376" s="486"/>
      <c r="AH376" s="486"/>
      <c r="AI376" s="486"/>
      <c r="AJ376" s="486"/>
      <c r="AK376" s="486"/>
      <c r="AL376" s="486"/>
      <c r="AM376" s="486"/>
      <c r="AN376" s="486"/>
      <c r="AO376" s="486"/>
      <c r="AP376" s="486"/>
      <c r="AQ376" s="486"/>
      <c r="AR376" s="486"/>
      <c r="AS376" s="486"/>
    </row>
    <row r="377">
      <c r="A377" s="420" t="s">
        <v>852</v>
      </c>
      <c r="B377" s="421" t="s">
        <v>782</v>
      </c>
      <c r="C377" s="451" t="s">
        <v>794</v>
      </c>
      <c r="D377" s="421">
        <v>2455.4</v>
      </c>
      <c r="E377" s="423">
        <v>3</v>
      </c>
      <c r="F377" s="423">
        <v>3</v>
      </c>
      <c r="G377" s="467">
        <v>7084.8</v>
      </c>
      <c r="H377" s="424">
        <f t="shared" ref="H377:H396" si="369">G377/D377</f>
      </c>
      <c r="I377" s="424">
        <f>D377/E377</f>
      </c>
      <c r="J377" s="424">
        <f>G377/E377</f>
      </c>
      <c r="K377" s="425">
        <f t="shared" ref="K377:K396" si="120">T377/S377</f>
      </c>
      <c r="L377" s="426">
        <f t="shared" ref="L377:L396" si="180">D377/U377</f>
      </c>
      <c r="M377" s="427">
        <f t="shared" ref="M377:M396" si="150">V377/U377</f>
      </c>
      <c r="N377" s="427">
        <f t="shared" ref="N377:N396" si="210">E377/W377</f>
      </c>
      <c r="O377" s="427">
        <f t="shared" ref="O377:O396" si="263">X377/E377</f>
      </c>
      <c r="P377" s="428">
        <f t="shared" ref="P377:P396" si="316">(Y377*1000)/D377</f>
      </c>
      <c r="Q377" s="429" t="s">
        <v>769</v>
      </c>
      <c r="R377" s="430" t="s">
        <v>802</v>
      </c>
      <c r="S377" s="461">
        <v>9845</v>
      </c>
      <c r="T377" s="461">
        <v>1189</v>
      </c>
      <c r="U377" s="461">
        <v>1547</v>
      </c>
      <c r="V377" s="461">
        <v>172</v>
      </c>
      <c r="W377" s="461">
        <v>4</v>
      </c>
      <c r="X377" s="461">
        <v>0</v>
      </c>
      <c r="Y377" s="461">
        <v>41</v>
      </c>
      <c r="AG377" s="486"/>
      <c r="AH377" s="486"/>
      <c r="AI377" s="486"/>
      <c r="AJ377" s="486"/>
      <c r="AK377" s="486"/>
      <c r="AL377" s="486"/>
      <c r="AM377" s="486"/>
      <c r="AN377" s="486"/>
      <c r="AO377" s="486"/>
      <c r="AP377" s="486"/>
      <c r="AQ377" s="486"/>
      <c r="AR377" s="486"/>
      <c r="AS377" s="486"/>
    </row>
    <row r="378">
      <c r="A378" s="420"/>
      <c r="B378" s="421" t="s">
        <v>782</v>
      </c>
      <c r="C378" s="421" t="s">
        <v>796</v>
      </c>
      <c r="D378" s="421">
        <v>4278.33</v>
      </c>
      <c r="E378" s="423">
        <v>6</v>
      </c>
      <c r="F378" s="423">
        <v>5</v>
      </c>
      <c r="G378" s="467">
        <v>7873.2</v>
      </c>
      <c r="H378" s="424">
        <f t="shared" si="369"/>
      </c>
      <c r="I378" s="424">
        <v>2161</v>
      </c>
      <c r="J378" s="424">
        <v>234</v>
      </c>
      <c r="K378" s="425">
        <f t="shared" si="120"/>
      </c>
      <c r="L378" s="426">
        <f t="shared" si="180"/>
      </c>
      <c r="M378" s="427">
        <f t="shared" si="150"/>
      </c>
      <c r="N378" s="427">
        <f t="shared" si="210"/>
      </c>
      <c r="O378" s="427">
        <f t="shared" si="263"/>
      </c>
      <c r="P378" s="428">
        <f t="shared" si="316"/>
      </c>
      <c r="Q378" s="429" t="s">
        <v>769</v>
      </c>
      <c r="R378" s="430" t="s">
        <v>802</v>
      </c>
      <c r="S378" s="461">
        <v>13738</v>
      </c>
      <c r="T378" s="461">
        <v>1790</v>
      </c>
      <c r="U378" s="461">
        <v>2322</v>
      </c>
      <c r="V378" s="461">
        <v>284</v>
      </c>
      <c r="W378" s="461">
        <v>8</v>
      </c>
      <c r="X378" s="461">
        <v>1</v>
      </c>
      <c r="Y378" s="461">
        <v>46</v>
      </c>
      <c r="AG378" s="486"/>
      <c r="AH378" s="486"/>
      <c r="AI378" s="486"/>
      <c r="AJ378" s="486"/>
      <c r="AK378" s="486"/>
      <c r="AL378" s="486"/>
      <c r="AM378" s="486"/>
      <c r="AN378" s="486"/>
      <c r="AO378" s="486"/>
      <c r="AP378" s="486"/>
      <c r="AQ378" s="486"/>
      <c r="AR378" s="486"/>
      <c r="AS378" s="486"/>
    </row>
    <row r="379">
      <c r="A379" s="420"/>
      <c r="B379" s="421" t="s">
        <v>782</v>
      </c>
      <c r="C379" s="421" t="s">
        <v>797</v>
      </c>
      <c r="D379" s="421">
        <v>3441.94</v>
      </c>
      <c r="E379" s="423">
        <v>5</v>
      </c>
      <c r="F379" s="423">
        <v>3</v>
      </c>
      <c r="G379" s="467">
        <v>3615.6</v>
      </c>
      <c r="H379" s="424">
        <f t="shared" si="369"/>
      </c>
      <c r="I379" s="424">
        <f t="shared" ref="I379:I396" si="19">D379/E379</f>
      </c>
      <c r="J379" s="424">
        <f t="shared" ref="J379:J396" si="82">G379/E379</f>
      </c>
      <c r="K379" s="425">
        <f t="shared" si="120"/>
      </c>
      <c r="L379" s="426">
        <f t="shared" si="180"/>
      </c>
      <c r="M379" s="427">
        <f t="shared" si="150"/>
      </c>
      <c r="N379" s="427">
        <f t="shared" si="210"/>
      </c>
      <c r="O379" s="427">
        <f t="shared" si="263"/>
      </c>
      <c r="P379" s="428">
        <f t="shared" si="316"/>
      </c>
      <c r="Q379" s="429" t="s">
        <v>769</v>
      </c>
      <c r="R379" s="430" t="s">
        <v>802</v>
      </c>
      <c r="S379" s="461">
        <v>10379</v>
      </c>
      <c r="T379" s="461">
        <v>1235</v>
      </c>
      <c r="U379" s="461">
        <v>1656</v>
      </c>
      <c r="V379" s="461">
        <v>221</v>
      </c>
      <c r="W379" s="461">
        <v>7</v>
      </c>
      <c r="X379" s="461">
        <v>2</v>
      </c>
      <c r="Y379" s="461">
        <v>40</v>
      </c>
      <c r="AG379" s="486"/>
      <c r="AH379" s="486"/>
      <c r="AI379" s="486"/>
      <c r="AJ379" s="486"/>
      <c r="AK379" s="486"/>
      <c r="AL379" s="486"/>
      <c r="AM379" s="486"/>
      <c r="AN379" s="486"/>
      <c r="AO379" s="486"/>
      <c r="AP379" s="486"/>
      <c r="AQ379" s="486"/>
      <c r="AR379" s="486"/>
      <c r="AS379" s="486"/>
    </row>
    <row r="380">
      <c r="A380" s="420"/>
      <c r="B380" s="421" t="s">
        <v>782</v>
      </c>
      <c r="C380" s="421" t="s">
        <v>798</v>
      </c>
      <c r="D380" s="421">
        <v>3467.18</v>
      </c>
      <c r="E380" s="423">
        <v>5</v>
      </c>
      <c r="F380" s="423">
        <v>5</v>
      </c>
      <c r="G380" s="462">
        <v>5569.2</v>
      </c>
      <c r="H380" s="424">
        <f t="shared" si="369"/>
      </c>
      <c r="I380" s="424">
        <f t="shared" si="19"/>
      </c>
      <c r="J380" s="424">
        <f t="shared" si="82"/>
      </c>
      <c r="K380" s="425">
        <f t="shared" si="120"/>
      </c>
      <c r="L380" s="426">
        <f t="shared" si="180"/>
      </c>
      <c r="M380" s="427">
        <f t="shared" si="150"/>
      </c>
      <c r="N380" s="427">
        <f t="shared" si="210"/>
      </c>
      <c r="O380" s="427">
        <f t="shared" si="263"/>
      </c>
      <c r="P380" s="428">
        <f t="shared" si="316"/>
      </c>
      <c r="Q380" s="429" t="s">
        <v>769</v>
      </c>
      <c r="R380" s="430" t="s">
        <v>802</v>
      </c>
      <c r="S380" s="461">
        <v>10852</v>
      </c>
      <c r="T380" s="461">
        <v>1052</v>
      </c>
      <c r="U380" s="461">
        <v>1393</v>
      </c>
      <c r="V380" s="461">
        <v>172</v>
      </c>
      <c r="W380" s="461">
        <v>10</v>
      </c>
      <c r="X380" s="435">
        <v>0</v>
      </c>
      <c r="Y380" s="435">
        <v>64</v>
      </c>
      <c r="AA380" s="487" t="s">
        <v>853</v>
      </c>
      <c r="AB380" s="487"/>
      <c r="AC380" s="487"/>
      <c r="AD380" s="487"/>
      <c r="AE380" s="487"/>
      <c r="AF380" s="487"/>
      <c r="AG380" s="487"/>
      <c r="AH380" s="487"/>
      <c r="AI380" s="487"/>
      <c r="AJ380" s="487"/>
      <c r="AK380" s="487"/>
      <c r="AL380" s="486"/>
      <c r="AM380" s="486"/>
      <c r="AN380" s="486"/>
      <c r="AO380" s="486"/>
      <c r="AP380" s="486"/>
      <c r="AQ380" s="486"/>
      <c r="AR380" s="486"/>
      <c r="AS380" s="486"/>
    </row>
    <row r="381">
      <c r="A381" s="420"/>
      <c r="B381" s="421" t="s">
        <v>782</v>
      </c>
      <c r="C381" s="422" t="s">
        <v>768</v>
      </c>
      <c r="D381" s="421">
        <v>3782.05</v>
      </c>
      <c r="E381" s="423">
        <v>5</v>
      </c>
      <c r="F381" s="423">
        <v>4</v>
      </c>
      <c r="G381" s="462">
        <v>2903.6</v>
      </c>
      <c r="H381" s="424">
        <f t="shared" si="369"/>
      </c>
      <c r="I381" s="424">
        <f t="shared" si="19"/>
      </c>
      <c r="J381" s="424">
        <f t="shared" si="82"/>
      </c>
      <c r="K381" s="425">
        <f t="shared" si="120"/>
      </c>
      <c r="L381" s="426">
        <f t="shared" si="180"/>
      </c>
      <c r="M381" s="427">
        <f t="shared" si="150"/>
      </c>
      <c r="N381" s="427">
        <f t="shared" si="210"/>
      </c>
      <c r="O381" s="427">
        <f t="shared" si="263"/>
      </c>
      <c r="P381" s="428">
        <f t="shared" si="316"/>
      </c>
      <c r="Q381" s="429" t="s">
        <v>769</v>
      </c>
      <c r="R381" s="430" t="s">
        <v>802</v>
      </c>
      <c r="S381" s="461">
        <v>13230</v>
      </c>
      <c r="T381" s="461">
        <v>1680</v>
      </c>
      <c r="U381" s="461">
        <v>2113</v>
      </c>
      <c r="V381" s="461">
        <v>227</v>
      </c>
      <c r="W381" s="461">
        <v>6</v>
      </c>
      <c r="X381" s="435">
        <v>0</v>
      </c>
      <c r="Y381" s="435">
        <v>39</v>
      </c>
      <c r="AA381" s="489" t="s">
        <v>806</v>
      </c>
      <c r="AB381" s="489" t="s">
        <v>807</v>
      </c>
      <c r="AC381" s="489" t="s">
        <v>808</v>
      </c>
      <c r="AD381" s="489" t="s">
        <v>809</v>
      </c>
      <c r="AE381" s="489" t="s">
        <v>810</v>
      </c>
      <c r="AF381" s="489" t="s">
        <v>811</v>
      </c>
      <c r="AG381" s="489" t="s">
        <v>750</v>
      </c>
      <c r="AH381" s="489" t="s">
        <v>812</v>
      </c>
      <c r="AI381" s="489" t="s">
        <v>748</v>
      </c>
      <c r="AJ381" s="489" t="s">
        <v>813</v>
      </c>
      <c r="AK381" s="489"/>
      <c r="AL381" s="486"/>
      <c r="AM381" s="486"/>
      <c r="AN381" s="486"/>
      <c r="AO381" s="486"/>
      <c r="AP381" s="486"/>
      <c r="AQ381" s="486"/>
      <c r="AR381" s="486"/>
      <c r="AS381" s="486"/>
    </row>
    <row r="382">
      <c r="A382" s="420"/>
      <c r="B382" s="437" t="s">
        <v>774</v>
      </c>
      <c r="C382" s="437"/>
      <c r="D382" s="438">
        <f>SUM(D377:D381)</f>
      </c>
      <c r="E382" s="438">
        <f>SUM(E377:E381)</f>
      </c>
      <c r="F382" s="438">
        <f>SUM(F377:F381)</f>
      </c>
      <c r="G382" s="438">
        <f>SUM(G377:G381)</f>
      </c>
      <c r="H382" s="440">
        <f t="shared" si="369"/>
      </c>
      <c r="I382" s="441">
        <f t="shared" si="19"/>
      </c>
      <c r="J382" s="442">
        <f t="shared" si="82"/>
      </c>
      <c r="K382" s="443">
        <f t="shared" si="120"/>
      </c>
      <c r="L382" s="444">
        <f t="shared" si="180"/>
      </c>
      <c r="M382" s="443">
        <f t="shared" si="150"/>
      </c>
      <c r="N382" s="443">
        <f t="shared" si="210"/>
      </c>
      <c r="O382" s="445">
        <f t="shared" si="263"/>
      </c>
      <c r="P382" s="446">
        <f t="shared" si="316"/>
      </c>
      <c r="Q382" s="444"/>
      <c r="R382" s="444"/>
      <c r="S382" s="447">
        <f>SUM(S377:S381)</f>
      </c>
      <c r="T382" s="447">
        <f>SUM(T377:T381)</f>
      </c>
      <c r="U382" s="447">
        <f>SUM(U377:U381)</f>
      </c>
      <c r="V382" s="447">
        <f>SUM(V377:V381)</f>
      </c>
      <c r="W382" s="447">
        <f>SUM(W377:W381)</f>
      </c>
      <c r="X382" s="447">
        <f>SUM(X377:X381)</f>
      </c>
      <c r="Y382" s="447">
        <f>SUM(Y377:Y381)</f>
      </c>
      <c r="AA382" s="490" t="s">
        <v>782</v>
      </c>
      <c r="AB382" s="496" t="s">
        <v>845</v>
      </c>
      <c r="AC382" s="490">
        <v>5</v>
      </c>
      <c r="AD382" s="490">
        <v>17424.9</v>
      </c>
      <c r="AE382" s="490">
        <v>27046.4</v>
      </c>
      <c r="AF382" s="490">
        <v>24</v>
      </c>
      <c r="AG382" s="493">
        <f t="shared" ref="AG382:AG384" si="233">AE382/AF382</f>
      </c>
      <c r="AH382" s="493">
        <f t="shared" ref="AH382:AH384" si="286">AD382/AF382</f>
      </c>
      <c r="AI382" s="493">
        <f t="shared" ref="AI382:AI384" si="339">AE382/AD382</f>
      </c>
      <c r="AJ382" s="492">
        <f>AD382/AC382</f>
      </c>
      <c r="AK382" s="492"/>
      <c r="AL382" s="486"/>
      <c r="AM382" s="486"/>
      <c r="AN382" s="486"/>
      <c r="AO382" s="486"/>
      <c r="AP382" s="486"/>
      <c r="AQ382" s="486"/>
      <c r="AR382" s="486"/>
      <c r="AS382" s="486"/>
    </row>
    <row r="383">
      <c r="A383" s="420"/>
      <c r="B383" s="421" t="s">
        <v>775</v>
      </c>
      <c r="C383" s="433" t="s">
        <v>771</v>
      </c>
      <c r="D383" s="459">
        <v>3605.36</v>
      </c>
      <c r="E383" s="423">
        <v>2</v>
      </c>
      <c r="F383" s="423">
        <v>2</v>
      </c>
      <c r="G383" s="460">
        <v>2395.2</v>
      </c>
      <c r="H383" s="424">
        <f t="shared" si="369"/>
      </c>
      <c r="I383" s="424">
        <f t="shared" si="19"/>
      </c>
      <c r="J383" s="424">
        <f t="shared" si="82"/>
      </c>
      <c r="K383" s="425">
        <f t="shared" si="120"/>
      </c>
      <c r="L383" s="426">
        <f t="shared" si="180"/>
      </c>
      <c r="M383" s="427">
        <f t="shared" si="150"/>
      </c>
      <c r="N383" s="427">
        <f t="shared" si="210"/>
      </c>
      <c r="O383" s="427">
        <f t="shared" si="263"/>
      </c>
      <c r="P383" s="428">
        <f t="shared" si="316"/>
      </c>
      <c r="Q383" s="429" t="s">
        <v>777</v>
      </c>
      <c r="R383" s="430" t="s">
        <v>802</v>
      </c>
      <c r="S383" s="461">
        <v>15020</v>
      </c>
      <c r="T383" s="461">
        <v>2155</v>
      </c>
      <c r="U383" s="461">
        <v>2693</v>
      </c>
      <c r="V383" s="461">
        <v>218</v>
      </c>
      <c r="W383" s="461">
        <v>4</v>
      </c>
      <c r="X383" s="461">
        <v>0</v>
      </c>
      <c r="Y383" s="461">
        <v>46</v>
      </c>
      <c r="AA383" s="490" t="s">
        <v>775</v>
      </c>
      <c r="AB383" s="496" t="s">
        <v>846</v>
      </c>
      <c r="AC383" s="490">
        <v>5</v>
      </c>
      <c r="AD383" s="490">
        <v>15286.02</v>
      </c>
      <c r="AE383" s="490">
        <v>12286.8</v>
      </c>
      <c r="AF383" s="490">
        <v>13</v>
      </c>
      <c r="AG383" s="493">
        <f t="shared" si="233"/>
      </c>
      <c r="AH383" s="493">
        <f t="shared" si="286"/>
      </c>
      <c r="AI383" s="493">
        <f t="shared" si="339"/>
      </c>
      <c r="AJ383" s="492">
        <f t="shared" ref="AJ383:AJ384" si="50">AD383/4</f>
      </c>
      <c r="AK383" s="492"/>
    </row>
    <row r="384">
      <c r="A384" s="420"/>
      <c r="B384" s="421" t="s">
        <v>775</v>
      </c>
      <c r="C384" s="433" t="s">
        <v>772</v>
      </c>
      <c r="D384" s="459">
        <v>3413.68</v>
      </c>
      <c r="E384" s="423">
        <v>4</v>
      </c>
      <c r="F384" s="423">
        <v>3</v>
      </c>
      <c r="G384" s="460">
        <v>3372</v>
      </c>
      <c r="H384" s="424">
        <f t="shared" si="369"/>
      </c>
      <c r="I384" s="424">
        <f t="shared" si="19"/>
      </c>
      <c r="J384" s="424">
        <f t="shared" si="82"/>
      </c>
      <c r="K384" s="425">
        <f t="shared" si="120"/>
      </c>
      <c r="L384" s="426">
        <f t="shared" si="180"/>
      </c>
      <c r="M384" s="427">
        <f t="shared" si="150"/>
      </c>
      <c r="N384" s="427">
        <f t="shared" si="210"/>
      </c>
      <c r="O384" s="427">
        <f t="shared" si="263"/>
      </c>
      <c r="P384" s="428">
        <f t="shared" si="316"/>
      </c>
      <c r="Q384" s="429" t="s">
        <v>777</v>
      </c>
      <c r="R384" s="430" t="s">
        <v>778</v>
      </c>
      <c r="S384" s="461">
        <v>15489</v>
      </c>
      <c r="T384" s="461">
        <v>2112</v>
      </c>
      <c r="U384" s="461">
        <v>2622</v>
      </c>
      <c r="V384" s="461">
        <v>216</v>
      </c>
      <c r="W384" s="461">
        <v>6</v>
      </c>
      <c r="X384" s="461">
        <v>1</v>
      </c>
      <c r="Y384" s="461">
        <v>46</v>
      </c>
      <c r="AA384" s="490" t="s">
        <v>767</v>
      </c>
      <c r="AB384" s="496" t="s">
        <v>847</v>
      </c>
      <c r="AC384" s="490">
        <v>6</v>
      </c>
      <c r="AD384" s="490">
        <v>11465.62</v>
      </c>
      <c r="AE384" s="490">
        <v>19090.5</v>
      </c>
      <c r="AF384" s="490">
        <v>16</v>
      </c>
      <c r="AG384" s="493">
        <f t="shared" si="233"/>
      </c>
      <c r="AH384" s="493">
        <f t="shared" si="286"/>
      </c>
      <c r="AI384" s="493">
        <f t="shared" si="339"/>
      </c>
      <c r="AJ384" s="492">
        <f t="shared" si="50"/>
      </c>
      <c r="AK384" s="492"/>
    </row>
    <row r="385">
      <c r="A385" s="420"/>
      <c r="B385" s="421" t="s">
        <v>775</v>
      </c>
      <c r="C385" s="433" t="s">
        <v>773</v>
      </c>
      <c r="D385" s="459">
        <v>3356.1</v>
      </c>
      <c r="E385" s="423">
        <v>4</v>
      </c>
      <c r="F385" s="423">
        <v>3</v>
      </c>
      <c r="G385" s="460">
        <v>4071.2</v>
      </c>
      <c r="H385" s="424">
        <f t="shared" si="369"/>
      </c>
      <c r="I385" s="424">
        <f t="shared" si="19"/>
      </c>
      <c r="J385" s="424">
        <f t="shared" si="82"/>
      </c>
      <c r="K385" s="425">
        <f t="shared" si="120"/>
      </c>
      <c r="L385" s="426">
        <f t="shared" si="180"/>
      </c>
      <c r="M385" s="427">
        <f t="shared" si="150"/>
      </c>
      <c r="N385" s="427">
        <f t="shared" si="210"/>
      </c>
      <c r="O385" s="427">
        <f t="shared" si="263"/>
      </c>
      <c r="P385" s="428">
        <f t="shared" si="316"/>
      </c>
      <c r="Q385" s="429" t="s">
        <v>777</v>
      </c>
      <c r="R385" s="430" t="s">
        <v>778</v>
      </c>
      <c r="S385" s="461">
        <v>15333</v>
      </c>
      <c r="T385" s="461">
        <v>2007</v>
      </c>
      <c r="U385" s="461">
        <v>2646</v>
      </c>
      <c r="V385" s="461">
        <v>208</v>
      </c>
      <c r="W385" s="461">
        <v>5</v>
      </c>
      <c r="X385" s="461">
        <v>0</v>
      </c>
      <c r="Y385" s="461">
        <v>35</v>
      </c>
      <c r="AA385" s="495" t="s">
        <v>819</v>
      </c>
      <c r="AB385" s="495"/>
      <c r="AC385" s="495"/>
      <c r="AD385" s="495"/>
      <c r="AE385" s="495"/>
      <c r="AF385" s="495"/>
      <c r="AG385" s="495"/>
      <c r="AH385" s="495"/>
      <c r="AI385" s="495"/>
      <c r="AJ385" s="495"/>
      <c r="AK385" s="495"/>
    </row>
    <row r="386">
      <c r="A386" s="420"/>
      <c r="B386" s="421" t="s">
        <v>775</v>
      </c>
      <c r="C386" s="433" t="s">
        <v>776</v>
      </c>
      <c r="D386" s="459">
        <v>2116.51</v>
      </c>
      <c r="E386" s="423">
        <v>2</v>
      </c>
      <c r="F386" s="423">
        <v>1</v>
      </c>
      <c r="G386" s="460">
        <v>1250.8</v>
      </c>
      <c r="H386" s="424">
        <f t="shared" si="369"/>
      </c>
      <c r="I386" s="424">
        <f t="shared" si="19"/>
      </c>
      <c r="J386" s="424">
        <f t="shared" si="82"/>
      </c>
      <c r="K386" s="425">
        <f t="shared" si="120"/>
      </c>
      <c r="L386" s="426">
        <f t="shared" si="180"/>
      </c>
      <c r="M386" s="427">
        <f t="shared" si="150"/>
      </c>
      <c r="N386" s="427">
        <f t="shared" si="210"/>
      </c>
      <c r="O386" s="427">
        <f t="shared" si="263"/>
      </c>
      <c r="P386" s="428">
        <f t="shared" si="316"/>
      </c>
      <c r="Q386" s="429" t="s">
        <v>777</v>
      </c>
      <c r="R386" s="430" t="s">
        <v>778</v>
      </c>
      <c r="S386" s="461">
        <v>10482</v>
      </c>
      <c r="T386" s="461">
        <v>1284</v>
      </c>
      <c r="U386" s="461">
        <v>1820</v>
      </c>
      <c r="V386" s="461">
        <v>136</v>
      </c>
      <c r="W386" s="461">
        <v>2</v>
      </c>
      <c r="X386" s="435">
        <v>0</v>
      </c>
      <c r="Y386" s="435">
        <v>23</v>
      </c>
      <c r="AA386" s="478" t="s">
        <v>809</v>
      </c>
      <c r="AB386" s="478" t="s">
        <v>820</v>
      </c>
      <c r="AC386" s="479" t="s">
        <v>821</v>
      </c>
      <c r="AD386" s="478" t="s">
        <v>822</v>
      </c>
      <c r="AE386" s="478" t="s">
        <v>823</v>
      </c>
      <c r="AF386" s="478" t="s">
        <v>824</v>
      </c>
      <c r="AG386" s="478" t="s">
        <v>825</v>
      </c>
      <c r="AH386" s="480" t="s">
        <v>764</v>
      </c>
      <c r="AI386" s="480" t="s">
        <v>826</v>
      </c>
      <c r="AJ386" s="480" t="s">
        <v>827</v>
      </c>
      <c r="AK386" s="480" t="s">
        <v>808</v>
      </c>
    </row>
    <row r="387">
      <c r="A387" s="420"/>
      <c r="B387" s="421" t="s">
        <v>775</v>
      </c>
      <c r="C387" s="422" t="s">
        <v>779</v>
      </c>
      <c r="D387" s="459">
        <v>2794.37</v>
      </c>
      <c r="E387" s="423">
        <v>1</v>
      </c>
      <c r="F387" s="423">
        <v>1</v>
      </c>
      <c r="G387" s="460">
        <v>1197.6</v>
      </c>
      <c r="H387" s="424">
        <f t="shared" si="369"/>
      </c>
      <c r="I387" s="424">
        <f t="shared" si="19"/>
      </c>
      <c r="J387" s="424">
        <f t="shared" si="82"/>
      </c>
      <c r="K387" s="425">
        <f t="shared" si="120"/>
      </c>
      <c r="L387" s="426">
        <f t="shared" si="180"/>
      </c>
      <c r="M387" s="427">
        <f t="shared" si="150"/>
      </c>
      <c r="N387" s="427">
        <f t="shared" si="210"/>
      </c>
      <c r="O387" s="427">
        <f t="shared" si="263"/>
      </c>
      <c r="P387" s="428">
        <f t="shared" si="316"/>
      </c>
      <c r="Q387" s="429" t="s">
        <v>777</v>
      </c>
      <c r="R387" s="430" t="s">
        <v>778</v>
      </c>
      <c r="S387" s="461">
        <v>14189</v>
      </c>
      <c r="T387" s="461">
        <v>1506</v>
      </c>
      <c r="U387" s="461">
        <v>2279</v>
      </c>
      <c r="V387" s="461">
        <v>227</v>
      </c>
      <c r="W387" s="461">
        <v>2</v>
      </c>
      <c r="X387" s="435">
        <v>0</v>
      </c>
      <c r="Y387" s="435">
        <v>54</v>
      </c>
      <c r="AA387" s="465">
        <f>SUM(AD382:AD384)</f>
      </c>
      <c r="AB387" s="465">
        <f>SUM(AE382:AE384)</f>
      </c>
      <c r="AC387" s="498">
        <f>AB387/((AK387*300)+AA387)</f>
      </c>
      <c r="AD387" s="482">
        <f>AA387/AJ387</f>
      </c>
      <c r="AE387" s="481">
        <f>AB387/AJ387</f>
      </c>
      <c r="AF387" s="483">
        <f>AJ387/AI387</f>
      </c>
      <c r="AG387" s="483">
        <f>AH387/AJ387</f>
      </c>
      <c r="AH387" s="484">
        <v>7</v>
      </c>
      <c r="AI387" s="484">
        <v>67</v>
      </c>
      <c r="AJ387" s="484">
        <f>AF382+AF383+AF384</f>
      </c>
      <c r="AK387" s="485">
        <f>SUM(AC382:AC384)</f>
      </c>
    </row>
    <row r="388">
      <c r="A388" s="420"/>
      <c r="B388" s="437" t="s">
        <v>774</v>
      </c>
      <c r="C388" s="437"/>
      <c r="D388" s="438">
        <f>SUM(D383:D387)</f>
      </c>
      <c r="E388" s="438">
        <f>SUM(E383:E387)</f>
      </c>
      <c r="F388" s="438">
        <f>SUM(F383:F387)</f>
      </c>
      <c r="G388" s="438">
        <f>SUM(G383:G387)</f>
      </c>
      <c r="H388" s="440">
        <f t="shared" si="369"/>
      </c>
      <c r="I388" s="441">
        <f t="shared" si="19"/>
      </c>
      <c r="J388" s="442">
        <f t="shared" si="82"/>
      </c>
      <c r="K388" s="443">
        <f t="shared" si="120"/>
      </c>
      <c r="L388" s="444">
        <f t="shared" si="180"/>
      </c>
      <c r="M388" s="443">
        <f t="shared" si="150"/>
      </c>
      <c r="N388" s="443">
        <f t="shared" si="210"/>
      </c>
      <c r="O388" s="445">
        <f t="shared" si="263"/>
      </c>
      <c r="P388" s="446">
        <f t="shared" si="316"/>
      </c>
      <c r="Q388" s="444"/>
      <c r="R388" s="444"/>
      <c r="S388" s="447">
        <f>SUM(S383:S387)</f>
      </c>
      <c r="T388" s="447">
        <f>SUM(T383:T387)</f>
      </c>
      <c r="U388" s="447">
        <f>SUM(U383:U387)</f>
      </c>
      <c r="V388" s="447">
        <f>SUM(V383:V387)</f>
      </c>
      <c r="W388" s="447">
        <f>SUM(W383:W387)</f>
      </c>
      <c r="X388" s="447">
        <f>SUM(X383:X387)</f>
      </c>
      <c r="Y388" s="447">
        <f>SUM(Y383:Y387)</f>
      </c>
    </row>
    <row r="389">
      <c r="A389" s="420"/>
      <c r="B389" s="421" t="s">
        <v>767</v>
      </c>
      <c r="C389" s="422" t="s">
        <v>780</v>
      </c>
      <c r="D389" s="459">
        <v>2351.18</v>
      </c>
      <c r="E389" s="423">
        <v>4</v>
      </c>
      <c r="F389" s="423">
        <v>3</v>
      </c>
      <c r="G389" s="460">
        <v>5162.1</v>
      </c>
      <c r="H389" s="424">
        <f t="shared" si="369"/>
      </c>
      <c r="I389" s="424">
        <f t="shared" si="19"/>
      </c>
      <c r="J389" s="424">
        <f t="shared" si="82"/>
      </c>
      <c r="K389" s="425">
        <f t="shared" si="120"/>
      </c>
      <c r="L389" s="426">
        <f t="shared" si="180"/>
      </c>
      <c r="M389" s="427">
        <f t="shared" si="150"/>
      </c>
      <c r="N389" s="427">
        <f t="shared" si="210"/>
      </c>
      <c r="O389" s="427">
        <f t="shared" si="263"/>
      </c>
      <c r="P389" s="428">
        <f t="shared" si="316"/>
      </c>
      <c r="Q389" s="429" t="s">
        <v>777</v>
      </c>
      <c r="R389" s="430" t="s">
        <v>778</v>
      </c>
      <c r="S389" s="461">
        <v>12736</v>
      </c>
      <c r="T389" s="461">
        <v>1533</v>
      </c>
      <c r="U389" s="461">
        <v>2381</v>
      </c>
      <c r="V389" s="461">
        <v>211</v>
      </c>
      <c r="W389" s="461">
        <v>4</v>
      </c>
      <c r="X389" s="461">
        <v>1</v>
      </c>
      <c r="Y389" s="461">
        <v>46</v>
      </c>
    </row>
    <row r="390">
      <c r="A390" s="420"/>
      <c r="B390" s="421" t="s">
        <v>767</v>
      </c>
      <c r="C390" s="422" t="s">
        <v>781</v>
      </c>
      <c r="D390" s="459">
        <v>2621.17</v>
      </c>
      <c r="E390" s="423">
        <v>2</v>
      </c>
      <c r="F390" s="423">
        <v>1</v>
      </c>
      <c r="G390" s="460">
        <v>1791.6</v>
      </c>
      <c r="H390" s="424">
        <f t="shared" si="369"/>
      </c>
      <c r="I390" s="424">
        <f t="shared" si="19"/>
      </c>
      <c r="J390" s="424">
        <f t="shared" si="82"/>
      </c>
      <c r="K390" s="425">
        <f t="shared" si="120"/>
      </c>
      <c r="L390" s="426">
        <f t="shared" si="180"/>
      </c>
      <c r="M390" s="427">
        <f t="shared" si="150"/>
      </c>
      <c r="N390" s="427">
        <f t="shared" si="210"/>
      </c>
      <c r="O390" s="427">
        <f t="shared" si="263"/>
      </c>
      <c r="P390" s="428">
        <f t="shared" si="316"/>
      </c>
      <c r="Q390" s="429" t="s">
        <v>777</v>
      </c>
      <c r="R390" s="430" t="s">
        <v>778</v>
      </c>
      <c r="S390" s="461">
        <v>13516</v>
      </c>
      <c r="T390" s="461">
        <v>1668</v>
      </c>
      <c r="U390" s="461">
        <v>2449</v>
      </c>
      <c r="V390" s="461">
        <v>195</v>
      </c>
      <c r="W390" s="461">
        <v>3</v>
      </c>
      <c r="X390" s="461">
        <v>1</v>
      </c>
      <c r="Y390" s="461">
        <v>48</v>
      </c>
    </row>
    <row r="391">
      <c r="A391" s="420"/>
      <c r="B391" s="421" t="s">
        <v>767</v>
      </c>
      <c r="C391" s="422" t="s">
        <v>783</v>
      </c>
      <c r="D391" s="459">
        <v>1418.94</v>
      </c>
      <c r="E391" s="423">
        <v>2</v>
      </c>
      <c r="F391" s="423">
        <v>1</v>
      </c>
      <c r="G391" s="460">
        <v>1791.6</v>
      </c>
      <c r="H391" s="424">
        <f t="shared" si="369"/>
      </c>
      <c r="I391" s="424">
        <f t="shared" si="19"/>
      </c>
      <c r="J391" s="424">
        <f t="shared" si="82"/>
      </c>
      <c r="K391" s="425">
        <f t="shared" si="120"/>
      </c>
      <c r="L391" s="426">
        <f t="shared" si="180"/>
      </c>
      <c r="M391" s="427">
        <f t="shared" si="150"/>
      </c>
      <c r="N391" s="427">
        <f t="shared" si="210"/>
      </c>
      <c r="O391" s="427">
        <f t="shared" si="263"/>
      </c>
      <c r="P391" s="428">
        <f t="shared" si="316"/>
      </c>
      <c r="Q391" s="429" t="s">
        <v>777</v>
      </c>
      <c r="R391" s="430" t="s">
        <v>778</v>
      </c>
      <c r="S391" s="461">
        <v>9209</v>
      </c>
      <c r="T391" s="461">
        <v>1136</v>
      </c>
      <c r="U391" s="461">
        <v>1639</v>
      </c>
      <c r="V391" s="461">
        <v>135</v>
      </c>
      <c r="W391" s="461">
        <v>3</v>
      </c>
      <c r="X391" s="461">
        <v>0</v>
      </c>
      <c r="Y391" s="461">
        <v>33</v>
      </c>
    </row>
    <row r="392">
      <c r="A392" s="420"/>
      <c r="B392" s="421" t="s">
        <v>767</v>
      </c>
      <c r="C392" s="451" t="s">
        <v>784</v>
      </c>
      <c r="D392" s="459">
        <v>1735.13</v>
      </c>
      <c r="E392" s="423">
        <v>2</v>
      </c>
      <c r="F392" s="423">
        <v>1</v>
      </c>
      <c r="G392" s="460">
        <v>3996</v>
      </c>
      <c r="H392" s="424">
        <f t="shared" si="369"/>
      </c>
      <c r="I392" s="424">
        <f t="shared" si="19"/>
      </c>
      <c r="J392" s="424">
        <f t="shared" si="82"/>
      </c>
      <c r="K392" s="425">
        <f t="shared" si="120"/>
      </c>
      <c r="L392" s="426">
        <f t="shared" si="180"/>
      </c>
      <c r="M392" s="427">
        <f t="shared" si="150"/>
      </c>
      <c r="N392" s="427">
        <f t="shared" si="210"/>
      </c>
      <c r="O392" s="427">
        <f t="shared" si="263"/>
      </c>
      <c r="P392" s="428">
        <f t="shared" si="316"/>
      </c>
      <c r="Q392" s="429" t="s">
        <v>777</v>
      </c>
      <c r="R392" s="430" t="s">
        <v>778</v>
      </c>
      <c r="S392" s="461">
        <v>9574</v>
      </c>
      <c r="T392" s="461">
        <v>1212</v>
      </c>
      <c r="U392" s="461">
        <v>1670</v>
      </c>
      <c r="V392" s="461">
        <v>122</v>
      </c>
      <c r="W392" s="461">
        <v>3</v>
      </c>
      <c r="X392" s="435">
        <v>1</v>
      </c>
      <c r="Y392" s="435">
        <v>26</v>
      </c>
    </row>
    <row r="393">
      <c r="A393" s="420"/>
      <c r="B393" s="421" t="s">
        <v>767</v>
      </c>
      <c r="C393" s="451" t="s">
        <v>785</v>
      </c>
      <c r="D393" s="459">
        <v>1944.39</v>
      </c>
      <c r="E393" s="423">
        <v>2</v>
      </c>
      <c r="F393" s="423">
        <v>0</v>
      </c>
      <c r="G393" s="460">
        <v>3596.4</v>
      </c>
      <c r="H393" s="424">
        <f t="shared" si="369"/>
      </c>
      <c r="I393" s="424">
        <f t="shared" si="19"/>
      </c>
      <c r="J393" s="424">
        <f t="shared" si="82"/>
      </c>
      <c r="K393" s="425">
        <f t="shared" si="120"/>
      </c>
      <c r="L393" s="426">
        <f t="shared" si="180"/>
      </c>
      <c r="M393" s="427">
        <f t="shared" si="150"/>
      </c>
      <c r="N393" s="427">
        <f t="shared" si="210"/>
      </c>
      <c r="O393" s="427">
        <f t="shared" si="263"/>
      </c>
      <c r="P393" s="428">
        <f t="shared" si="316"/>
      </c>
      <c r="Q393" s="429" t="s">
        <v>777</v>
      </c>
      <c r="R393" s="430" t="s">
        <v>778</v>
      </c>
      <c r="S393" s="461">
        <v>10814</v>
      </c>
      <c r="T393" s="461">
        <v>1438</v>
      </c>
      <c r="U393" s="461">
        <v>1998</v>
      </c>
      <c r="V393" s="461">
        <v>157</v>
      </c>
      <c r="W393" s="461">
        <v>3</v>
      </c>
      <c r="X393" s="435">
        <v>0</v>
      </c>
      <c r="Y393" s="435">
        <v>40</v>
      </c>
    </row>
    <row r="394">
      <c r="A394" s="420"/>
      <c r="B394" s="421" t="s">
        <v>767</v>
      </c>
      <c r="C394" s="451" t="s">
        <v>786</v>
      </c>
      <c r="D394" s="459">
        <v>1394.81</v>
      </c>
      <c r="E394" s="423">
        <v>4</v>
      </c>
      <c r="F394" s="423">
        <v>3</v>
      </c>
      <c r="G394" s="460">
        <v>2752.8</v>
      </c>
      <c r="H394" s="424">
        <f t="shared" si="369"/>
      </c>
      <c r="I394" s="424">
        <f t="shared" si="19"/>
      </c>
      <c r="J394" s="424">
        <f t="shared" si="82"/>
      </c>
      <c r="K394" s="425">
        <f t="shared" si="120"/>
      </c>
      <c r="L394" s="426">
        <f t="shared" si="180"/>
      </c>
      <c r="M394" s="427">
        <f t="shared" si="150"/>
      </c>
      <c r="N394" s="427">
        <f t="shared" si="210"/>
      </c>
      <c r="O394" s="427">
        <f t="shared" si="263"/>
      </c>
      <c r="P394" s="428">
        <f t="shared" si="316"/>
      </c>
      <c r="Q394" s="429" t="s">
        <v>777</v>
      </c>
      <c r="R394" s="430" t="s">
        <v>778</v>
      </c>
      <c r="S394" s="436">
        <v>7040</v>
      </c>
      <c r="T394" s="436">
        <v>843</v>
      </c>
      <c r="U394" s="436">
        <v>1284</v>
      </c>
      <c r="V394" s="436">
        <v>89</v>
      </c>
      <c r="W394" s="435">
        <v>4</v>
      </c>
      <c r="X394" s="435">
        <v>0</v>
      </c>
      <c r="Y394" s="448"/>
    </row>
    <row r="395">
      <c r="A395" s="420"/>
      <c r="B395" s="437" t="s">
        <v>774</v>
      </c>
      <c r="C395" s="437"/>
      <c r="D395" s="438">
        <f>SUM(D389:D394)</f>
      </c>
      <c r="E395" s="438">
        <f>SUM(E389:E394)</f>
      </c>
      <c r="F395" s="438">
        <f>SUM(F389:F394)</f>
      </c>
      <c r="G395" s="438">
        <f>SUM(G389:G394)</f>
      </c>
      <c r="H395" s="440">
        <f t="shared" si="369"/>
      </c>
      <c r="I395" s="441">
        <f t="shared" si="19"/>
      </c>
      <c r="J395" s="442">
        <f t="shared" si="82"/>
      </c>
      <c r="K395" s="443">
        <f t="shared" si="120"/>
      </c>
      <c r="L395" s="444">
        <f t="shared" si="180"/>
      </c>
      <c r="M395" s="443">
        <f t="shared" si="150"/>
      </c>
      <c r="N395" s="443">
        <f t="shared" si="210"/>
      </c>
      <c r="O395" s="445">
        <f t="shared" si="263"/>
      </c>
      <c r="P395" s="446">
        <f t="shared" si="316"/>
      </c>
      <c r="Q395" s="444"/>
      <c r="R395" s="444"/>
      <c r="S395" s="447">
        <f>SUM(S389:S394)</f>
      </c>
      <c r="T395" s="447">
        <f>SUM(T389:T394)</f>
      </c>
      <c r="U395" s="447">
        <f>SUM(U389:U394)</f>
      </c>
      <c r="V395" s="447">
        <f>SUM(V389:V394)</f>
      </c>
      <c r="W395" s="447">
        <f>SUM(W389:W394)</f>
      </c>
      <c r="X395" s="447">
        <f>SUM(X389:X394)</f>
      </c>
      <c r="Y395" s="447">
        <f>SUM(Y389:Y394)</f>
      </c>
    </row>
    <row r="396">
      <c r="A396" s="420"/>
      <c r="B396" s="452" t="s">
        <v>787</v>
      </c>
      <c r="C396" s="452"/>
      <c r="D396" s="466">
        <f>D382+D395+D388</f>
      </c>
      <c r="E396" s="466">
        <f>E382+E395+E388</f>
      </c>
      <c r="F396" s="466">
        <f>F382+F395+F388</f>
      </c>
      <c r="G396" s="466">
        <f>G382+G395+G388</f>
      </c>
      <c r="H396" s="452">
        <f t="shared" si="369"/>
      </c>
      <c r="I396" s="452">
        <f t="shared" si="19"/>
      </c>
      <c r="J396" s="452">
        <f t="shared" si="82"/>
      </c>
      <c r="K396" s="455">
        <f t="shared" si="120"/>
      </c>
      <c r="L396" s="452">
        <f t="shared" si="180"/>
      </c>
      <c r="M396" s="455">
        <f t="shared" si="150"/>
      </c>
      <c r="N396" s="455">
        <f t="shared" si="210"/>
      </c>
      <c r="O396" s="455">
        <f t="shared" si="263"/>
      </c>
      <c r="P396" s="452">
        <f t="shared" si="316"/>
      </c>
      <c r="Q396" s="456"/>
      <c r="R396" s="456"/>
      <c r="S396" s="454">
        <f>S382+S395+S388</f>
      </c>
      <c r="T396" s="454">
        <f>T382+T395+T388</f>
      </c>
      <c r="U396" s="454">
        <f>U382+U395+U388</f>
      </c>
      <c r="V396" s="454">
        <f>V382+V395+V388</f>
      </c>
      <c r="W396" s="454">
        <f>W382+W395+W388</f>
      </c>
      <c r="X396" s="454">
        <f>X382+X395+X388</f>
      </c>
      <c r="Y396" s="454">
        <f>Y382+Y395+Y388</f>
      </c>
    </row>
    <row r="397">
      <c r="A397" s="405" t="s">
        <v>738</v>
      </c>
      <c r="B397" s="405"/>
      <c r="C397" s="405"/>
      <c r="D397" s="406" t="s">
        <v>739</v>
      </c>
      <c r="E397" s="406"/>
      <c r="F397" s="406"/>
      <c r="G397" s="406"/>
      <c r="H397" s="406"/>
      <c r="I397" s="406"/>
      <c r="J397" s="406"/>
      <c r="K397" s="407" t="s">
        <v>740</v>
      </c>
      <c r="L397" s="407"/>
      <c r="M397" s="407"/>
      <c r="N397" s="407"/>
      <c r="O397" s="407"/>
      <c r="P397" s="407"/>
      <c r="Q397" s="407"/>
      <c r="R397" s="407"/>
      <c r="S397" s="408" t="s">
        <v>741</v>
      </c>
      <c r="T397" s="408"/>
      <c r="U397" s="408"/>
      <c r="V397" s="408"/>
      <c r="W397" s="408"/>
      <c r="X397" s="408"/>
      <c r="Y397" s="408"/>
    </row>
    <row r="398">
      <c r="A398" s="409" t="s">
        <v>742</v>
      </c>
      <c r="B398" s="409" t="s">
        <v>743</v>
      </c>
      <c r="C398" s="409" t="s">
        <v>744</v>
      </c>
      <c r="D398" s="410" t="s">
        <v>745</v>
      </c>
      <c r="E398" s="411" t="s">
        <v>746</v>
      </c>
      <c r="F398" s="463" t="s">
        <v>792</v>
      </c>
      <c r="G398" s="410" t="s">
        <v>747</v>
      </c>
      <c r="H398" s="412" t="s">
        <v>748</v>
      </c>
      <c r="I398" s="413" t="s">
        <v>749</v>
      </c>
      <c r="J398" s="410" t="s">
        <v>750</v>
      </c>
      <c r="K398" s="414" t="s">
        <v>751</v>
      </c>
      <c r="L398" s="415" t="s">
        <v>752</v>
      </c>
      <c r="M398" s="414" t="s">
        <v>753</v>
      </c>
      <c r="N398" s="414" t="s">
        <v>754</v>
      </c>
      <c r="O398" s="416" t="s">
        <v>755</v>
      </c>
      <c r="P398" s="416" t="s">
        <v>756</v>
      </c>
      <c r="Q398" s="417" t="s">
        <v>757</v>
      </c>
      <c r="R398" s="417" t="s">
        <v>758</v>
      </c>
      <c r="S398" s="431" t="s">
        <v>759</v>
      </c>
      <c r="T398" s="431" t="s">
        <v>760</v>
      </c>
      <c r="U398" s="431" t="s">
        <v>761</v>
      </c>
      <c r="V398" s="431" t="s">
        <v>762</v>
      </c>
      <c r="W398" s="431" t="s">
        <v>763</v>
      </c>
      <c r="X398" s="431" t="s">
        <v>764</v>
      </c>
      <c r="Y398" s="419" t="s">
        <v>765</v>
      </c>
    </row>
    <row r="399">
      <c r="A399" s="420" t="s">
        <v>854</v>
      </c>
      <c r="B399" s="421" t="s">
        <v>782</v>
      </c>
      <c r="C399" s="451" t="s">
        <v>794</v>
      </c>
      <c r="D399" s="421">
        <v>3238.59</v>
      </c>
      <c r="E399" s="423">
        <v>1</v>
      </c>
      <c r="F399" s="423">
        <v>1</v>
      </c>
      <c r="G399" s="467">
        <v>652.8</v>
      </c>
      <c r="H399" s="424">
        <f t="shared" ref="H399:H418" si="370">G399/D399</f>
      </c>
      <c r="I399" s="424">
        <f>D399/E399</f>
      </c>
      <c r="J399" s="424">
        <f>G399/E399</f>
      </c>
      <c r="K399" s="425">
        <f t="shared" ref="K399:K418" si="121">T399/S399</f>
      </c>
      <c r="L399" s="426">
        <f t="shared" ref="L399:L418" si="181">D399/U399</f>
      </c>
      <c r="M399" s="427">
        <f t="shared" ref="M399:M418" si="151">V399/U399</f>
      </c>
      <c r="N399" s="427">
        <f t="shared" ref="N399:N418" si="211">E399/W399</f>
      </c>
      <c r="O399" s="427">
        <f t="shared" ref="O399:O418" si="264">X399/E399</f>
      </c>
      <c r="P399" s="428">
        <f t="shared" ref="P399:P418" si="317">(Y399*1000)/D399</f>
      </c>
      <c r="Q399" s="429" t="s">
        <v>769</v>
      </c>
      <c r="R399" s="430" t="s">
        <v>800</v>
      </c>
      <c r="S399" s="461">
        <v>10233</v>
      </c>
      <c r="T399" s="461">
        <v>1405</v>
      </c>
      <c r="U399" s="461">
        <v>2059</v>
      </c>
      <c r="V399" s="461">
        <v>334</v>
      </c>
      <c r="W399" s="461">
        <v>4</v>
      </c>
      <c r="X399" s="461">
        <v>0</v>
      </c>
      <c r="Y399" s="461">
        <v>94</v>
      </c>
    </row>
    <row r="400">
      <c r="A400" s="420"/>
      <c r="B400" s="421" t="s">
        <v>782</v>
      </c>
      <c r="C400" s="421" t="s">
        <v>796</v>
      </c>
      <c r="D400" s="421">
        <v>3253.11</v>
      </c>
      <c r="E400" s="423">
        <v>7</v>
      </c>
      <c r="F400" s="423">
        <v>3</v>
      </c>
      <c r="G400" s="467">
        <v>7842</v>
      </c>
      <c r="H400" s="424">
        <f t="shared" si="370"/>
      </c>
      <c r="I400" s="424">
        <v>2161</v>
      </c>
      <c r="J400" s="424">
        <v>234</v>
      </c>
      <c r="K400" s="425">
        <f t="shared" si="121"/>
      </c>
      <c r="L400" s="426">
        <f t="shared" si="181"/>
      </c>
      <c r="M400" s="427">
        <f t="shared" si="151"/>
      </c>
      <c r="N400" s="427">
        <f t="shared" si="211"/>
      </c>
      <c r="O400" s="427">
        <f t="shared" si="264"/>
      </c>
      <c r="P400" s="428">
        <f t="shared" si="317"/>
      </c>
      <c r="Q400" s="429" t="s">
        <v>769</v>
      </c>
      <c r="R400" s="430" t="s">
        <v>800</v>
      </c>
      <c r="S400" s="461">
        <v>9920</v>
      </c>
      <c r="T400" s="461">
        <v>1209</v>
      </c>
      <c r="U400" s="461">
        <v>1673</v>
      </c>
      <c r="V400" s="461">
        <v>214</v>
      </c>
      <c r="W400" s="461">
        <v>7</v>
      </c>
      <c r="X400" s="461">
        <v>3</v>
      </c>
      <c r="Y400" s="461">
        <v>61</v>
      </c>
    </row>
    <row r="401">
      <c r="A401" s="420"/>
      <c r="B401" s="421" t="s">
        <v>782</v>
      </c>
      <c r="C401" s="421" t="s">
        <v>797</v>
      </c>
      <c r="D401" s="421">
        <v>3792.41</v>
      </c>
      <c r="E401" s="423">
        <v>4</v>
      </c>
      <c r="F401" s="423">
        <v>3</v>
      </c>
      <c r="G401" s="467">
        <v>5446.8</v>
      </c>
      <c r="H401" s="424">
        <f t="shared" si="370"/>
      </c>
      <c r="I401" s="424">
        <f t="shared" ref="I401:I418" si="20">D401/E401</f>
      </c>
      <c r="J401" s="424">
        <f t="shared" ref="J401:J418" si="83">G401/E401</f>
      </c>
      <c r="K401" s="425">
        <f t="shared" si="121"/>
      </c>
      <c r="L401" s="426">
        <f t="shared" si="181"/>
      </c>
      <c r="M401" s="427">
        <f t="shared" si="151"/>
      </c>
      <c r="N401" s="427">
        <f t="shared" si="211"/>
      </c>
      <c r="O401" s="427">
        <f t="shared" si="264"/>
      </c>
      <c r="P401" s="428">
        <f t="shared" si="317"/>
      </c>
      <c r="Q401" s="429" t="s">
        <v>769</v>
      </c>
      <c r="R401" s="430" t="s">
        <v>800</v>
      </c>
      <c r="S401" s="461">
        <v>11256</v>
      </c>
      <c r="T401" s="461">
        <v>1028</v>
      </c>
      <c r="U401" s="461">
        <v>1481</v>
      </c>
      <c r="V401" s="461">
        <v>205</v>
      </c>
      <c r="W401" s="461">
        <v>6</v>
      </c>
      <c r="X401" s="461">
        <v>0</v>
      </c>
      <c r="Y401" s="461">
        <v>62</v>
      </c>
      <c r="AA401" s="487" t="s">
        <v>855</v>
      </c>
      <c r="AB401" s="487"/>
      <c r="AC401" s="487"/>
      <c r="AD401" s="487"/>
      <c r="AE401" s="487"/>
      <c r="AF401" s="487"/>
      <c r="AG401" s="487"/>
      <c r="AH401" s="487"/>
      <c r="AI401" s="487"/>
      <c r="AJ401" s="487"/>
      <c r="AK401" s="487"/>
    </row>
    <row r="402">
      <c r="A402" s="420"/>
      <c r="B402" s="421" t="s">
        <v>782</v>
      </c>
      <c r="C402" s="421" t="s">
        <v>798</v>
      </c>
      <c r="D402" s="421">
        <v>3308.34</v>
      </c>
      <c r="E402" s="423">
        <v>2</v>
      </c>
      <c r="F402" s="423">
        <v>2</v>
      </c>
      <c r="G402" s="462">
        <v>1750.8</v>
      </c>
      <c r="H402" s="424">
        <f t="shared" si="370"/>
      </c>
      <c r="I402" s="424">
        <f t="shared" si="20"/>
      </c>
      <c r="J402" s="424">
        <f t="shared" si="83"/>
      </c>
      <c r="K402" s="425">
        <f t="shared" si="121"/>
      </c>
      <c r="L402" s="426">
        <f t="shared" si="181"/>
      </c>
      <c r="M402" s="427">
        <f t="shared" si="151"/>
      </c>
      <c r="N402" s="427">
        <f t="shared" si="211"/>
      </c>
      <c r="O402" s="427">
        <f t="shared" si="264"/>
      </c>
      <c r="P402" s="428">
        <f t="shared" si="317"/>
      </c>
      <c r="Q402" s="429" t="s">
        <v>769</v>
      </c>
      <c r="R402" s="430" t="s">
        <v>800</v>
      </c>
      <c r="S402" s="461">
        <v>9430</v>
      </c>
      <c r="T402" s="461">
        <v>1078</v>
      </c>
      <c r="U402" s="461">
        <v>1540</v>
      </c>
      <c r="V402" s="461">
        <v>193</v>
      </c>
      <c r="W402" s="461">
        <v>4</v>
      </c>
      <c r="X402" s="435">
        <v>0</v>
      </c>
      <c r="Y402" s="435">
        <v>55</v>
      </c>
      <c r="AA402" s="489" t="s">
        <v>806</v>
      </c>
      <c r="AB402" s="489" t="s">
        <v>807</v>
      </c>
      <c r="AC402" s="489" t="s">
        <v>808</v>
      </c>
      <c r="AD402" s="489" t="s">
        <v>809</v>
      </c>
      <c r="AE402" s="489" t="s">
        <v>810</v>
      </c>
      <c r="AF402" s="489" t="s">
        <v>811</v>
      </c>
      <c r="AG402" s="489" t="s">
        <v>750</v>
      </c>
      <c r="AH402" s="489" t="s">
        <v>812</v>
      </c>
      <c r="AI402" s="489" t="s">
        <v>748</v>
      </c>
      <c r="AJ402" s="489" t="s">
        <v>813</v>
      </c>
      <c r="AK402" s="489"/>
    </row>
    <row r="403">
      <c r="A403" s="420"/>
      <c r="B403" s="421" t="s">
        <v>782</v>
      </c>
      <c r="C403" s="422" t="s">
        <v>768</v>
      </c>
      <c r="D403" s="421">
        <v>2979.77</v>
      </c>
      <c r="E403" s="423">
        <v>6</v>
      </c>
      <c r="F403" s="423">
        <v>3</v>
      </c>
      <c r="G403" s="462">
        <v>3967.6</v>
      </c>
      <c r="H403" s="424">
        <f t="shared" si="370"/>
      </c>
      <c r="I403" s="424">
        <f t="shared" si="20"/>
      </c>
      <c r="J403" s="424">
        <f t="shared" si="83"/>
      </c>
      <c r="K403" s="425">
        <f t="shared" si="121"/>
      </c>
      <c r="L403" s="426">
        <f t="shared" si="181"/>
      </c>
      <c r="M403" s="427">
        <f t="shared" si="151"/>
      </c>
      <c r="N403" s="427">
        <f t="shared" si="211"/>
      </c>
      <c r="O403" s="427">
        <f t="shared" si="264"/>
      </c>
      <c r="P403" s="428">
        <f t="shared" si="317"/>
      </c>
      <c r="Q403" s="429" t="s">
        <v>769</v>
      </c>
      <c r="R403" s="430" t="s">
        <v>800</v>
      </c>
      <c r="S403" s="461">
        <v>8039</v>
      </c>
      <c r="T403" s="461">
        <v>988</v>
      </c>
      <c r="U403" s="461">
        <v>1376</v>
      </c>
      <c r="V403" s="461">
        <v>132</v>
      </c>
      <c r="W403" s="461">
        <v>7</v>
      </c>
      <c r="X403" s="435">
        <v>2</v>
      </c>
      <c r="Y403" s="435">
        <v>38</v>
      </c>
      <c r="AA403" s="490" t="s">
        <v>782</v>
      </c>
      <c r="AB403" s="496" t="s">
        <v>845</v>
      </c>
      <c r="AC403" s="490">
        <v>5</v>
      </c>
      <c r="AD403" s="490">
        <v>16572.22</v>
      </c>
      <c r="AE403" s="490">
        <v>19660</v>
      </c>
      <c r="AF403" s="490">
        <v>20</v>
      </c>
      <c r="AG403" s="493">
        <f t="shared" ref="AG403:AG405" si="234">AE403/AF403</f>
      </c>
      <c r="AH403" s="493">
        <f t="shared" ref="AH403:AH405" si="287">AD403/AF403</f>
      </c>
      <c r="AI403" s="493">
        <f t="shared" ref="AI403:AI405" si="340">AE403/AD403</f>
      </c>
      <c r="AJ403" s="492">
        <f>AD403/AC403</f>
      </c>
      <c r="AK403" s="492"/>
    </row>
    <row r="404">
      <c r="A404" s="420"/>
      <c r="B404" s="437" t="s">
        <v>774</v>
      </c>
      <c r="C404" s="437"/>
      <c r="D404" s="438">
        <f>SUM(D399:D403)</f>
      </c>
      <c r="E404" s="438">
        <f>SUM(E399:E403)</f>
      </c>
      <c r="F404" s="438">
        <f>SUM(F399:F403)</f>
      </c>
      <c r="G404" s="438">
        <f>SUM(G399:G403)</f>
      </c>
      <c r="H404" s="440">
        <f t="shared" si="370"/>
      </c>
      <c r="I404" s="441">
        <f t="shared" si="20"/>
      </c>
      <c r="J404" s="442">
        <f t="shared" si="83"/>
      </c>
      <c r="K404" s="443">
        <f t="shared" si="121"/>
      </c>
      <c r="L404" s="444">
        <f t="shared" si="181"/>
      </c>
      <c r="M404" s="443">
        <f t="shared" si="151"/>
      </c>
      <c r="N404" s="443">
        <f t="shared" si="211"/>
      </c>
      <c r="O404" s="445">
        <f t="shared" si="264"/>
      </c>
      <c r="P404" s="446">
        <f t="shared" si="317"/>
      </c>
      <c r="Q404" s="444"/>
      <c r="R404" s="444"/>
      <c r="S404" s="447">
        <f>SUM(S399:S403)</f>
      </c>
      <c r="T404" s="447">
        <f>SUM(T399:T403)</f>
      </c>
      <c r="U404" s="447">
        <f>SUM(U399:U403)</f>
      </c>
      <c r="V404" s="447">
        <f>SUM(V399:V403)</f>
      </c>
      <c r="W404" s="447">
        <f>SUM(W399:W403)</f>
      </c>
      <c r="X404" s="447">
        <f>SUM(X399:X403)</f>
      </c>
      <c r="Y404" s="447">
        <f>SUM(Y399:Y403)</f>
      </c>
      <c r="AA404" s="490" t="s">
        <v>767</v>
      </c>
      <c r="AB404" s="496" t="s">
        <v>846</v>
      </c>
      <c r="AC404" s="490">
        <v>5</v>
      </c>
      <c r="AD404" s="490">
        <v>9782.36</v>
      </c>
      <c r="AE404" s="490">
        <v>14766</v>
      </c>
      <c r="AF404" s="490">
        <v>11</v>
      </c>
      <c r="AG404" s="493">
        <f t="shared" si="234"/>
      </c>
      <c r="AH404" s="493">
        <f t="shared" si="287"/>
      </c>
      <c r="AI404" s="493">
        <f t="shared" si="340"/>
      </c>
      <c r="AJ404" s="492">
        <f t="shared" ref="AJ404:AJ405" si="51">AD404/4</f>
      </c>
      <c r="AK404" s="492"/>
    </row>
    <row r="405">
      <c r="A405" s="420"/>
      <c r="B405" s="421" t="s">
        <v>767</v>
      </c>
      <c r="C405" s="433" t="s">
        <v>771</v>
      </c>
      <c r="D405" s="459">
        <v>2933.24</v>
      </c>
      <c r="E405" s="423">
        <v>6</v>
      </c>
      <c r="F405" s="423">
        <v>3</v>
      </c>
      <c r="G405" s="460">
        <v>7635.6</v>
      </c>
      <c r="H405" s="424">
        <f t="shared" si="370"/>
      </c>
      <c r="I405" s="424">
        <f t="shared" si="20"/>
      </c>
      <c r="J405" s="424">
        <f t="shared" si="83"/>
      </c>
      <c r="K405" s="425">
        <f t="shared" si="121"/>
      </c>
      <c r="L405" s="426">
        <f t="shared" si="181"/>
      </c>
      <c r="M405" s="427">
        <f t="shared" si="151"/>
      </c>
      <c r="N405" s="427">
        <f t="shared" si="211"/>
      </c>
      <c r="O405" s="427">
        <f t="shared" si="264"/>
      </c>
      <c r="P405" s="428">
        <f t="shared" si="317"/>
      </c>
      <c r="Q405" s="429" t="s">
        <v>777</v>
      </c>
      <c r="R405" s="430" t="s">
        <v>800</v>
      </c>
      <c r="S405" s="436">
        <v>10186</v>
      </c>
      <c r="T405" s="436">
        <v>1340</v>
      </c>
      <c r="U405" s="436">
        <v>1846</v>
      </c>
      <c r="V405" s="436">
        <v>185</v>
      </c>
      <c r="W405" s="435">
        <v>7</v>
      </c>
      <c r="X405" s="435">
        <v>1</v>
      </c>
      <c r="Y405" s="448">
        <v>49</v>
      </c>
      <c r="Z405" s="486"/>
      <c r="AA405" s="490" t="s">
        <v>775</v>
      </c>
      <c r="AB405" s="496" t="s">
        <v>847</v>
      </c>
      <c r="AC405" s="490">
        <v>6</v>
      </c>
      <c r="AD405" s="490">
        <v>8580.84</v>
      </c>
      <c r="AE405" s="490">
        <v>8209.2</v>
      </c>
      <c r="AF405" s="490">
        <v>7</v>
      </c>
      <c r="AG405" s="493">
        <f t="shared" si="234"/>
      </c>
      <c r="AH405" s="493">
        <f t="shared" si="287"/>
      </c>
      <c r="AI405" s="493">
        <f t="shared" si="340"/>
      </c>
      <c r="AJ405" s="492">
        <f t="shared" si="51"/>
      </c>
      <c r="AK405" s="492"/>
    </row>
    <row r="406">
      <c r="A406" s="420"/>
      <c r="B406" s="421" t="s">
        <v>767</v>
      </c>
      <c r="C406" s="433" t="s">
        <v>772</v>
      </c>
      <c r="D406" s="459">
        <v>2762.91</v>
      </c>
      <c r="E406" s="423">
        <v>1</v>
      </c>
      <c r="F406" s="423">
        <v>2</v>
      </c>
      <c r="G406" s="460">
        <v>2943.6</v>
      </c>
      <c r="H406" s="424">
        <f t="shared" si="370"/>
      </c>
      <c r="I406" s="424">
        <f t="shared" si="20"/>
      </c>
      <c r="J406" s="424">
        <f t="shared" si="83"/>
      </c>
      <c r="K406" s="425">
        <f t="shared" si="121"/>
      </c>
      <c r="L406" s="426">
        <f t="shared" si="181"/>
      </c>
      <c r="M406" s="427">
        <f t="shared" si="151"/>
      </c>
      <c r="N406" s="427">
        <f t="shared" si="211"/>
      </c>
      <c r="O406" s="427">
        <f t="shared" si="264"/>
      </c>
      <c r="P406" s="428">
        <f t="shared" si="317"/>
      </c>
      <c r="Q406" s="429" t="s">
        <v>777</v>
      </c>
      <c r="R406" s="430" t="s">
        <v>800</v>
      </c>
      <c r="S406" s="436">
        <v>8426</v>
      </c>
      <c r="T406" s="436">
        <v>1160</v>
      </c>
      <c r="U406" s="436">
        <v>1740</v>
      </c>
      <c r="V406" s="436">
        <v>212</v>
      </c>
      <c r="W406" s="435">
        <v>1</v>
      </c>
      <c r="X406" s="435">
        <v>0</v>
      </c>
      <c r="Y406" s="448">
        <v>44</v>
      </c>
      <c r="Z406" s="486"/>
      <c r="AA406" s="495" t="s">
        <v>819</v>
      </c>
      <c r="AB406" s="495"/>
      <c r="AC406" s="495"/>
      <c r="AD406" s="495"/>
      <c r="AE406" s="495"/>
      <c r="AF406" s="495"/>
      <c r="AG406" s="495"/>
      <c r="AH406" s="495"/>
      <c r="AI406" s="495"/>
      <c r="AJ406" s="495"/>
      <c r="AK406" s="495"/>
    </row>
    <row r="407">
      <c r="A407" s="420"/>
      <c r="B407" s="421" t="s">
        <v>767</v>
      </c>
      <c r="C407" s="433" t="s">
        <v>773</v>
      </c>
      <c r="D407" s="459">
        <v>1610.79</v>
      </c>
      <c r="E407" s="423">
        <v>2</v>
      </c>
      <c r="F407" s="423">
        <v>0</v>
      </c>
      <c r="G407" s="460">
        <v>2336.4</v>
      </c>
      <c r="H407" s="424">
        <f t="shared" si="370"/>
      </c>
      <c r="I407" s="424">
        <f t="shared" si="20"/>
      </c>
      <c r="J407" s="424">
        <f t="shared" si="83"/>
      </c>
      <c r="K407" s="425">
        <f t="shared" si="121"/>
      </c>
      <c r="L407" s="426">
        <f t="shared" si="181"/>
      </c>
      <c r="M407" s="427">
        <f t="shared" si="151"/>
      </c>
      <c r="N407" s="427">
        <f t="shared" si="211"/>
      </c>
      <c r="O407" s="427">
        <f t="shared" si="264"/>
      </c>
      <c r="P407" s="428">
        <f t="shared" si="317"/>
      </c>
      <c r="Q407" s="429" t="s">
        <v>777</v>
      </c>
      <c r="R407" s="430" t="s">
        <v>800</v>
      </c>
      <c r="S407" s="436">
        <v>4801</v>
      </c>
      <c r="T407" s="436">
        <v>645</v>
      </c>
      <c r="U407" s="436">
        <v>949</v>
      </c>
      <c r="V407" s="436">
        <v>140</v>
      </c>
      <c r="W407" s="435">
        <v>3</v>
      </c>
      <c r="X407" s="435">
        <v>0</v>
      </c>
      <c r="Y407" s="448">
        <v>32</v>
      </c>
      <c r="Z407" s="486"/>
      <c r="AA407" s="478" t="s">
        <v>809</v>
      </c>
      <c r="AB407" s="478" t="s">
        <v>820</v>
      </c>
      <c r="AC407" s="479" t="s">
        <v>821</v>
      </c>
      <c r="AD407" s="478" t="s">
        <v>822</v>
      </c>
      <c r="AE407" s="478" t="s">
        <v>823</v>
      </c>
      <c r="AF407" s="478" t="s">
        <v>824</v>
      </c>
      <c r="AG407" s="478" t="s">
        <v>825</v>
      </c>
      <c r="AH407" s="480" t="s">
        <v>764</v>
      </c>
      <c r="AI407" s="480" t="s">
        <v>826</v>
      </c>
      <c r="AJ407" s="480" t="s">
        <v>827</v>
      </c>
      <c r="AK407" s="480" t="s">
        <v>808</v>
      </c>
    </row>
    <row r="408">
      <c r="A408" s="420"/>
      <c r="B408" s="421" t="s">
        <v>767</v>
      </c>
      <c r="C408" s="433" t="s">
        <v>776</v>
      </c>
      <c r="D408" s="459">
        <v>1371.66</v>
      </c>
      <c r="E408" s="423">
        <v>0</v>
      </c>
      <c r="F408" s="423">
        <v>0</v>
      </c>
      <c r="G408" s="460">
        <v>0</v>
      </c>
      <c r="H408" s="424">
        <f t="shared" si="370"/>
      </c>
      <c r="I408" s="424">
        <f t="shared" si="20"/>
      </c>
      <c r="J408" s="424">
        <f t="shared" si="83"/>
      </c>
      <c r="K408" s="425">
        <f t="shared" si="121"/>
      </c>
      <c r="L408" s="426">
        <f t="shared" si="181"/>
      </c>
      <c r="M408" s="427">
        <f t="shared" si="151"/>
      </c>
      <c r="N408" s="427">
        <f t="shared" si="211"/>
      </c>
      <c r="O408" s="427">
        <f t="shared" si="264"/>
      </c>
      <c r="P408" s="428">
        <f t="shared" si="317"/>
      </c>
      <c r="Q408" s="429" t="s">
        <v>777</v>
      </c>
      <c r="R408" s="430" t="s">
        <v>778</v>
      </c>
      <c r="S408" s="436">
        <v>4607</v>
      </c>
      <c r="T408" s="436">
        <v>527</v>
      </c>
      <c r="U408" s="436">
        <v>785</v>
      </c>
      <c r="V408" s="436">
        <v>87</v>
      </c>
      <c r="W408" s="435">
        <v>0</v>
      </c>
      <c r="X408" s="435">
        <v>0</v>
      </c>
      <c r="Y408" s="448">
        <v>26</v>
      </c>
      <c r="Z408" s="486"/>
      <c r="AA408" s="465">
        <f>SUM(AD403:AD405)</f>
      </c>
      <c r="AB408" s="465">
        <f>SUM(AE403:AE405)</f>
      </c>
      <c r="AC408" s="481">
        <f>AB408/((AK408*300)+AA408)</f>
      </c>
      <c r="AD408" s="482">
        <f>AA408/AJ408</f>
      </c>
      <c r="AE408" s="481">
        <f>AB408/AJ408</f>
      </c>
      <c r="AF408" s="483">
        <f>AJ408/AI408</f>
      </c>
      <c r="AG408" s="483">
        <f>AH408/AJ408</f>
      </c>
      <c r="AH408" s="484">
        <v>6</v>
      </c>
      <c r="AI408" s="484">
        <v>55</v>
      </c>
      <c r="AJ408" s="485">
        <f>SUM(AF403:AF405)</f>
      </c>
      <c r="AK408" s="485">
        <f>SUM(AC403:AC405)</f>
      </c>
    </row>
    <row customHeight="true" ht="19.009462759458984" r="409">
      <c r="A409" s="420"/>
      <c r="B409" s="421" t="s">
        <v>767</v>
      </c>
      <c r="C409" s="422" t="s">
        <v>779</v>
      </c>
      <c r="D409" s="459">
        <v>1103.76</v>
      </c>
      <c r="E409" s="423">
        <v>2</v>
      </c>
      <c r="F409" s="423">
        <v>0</v>
      </c>
      <c r="G409" s="460">
        <v>1850.4</v>
      </c>
      <c r="H409" s="424">
        <f t="shared" si="370"/>
      </c>
      <c r="I409" s="424">
        <f t="shared" si="20"/>
      </c>
      <c r="J409" s="424">
        <f t="shared" si="83"/>
      </c>
      <c r="K409" s="425">
        <f t="shared" si="121"/>
      </c>
      <c r="L409" s="426">
        <f t="shared" si="181"/>
      </c>
      <c r="M409" s="427">
        <f t="shared" si="151"/>
      </c>
      <c r="N409" s="427">
        <f t="shared" si="211"/>
      </c>
      <c r="O409" s="427">
        <f t="shared" si="264"/>
      </c>
      <c r="P409" s="428">
        <f t="shared" si="317"/>
      </c>
      <c r="Q409" s="429" t="s">
        <v>777</v>
      </c>
      <c r="R409" s="430" t="s">
        <v>778</v>
      </c>
      <c r="S409" s="436">
        <v>4211</v>
      </c>
      <c r="T409" s="436">
        <v>448</v>
      </c>
      <c r="U409" s="436">
        <v>620</v>
      </c>
      <c r="V409" s="436">
        <v>69</v>
      </c>
      <c r="W409" s="435">
        <v>2</v>
      </c>
      <c r="X409" s="435">
        <v>0</v>
      </c>
      <c r="Y409" s="448">
        <v>18</v>
      </c>
      <c r="Z409" s="486"/>
    </row>
    <row r="410">
      <c r="A410" s="420"/>
      <c r="B410" s="437" t="s">
        <v>774</v>
      </c>
      <c r="C410" s="437"/>
      <c r="D410" s="438">
        <f>SUM(D405:D409)</f>
      </c>
      <c r="E410" s="438">
        <f>SUM(E405:E409)</f>
      </c>
      <c r="F410" s="438">
        <f>SUM(F405:F409)</f>
      </c>
      <c r="G410" s="438">
        <f>SUM(G405:G409)</f>
      </c>
      <c r="H410" s="440">
        <f t="shared" si="370"/>
      </c>
      <c r="I410" s="441">
        <f t="shared" si="20"/>
      </c>
      <c r="J410" s="442">
        <f t="shared" si="83"/>
      </c>
      <c r="K410" s="443">
        <f t="shared" si="121"/>
      </c>
      <c r="L410" s="444">
        <f t="shared" si="181"/>
      </c>
      <c r="M410" s="443">
        <f t="shared" si="151"/>
      </c>
      <c r="N410" s="443">
        <f t="shared" si="211"/>
      </c>
      <c r="O410" s="445">
        <f t="shared" si="264"/>
      </c>
      <c r="P410" s="446">
        <f t="shared" si="317"/>
      </c>
      <c r="Q410" s="444"/>
      <c r="R410" s="444"/>
      <c r="S410" s="447">
        <f>SUM(S405:S409)</f>
      </c>
      <c r="T410" s="447">
        <f>SUM(T405:T409)</f>
      </c>
      <c r="U410" s="447">
        <f>SUM(U405:U409)</f>
      </c>
      <c r="V410" s="447">
        <f>SUM(V405:V409)</f>
      </c>
      <c r="W410" s="447">
        <f>SUM(W405:W409)</f>
      </c>
      <c r="X410" s="447">
        <f>SUM(X405:X409)</f>
      </c>
      <c r="Y410" s="447">
        <f>SUM(Y405:Y409)</f>
      </c>
      <c r="Z410" s="486"/>
    </row>
    <row r="411">
      <c r="A411" s="420"/>
      <c r="B411" s="421" t="s">
        <v>775</v>
      </c>
      <c r="C411" s="422" t="s">
        <v>780</v>
      </c>
      <c r="D411" s="459">
        <v>1105.67</v>
      </c>
      <c r="E411" s="423">
        <v>0</v>
      </c>
      <c r="F411" s="423">
        <v>0</v>
      </c>
      <c r="G411" s="460">
        <v>0</v>
      </c>
      <c r="H411" s="424">
        <f t="shared" si="370"/>
      </c>
      <c r="I411" s="424">
        <f t="shared" si="20"/>
      </c>
      <c r="J411" s="424">
        <f t="shared" si="83"/>
      </c>
      <c r="K411" s="425">
        <f t="shared" si="121"/>
      </c>
      <c r="L411" s="426">
        <f t="shared" si="181"/>
      </c>
      <c r="M411" s="427">
        <f t="shared" si="151"/>
      </c>
      <c r="N411" s="427">
        <f t="shared" si="211"/>
      </c>
      <c r="O411" s="427">
        <f t="shared" si="264"/>
      </c>
      <c r="P411" s="428">
        <f t="shared" si="317"/>
      </c>
      <c r="Q411" s="429" t="s">
        <v>777</v>
      </c>
      <c r="R411" s="430" t="s">
        <v>778</v>
      </c>
      <c r="S411" s="435">
        <v>5375</v>
      </c>
      <c r="T411" s="435">
        <v>473</v>
      </c>
      <c r="U411" s="436">
        <v>621</v>
      </c>
      <c r="V411" s="436">
        <v>47</v>
      </c>
      <c r="W411" s="435">
        <v>1</v>
      </c>
      <c r="X411" s="435">
        <v>0</v>
      </c>
      <c r="Y411" s="448">
        <v>28</v>
      </c>
      <c r="Z411" s="486"/>
    </row>
    <row r="412">
      <c r="A412" s="420"/>
      <c r="B412" s="421" t="s">
        <v>775</v>
      </c>
      <c r="C412" s="422" t="s">
        <v>781</v>
      </c>
      <c r="D412" s="459">
        <v>1400.01</v>
      </c>
      <c r="E412" s="423">
        <v>1</v>
      </c>
      <c r="F412" s="423">
        <v>1</v>
      </c>
      <c r="G412" s="460">
        <v>1098</v>
      </c>
      <c r="H412" s="424">
        <f t="shared" si="370"/>
      </c>
      <c r="I412" s="424">
        <f t="shared" si="20"/>
      </c>
      <c r="J412" s="424">
        <f t="shared" si="83"/>
      </c>
      <c r="K412" s="425">
        <f t="shared" si="121"/>
      </c>
      <c r="L412" s="426">
        <f t="shared" si="181"/>
      </c>
      <c r="M412" s="427">
        <f t="shared" si="151"/>
      </c>
      <c r="N412" s="427">
        <f t="shared" si="211"/>
      </c>
      <c r="O412" s="427">
        <f t="shared" si="264"/>
      </c>
      <c r="P412" s="428">
        <f t="shared" si="317"/>
      </c>
      <c r="Q412" s="429" t="s">
        <v>777</v>
      </c>
      <c r="R412" s="430" t="s">
        <v>778</v>
      </c>
      <c r="S412" s="436">
        <v>5974</v>
      </c>
      <c r="T412" s="436">
        <v>606</v>
      </c>
      <c r="U412" s="436">
        <v>786</v>
      </c>
      <c r="V412" s="436">
        <v>73</v>
      </c>
      <c r="W412" s="435">
        <v>3</v>
      </c>
      <c r="X412" s="435">
        <v>0</v>
      </c>
      <c r="Y412" s="448">
        <v>17</v>
      </c>
      <c r="Z412" s="486"/>
    </row>
    <row r="413">
      <c r="A413" s="420"/>
      <c r="B413" s="421" t="s">
        <v>775</v>
      </c>
      <c r="C413" s="422" t="s">
        <v>783</v>
      </c>
      <c r="D413" s="459">
        <v>1773.56</v>
      </c>
      <c r="E413" s="423">
        <v>3</v>
      </c>
      <c r="F413" s="423">
        <v>2</v>
      </c>
      <c r="G413" s="460">
        <v>2948.4</v>
      </c>
      <c r="H413" s="424">
        <f t="shared" si="370"/>
      </c>
      <c r="I413" s="424">
        <f t="shared" si="20"/>
      </c>
      <c r="J413" s="424">
        <f t="shared" si="83"/>
      </c>
      <c r="K413" s="425">
        <f t="shared" si="121"/>
      </c>
      <c r="L413" s="426">
        <f t="shared" si="181"/>
      </c>
      <c r="M413" s="427">
        <f t="shared" si="151"/>
      </c>
      <c r="N413" s="427">
        <f t="shared" si="211"/>
      </c>
      <c r="O413" s="427">
        <f t="shared" si="264"/>
      </c>
      <c r="P413" s="428">
        <f t="shared" si="317"/>
      </c>
      <c r="Q413" s="429" t="s">
        <v>777</v>
      </c>
      <c r="R413" s="430" t="s">
        <v>778</v>
      </c>
      <c r="S413" s="436">
        <v>7019</v>
      </c>
      <c r="T413" s="436">
        <v>732</v>
      </c>
      <c r="U413" s="436">
        <v>901</v>
      </c>
      <c r="V413" s="436">
        <v>77</v>
      </c>
      <c r="W413" s="435">
        <v>5</v>
      </c>
      <c r="X413" s="435">
        <v>0</v>
      </c>
      <c r="Y413" s="448">
        <v>39</v>
      </c>
      <c r="Z413" s="486"/>
    </row>
    <row r="414">
      <c r="A414" s="420"/>
      <c r="B414" s="421" t="s">
        <v>775</v>
      </c>
      <c r="C414" s="451" t="s">
        <v>784</v>
      </c>
      <c r="D414" s="459">
        <v>2179.64</v>
      </c>
      <c r="E414" s="423">
        <v>1</v>
      </c>
      <c r="F414" s="423">
        <v>1</v>
      </c>
      <c r="G414" s="460">
        <v>1197.6</v>
      </c>
      <c r="H414" s="424">
        <f t="shared" si="370"/>
      </c>
      <c r="I414" s="424">
        <f t="shared" si="20"/>
      </c>
      <c r="J414" s="424">
        <f t="shared" si="83"/>
      </c>
      <c r="K414" s="425">
        <f t="shared" si="121"/>
      </c>
      <c r="L414" s="426">
        <f t="shared" si="181"/>
      </c>
      <c r="M414" s="427">
        <f t="shared" si="151"/>
      </c>
      <c r="N414" s="427">
        <f t="shared" si="211"/>
      </c>
      <c r="O414" s="427">
        <f t="shared" si="264"/>
      </c>
      <c r="P414" s="428">
        <f t="shared" si="317"/>
      </c>
      <c r="Q414" s="429" t="s">
        <v>777</v>
      </c>
      <c r="R414" s="430" t="s">
        <v>778</v>
      </c>
      <c r="S414" s="436">
        <v>8054</v>
      </c>
      <c r="T414" s="436">
        <v>930</v>
      </c>
      <c r="U414" s="436">
        <v>1121</v>
      </c>
      <c r="V414" s="436">
        <v>90</v>
      </c>
      <c r="W414" s="435">
        <v>5</v>
      </c>
      <c r="X414" s="435">
        <v>0</v>
      </c>
      <c r="Y414" s="448">
        <v>24</v>
      </c>
    </row>
    <row r="415">
      <c r="A415" s="420"/>
      <c r="B415" s="421" t="s">
        <v>775</v>
      </c>
      <c r="C415" s="451" t="s">
        <v>785</v>
      </c>
      <c r="D415" s="459">
        <v>1504.16</v>
      </c>
      <c r="E415" s="423">
        <v>0</v>
      </c>
      <c r="F415" s="423">
        <v>0</v>
      </c>
      <c r="G415" s="460">
        <v>0</v>
      </c>
      <c r="H415" s="424">
        <f t="shared" si="370"/>
      </c>
      <c r="I415" s="424">
        <f t="shared" si="20"/>
      </c>
      <c r="J415" s="424">
        <f t="shared" si="83"/>
      </c>
      <c r="K415" s="425">
        <f t="shared" si="121"/>
      </c>
      <c r="L415" s="426">
        <f t="shared" si="181"/>
      </c>
      <c r="M415" s="427">
        <f t="shared" si="151"/>
      </c>
      <c r="N415" s="427">
        <f t="shared" si="211"/>
      </c>
      <c r="O415" s="427">
        <f t="shared" si="264"/>
      </c>
      <c r="P415" s="428">
        <f t="shared" si="317"/>
      </c>
      <c r="Q415" s="429" t="s">
        <v>777</v>
      </c>
      <c r="R415" s="430" t="s">
        <v>778</v>
      </c>
      <c r="S415" s="436">
        <v>5514</v>
      </c>
      <c r="T415" s="436">
        <v>852</v>
      </c>
      <c r="U415" s="436">
        <v>1116</v>
      </c>
      <c r="V415" s="436">
        <v>65</v>
      </c>
      <c r="W415" s="435">
        <v>0</v>
      </c>
      <c r="X415" s="435">
        <v>0</v>
      </c>
      <c r="Y415" s="448">
        <v>25</v>
      </c>
    </row>
    <row r="416">
      <c r="A416" s="420"/>
      <c r="B416" s="421" t="s">
        <v>775</v>
      </c>
      <c r="C416" s="451" t="s">
        <v>786</v>
      </c>
      <c r="D416" s="459">
        <v>617.8</v>
      </c>
      <c r="E416" s="423">
        <v>2</v>
      </c>
      <c r="F416" s="423">
        <v>2</v>
      </c>
      <c r="G416" s="460">
        <v>2965.2</v>
      </c>
      <c r="H416" s="424">
        <f t="shared" si="370"/>
      </c>
      <c r="I416" s="424">
        <f t="shared" si="20"/>
      </c>
      <c r="J416" s="424">
        <f t="shared" si="83"/>
      </c>
      <c r="K416" s="425">
        <f t="shared" si="121"/>
      </c>
      <c r="L416" s="426">
        <f t="shared" si="181"/>
      </c>
      <c r="M416" s="427">
        <f t="shared" si="151"/>
      </c>
      <c r="N416" s="427">
        <f t="shared" si="211"/>
      </c>
      <c r="O416" s="427">
        <f t="shared" si="264"/>
      </c>
      <c r="P416" s="428">
        <f t="shared" si="317"/>
      </c>
      <c r="Q416" s="429" t="s">
        <v>777</v>
      </c>
      <c r="R416" s="430" t="s">
        <v>778</v>
      </c>
      <c r="S416" s="436">
        <v>2305</v>
      </c>
      <c r="T416" s="436">
        <v>344</v>
      </c>
      <c r="U416" s="436">
        <v>473</v>
      </c>
      <c r="V416" s="436">
        <v>25</v>
      </c>
      <c r="W416" s="435">
        <v>2</v>
      </c>
      <c r="X416" s="435">
        <v>0</v>
      </c>
      <c r="Y416" s="448">
        <v>16</v>
      </c>
      <c r="AB416" s="497"/>
      <c r="AC416" s="486"/>
      <c r="AD416" s="486"/>
    </row>
    <row r="417">
      <c r="A417" s="420"/>
      <c r="B417" s="437" t="s">
        <v>774</v>
      </c>
      <c r="C417" s="437"/>
      <c r="D417" s="438">
        <f>SUM(D411:D416)</f>
      </c>
      <c r="E417" s="438">
        <f>SUM(E411:E416)</f>
      </c>
      <c r="F417" s="438">
        <f>SUM(F411:F416)</f>
      </c>
      <c r="G417" s="438">
        <f>SUM(G411:G416)</f>
      </c>
      <c r="H417" s="440">
        <f t="shared" si="370"/>
      </c>
      <c r="I417" s="441">
        <f t="shared" si="20"/>
      </c>
      <c r="J417" s="442">
        <f t="shared" si="83"/>
      </c>
      <c r="K417" s="443">
        <f t="shared" si="121"/>
      </c>
      <c r="L417" s="444">
        <f t="shared" si="181"/>
      </c>
      <c r="M417" s="443">
        <f t="shared" si="151"/>
      </c>
      <c r="N417" s="443">
        <f t="shared" si="211"/>
      </c>
      <c r="O417" s="445">
        <f t="shared" si="264"/>
      </c>
      <c r="P417" s="446">
        <f t="shared" si="317"/>
      </c>
      <c r="Q417" s="444"/>
      <c r="R417" s="444"/>
      <c r="S417" s="447">
        <f>SUM(S411:S416)</f>
      </c>
      <c r="T417" s="447">
        <f>SUM(T411:T416)</f>
      </c>
      <c r="U417" s="447">
        <f>SUM(U411:U416)</f>
      </c>
      <c r="V417" s="447">
        <f>SUM(V411:V416)</f>
      </c>
      <c r="W417" s="447">
        <f>SUM(W411:W416)</f>
      </c>
      <c r="X417" s="447">
        <f>SUM(X411:X416)</f>
      </c>
      <c r="Y417" s="447">
        <f>SUM(Y411:Y416)</f>
      </c>
      <c r="AB417" s="497"/>
      <c r="AC417" s="497"/>
    </row>
    <row r="418">
      <c r="A418" s="420"/>
      <c r="B418" s="452" t="s">
        <v>787</v>
      </c>
      <c r="C418" s="452"/>
      <c r="D418" s="466">
        <f>D404+D417+D410</f>
      </c>
      <c r="E418" s="466">
        <f>E404+E417+E410</f>
      </c>
      <c r="F418" s="466">
        <f>F404+F417+F410</f>
      </c>
      <c r="G418" s="466">
        <f>G404+G417+G410</f>
      </c>
      <c r="H418" s="452">
        <f t="shared" si="370"/>
      </c>
      <c r="I418" s="452">
        <f t="shared" si="20"/>
      </c>
      <c r="J418" s="452">
        <f t="shared" si="83"/>
      </c>
      <c r="K418" s="455">
        <f t="shared" si="121"/>
      </c>
      <c r="L418" s="452">
        <f t="shared" si="181"/>
      </c>
      <c r="M418" s="455">
        <f t="shared" si="151"/>
      </c>
      <c r="N418" s="455">
        <f t="shared" si="211"/>
      </c>
      <c r="O418" s="455">
        <f t="shared" si="264"/>
      </c>
      <c r="P418" s="452">
        <f t="shared" si="317"/>
      </c>
      <c r="Q418" s="456"/>
      <c r="R418" s="456"/>
      <c r="S418" s="454">
        <f>S404+S417+S410</f>
      </c>
      <c r="T418" s="454">
        <f>T404+T417+T410</f>
      </c>
      <c r="U418" s="454">
        <f>U404+U417+U410</f>
      </c>
      <c r="V418" s="454">
        <f>V404+V417+V410</f>
      </c>
      <c r="W418" s="454">
        <f>W404+W417+W410</f>
      </c>
      <c r="X418" s="454">
        <f>X404+X417+X410</f>
      </c>
      <c r="Y418" s="454">
        <f>Y404+Y417+Y410</f>
      </c>
      <c r="AC418" s="486"/>
      <c r="AD418" s="486"/>
    </row>
    <row r="419">
      <c r="A419" s="405" t="s">
        <v>738</v>
      </c>
      <c r="B419" s="405"/>
      <c r="C419" s="405"/>
      <c r="D419" s="406" t="s">
        <v>739</v>
      </c>
      <c r="E419" s="406"/>
      <c r="F419" s="406"/>
      <c r="G419" s="406"/>
      <c r="H419" s="406"/>
      <c r="I419" s="406"/>
      <c r="J419" s="406"/>
      <c r="K419" s="407" t="s">
        <v>740</v>
      </c>
      <c r="L419" s="407"/>
      <c r="M419" s="407"/>
      <c r="N419" s="407"/>
      <c r="O419" s="407"/>
      <c r="P419" s="407"/>
      <c r="Q419" s="407"/>
      <c r="R419" s="407"/>
      <c r="S419" s="408" t="s">
        <v>741</v>
      </c>
      <c r="T419" s="408"/>
      <c r="U419" s="408"/>
      <c r="V419" s="408"/>
      <c r="W419" s="408"/>
      <c r="X419" s="408"/>
      <c r="Y419" s="408"/>
    </row>
    <row r="420">
      <c r="A420" s="409" t="s">
        <v>742</v>
      </c>
      <c r="B420" s="409" t="s">
        <v>743</v>
      </c>
      <c r="C420" s="409" t="s">
        <v>744</v>
      </c>
      <c r="D420" s="410" t="s">
        <v>745</v>
      </c>
      <c r="E420" s="411" t="s">
        <v>746</v>
      </c>
      <c r="F420" s="463" t="s">
        <v>792</v>
      </c>
      <c r="G420" s="410" t="s">
        <v>747</v>
      </c>
      <c r="H420" s="412" t="s">
        <v>748</v>
      </c>
      <c r="I420" s="413" t="s">
        <v>749</v>
      </c>
      <c r="J420" s="410" t="s">
        <v>750</v>
      </c>
      <c r="K420" s="414" t="s">
        <v>751</v>
      </c>
      <c r="L420" s="415" t="s">
        <v>752</v>
      </c>
      <c r="M420" s="414" t="s">
        <v>753</v>
      </c>
      <c r="N420" s="414" t="s">
        <v>754</v>
      </c>
      <c r="O420" s="416" t="s">
        <v>755</v>
      </c>
      <c r="P420" s="416" t="s">
        <v>756</v>
      </c>
      <c r="Q420" s="417" t="s">
        <v>757</v>
      </c>
      <c r="R420" s="417" t="s">
        <v>758</v>
      </c>
      <c r="S420" s="431" t="s">
        <v>759</v>
      </c>
      <c r="T420" s="431" t="s">
        <v>760</v>
      </c>
      <c r="U420" s="431" t="s">
        <v>761</v>
      </c>
      <c r="V420" s="431" t="s">
        <v>762</v>
      </c>
      <c r="W420" s="431" t="s">
        <v>763</v>
      </c>
      <c r="X420" s="431" t="s">
        <v>764</v>
      </c>
      <c r="Y420" s="419" t="s">
        <v>765</v>
      </c>
    </row>
    <row r="421">
      <c r="A421" s="420" t="s">
        <v>856</v>
      </c>
      <c r="B421" s="421" t="s">
        <v>782</v>
      </c>
      <c r="C421" s="451" t="s">
        <v>794</v>
      </c>
      <c r="D421" s="421">
        <v>2536.52</v>
      </c>
      <c r="E421" s="423">
        <v>2</v>
      </c>
      <c r="F421" s="423">
        <v>1</v>
      </c>
      <c r="G421" s="467">
        <v>5261.2</v>
      </c>
      <c r="H421" s="424">
        <f t="shared" ref="H421:H440" si="371">G421/D421</f>
      </c>
      <c r="I421" s="424">
        <f>D421/E421</f>
      </c>
      <c r="J421" s="424">
        <f>G421/E421</f>
      </c>
      <c r="K421" s="425">
        <f t="shared" ref="K421:K440" si="122">T421/S421</f>
      </c>
      <c r="L421" s="426">
        <f t="shared" ref="L421:L440" si="182">D421/U421</f>
      </c>
      <c r="M421" s="427">
        <f t="shared" ref="M421:M440" si="152">V421/U421</f>
      </c>
      <c r="N421" s="427">
        <f t="shared" ref="N421:N440" si="212">E421/W421</f>
      </c>
      <c r="O421" s="427">
        <f t="shared" ref="O421:O440" si="265">X421/E421</f>
      </c>
      <c r="P421" s="428">
        <f t="shared" ref="P421:P440" si="318">(Y421*1000)/D421</f>
      </c>
      <c r="Q421" s="429" t="s">
        <v>769</v>
      </c>
      <c r="R421" s="430" t="s">
        <v>800</v>
      </c>
      <c r="S421" s="461">
        <v>13756</v>
      </c>
      <c r="T421" s="461">
        <v>1436</v>
      </c>
      <c r="U421" s="461">
        <v>1879</v>
      </c>
      <c r="V421" s="461">
        <v>261</v>
      </c>
      <c r="W421" s="461">
        <v>7</v>
      </c>
      <c r="X421" s="461">
        <v>1</v>
      </c>
      <c r="Y421" s="461">
        <v>81</v>
      </c>
    </row>
    <row r="422">
      <c r="A422" s="420"/>
      <c r="B422" s="421" t="s">
        <v>782</v>
      </c>
      <c r="C422" s="421" t="s">
        <v>796</v>
      </c>
      <c r="D422" s="421">
        <v>2546.92</v>
      </c>
      <c r="E422" s="423">
        <v>3</v>
      </c>
      <c r="F422" s="423">
        <v>3</v>
      </c>
      <c r="G422" s="467">
        <v>4249.2</v>
      </c>
      <c r="H422" s="424">
        <f t="shared" si="371"/>
      </c>
      <c r="I422" s="424">
        <v>2161</v>
      </c>
      <c r="J422" s="424">
        <v>234</v>
      </c>
      <c r="K422" s="425">
        <f t="shared" si="122"/>
      </c>
      <c r="L422" s="426">
        <f t="shared" si="182"/>
      </c>
      <c r="M422" s="427">
        <f t="shared" si="152"/>
      </c>
      <c r="N422" s="427">
        <f t="shared" si="212"/>
      </c>
      <c r="O422" s="427">
        <f t="shared" si="265"/>
      </c>
      <c r="P422" s="428">
        <f t="shared" si="318"/>
      </c>
      <c r="Q422" s="429" t="s">
        <v>769</v>
      </c>
      <c r="R422" s="430" t="s">
        <v>800</v>
      </c>
      <c r="S422" s="461">
        <v>9713</v>
      </c>
      <c r="T422" s="461">
        <v>1193</v>
      </c>
      <c r="U422" s="461">
        <v>1616</v>
      </c>
      <c r="V422" s="461">
        <v>201</v>
      </c>
      <c r="W422" s="461">
        <v>5</v>
      </c>
      <c r="X422" s="461">
        <v>0</v>
      </c>
      <c r="Y422" s="461">
        <v>80</v>
      </c>
    </row>
    <row r="423">
      <c r="A423" s="420"/>
      <c r="B423" s="421" t="s">
        <v>782</v>
      </c>
      <c r="C423" s="421" t="s">
        <v>797</v>
      </c>
      <c r="D423" s="421">
        <v>2436.25</v>
      </c>
      <c r="E423" s="423">
        <v>5</v>
      </c>
      <c r="F423" s="423">
        <v>4</v>
      </c>
      <c r="G423" s="467">
        <v>6093.2</v>
      </c>
      <c r="H423" s="424">
        <f t="shared" si="371"/>
      </c>
      <c r="I423" s="424">
        <f t="shared" ref="I423:I440" si="21">D423/E423</f>
      </c>
      <c r="J423" s="424">
        <f t="shared" ref="J423:J440" si="84">G423/E423</f>
      </c>
      <c r="K423" s="425">
        <f t="shared" si="122"/>
      </c>
      <c r="L423" s="426">
        <f t="shared" si="182"/>
      </c>
      <c r="M423" s="427">
        <f t="shared" si="152"/>
      </c>
      <c r="N423" s="427">
        <f t="shared" si="212"/>
      </c>
      <c r="O423" s="427">
        <f t="shared" si="265"/>
      </c>
      <c r="P423" s="428">
        <f t="shared" si="318"/>
      </c>
      <c r="Q423" s="429" t="s">
        <v>769</v>
      </c>
      <c r="R423" s="430" t="s">
        <v>800</v>
      </c>
      <c r="S423" s="461">
        <v>7383</v>
      </c>
      <c r="T423" s="461">
        <v>986</v>
      </c>
      <c r="U423" s="461">
        <v>1367</v>
      </c>
      <c r="V423" s="461">
        <v>180</v>
      </c>
      <c r="W423" s="461">
        <v>5</v>
      </c>
      <c r="X423" s="461">
        <v>0</v>
      </c>
      <c r="Y423" s="461">
        <v>53</v>
      </c>
      <c r="AA423" s="487" t="s">
        <v>857</v>
      </c>
      <c r="AB423" s="487"/>
      <c r="AC423" s="487"/>
      <c r="AD423" s="487"/>
      <c r="AE423" s="487"/>
      <c r="AF423" s="487"/>
      <c r="AG423" s="487"/>
      <c r="AH423" s="487"/>
      <c r="AI423" s="487"/>
      <c r="AJ423" s="487"/>
      <c r="AK423" s="487"/>
    </row>
    <row r="424">
      <c r="A424" s="420"/>
      <c r="B424" s="421" t="s">
        <v>782</v>
      </c>
      <c r="C424" s="421" t="s">
        <v>798</v>
      </c>
      <c r="D424" s="421">
        <v>2652.86</v>
      </c>
      <c r="E424" s="423">
        <v>2</v>
      </c>
      <c r="F424" s="423">
        <v>2</v>
      </c>
      <c r="G424" s="462">
        <v>1599.6</v>
      </c>
      <c r="H424" s="424">
        <f t="shared" si="371"/>
      </c>
      <c r="I424" s="424">
        <f t="shared" si="21"/>
      </c>
      <c r="J424" s="424">
        <f t="shared" si="84"/>
      </c>
      <c r="K424" s="425">
        <f t="shared" si="122"/>
      </c>
      <c r="L424" s="426">
        <f t="shared" si="182"/>
      </c>
      <c r="M424" s="427">
        <f t="shared" si="152"/>
      </c>
      <c r="N424" s="427">
        <f t="shared" si="212"/>
      </c>
      <c r="O424" s="427">
        <f t="shared" si="265"/>
      </c>
      <c r="P424" s="428">
        <f t="shared" si="318"/>
      </c>
      <c r="Q424" s="429" t="s">
        <v>769</v>
      </c>
      <c r="R424" s="430" t="s">
        <v>800</v>
      </c>
      <c r="S424" s="461">
        <v>8735</v>
      </c>
      <c r="T424" s="461">
        <v>1055</v>
      </c>
      <c r="U424" s="461">
        <v>1492</v>
      </c>
      <c r="V424" s="461">
        <v>178</v>
      </c>
      <c r="W424" s="461">
        <v>4</v>
      </c>
      <c r="X424" s="435">
        <v>0</v>
      </c>
      <c r="Y424" s="435">
        <v>56</v>
      </c>
      <c r="AA424" s="489" t="s">
        <v>806</v>
      </c>
      <c r="AB424" s="489" t="s">
        <v>807</v>
      </c>
      <c r="AC424" s="489" t="s">
        <v>808</v>
      </c>
      <c r="AD424" s="489" t="s">
        <v>809</v>
      </c>
      <c r="AE424" s="489" t="s">
        <v>810</v>
      </c>
      <c r="AF424" s="489" t="s">
        <v>811</v>
      </c>
      <c r="AG424" s="489" t="s">
        <v>750</v>
      </c>
      <c r="AH424" s="489" t="s">
        <v>812</v>
      </c>
      <c r="AI424" s="489" t="s">
        <v>748</v>
      </c>
      <c r="AJ424" s="489" t="s">
        <v>813</v>
      </c>
      <c r="AK424" s="489"/>
    </row>
    <row r="425">
      <c r="A425" s="420"/>
      <c r="B425" s="421" t="s">
        <v>782</v>
      </c>
      <c r="C425" s="422" t="s">
        <v>768</v>
      </c>
      <c r="D425" s="421">
        <v>3089.66</v>
      </c>
      <c r="E425" s="423">
        <v>9</v>
      </c>
      <c r="F425" s="423">
        <v>4</v>
      </c>
      <c r="G425" s="462">
        <v>11825.6</v>
      </c>
      <c r="H425" s="424">
        <f t="shared" si="371"/>
      </c>
      <c r="I425" s="424">
        <f t="shared" si="21"/>
      </c>
      <c r="J425" s="424">
        <f t="shared" si="84"/>
      </c>
      <c r="K425" s="425">
        <f t="shared" si="122"/>
      </c>
      <c r="L425" s="426">
        <f t="shared" si="182"/>
      </c>
      <c r="M425" s="427">
        <f t="shared" si="152"/>
      </c>
      <c r="N425" s="427">
        <f t="shared" si="212"/>
      </c>
      <c r="O425" s="427">
        <f t="shared" si="265"/>
      </c>
      <c r="P425" s="428">
        <f t="shared" si="318"/>
      </c>
      <c r="Q425" s="429" t="s">
        <v>769</v>
      </c>
      <c r="R425" s="430" t="s">
        <v>800</v>
      </c>
      <c r="S425" s="461">
        <v>9454</v>
      </c>
      <c r="T425" s="461">
        <v>1018</v>
      </c>
      <c r="U425" s="461">
        <v>1359</v>
      </c>
      <c r="V425" s="461">
        <v>159</v>
      </c>
      <c r="W425" s="461">
        <v>10</v>
      </c>
      <c r="X425" s="435">
        <v>2</v>
      </c>
      <c r="Y425" s="435">
        <v>46</v>
      </c>
      <c r="AA425" s="490" t="s">
        <v>782</v>
      </c>
      <c r="AB425" s="496" t="s">
        <v>845</v>
      </c>
      <c r="AC425" s="490">
        <v>6</v>
      </c>
      <c r="AD425" s="490">
        <v>15943.52</v>
      </c>
      <c r="AE425" s="490">
        <v>34170</v>
      </c>
      <c r="AF425" s="490">
        <v>25</v>
      </c>
      <c r="AG425" s="493">
        <f t="shared" ref="AG425:AG427" si="235">AE425/AF425</f>
      </c>
      <c r="AH425" s="493">
        <f t="shared" ref="AH425:AH427" si="288">AD425/AF425</f>
      </c>
      <c r="AI425" s="493">
        <f t="shared" ref="AI425:AI427" si="341">AE425/AD425</f>
      </c>
      <c r="AJ425" s="492">
        <f>AD425/AC425</f>
      </c>
      <c r="AK425" s="492"/>
    </row>
    <row customHeight="true" ht="20.238095238095237" r="426">
      <c r="A426" s="420"/>
      <c r="B426" s="421" t="s">
        <v>782</v>
      </c>
      <c r="C426" s="433" t="s">
        <v>776</v>
      </c>
      <c r="D426" s="421">
        <v>2681.31</v>
      </c>
      <c r="E426" s="423">
        <v>4</v>
      </c>
      <c r="F426" s="423">
        <v>3</v>
      </c>
      <c r="G426" s="462">
        <v>5141.2</v>
      </c>
      <c r="H426" s="424">
        <f t="shared" si="371"/>
      </c>
      <c r="I426" s="424">
        <f t="shared" si="21"/>
      </c>
      <c r="J426" s="424">
        <f t="shared" si="84"/>
      </c>
      <c r="K426" s="425">
        <f t="shared" si="122"/>
      </c>
      <c r="L426" s="426">
        <f t="shared" si="182"/>
      </c>
      <c r="M426" s="427">
        <f t="shared" si="152"/>
      </c>
      <c r="N426" s="427">
        <f t="shared" si="212"/>
      </c>
      <c r="O426" s="427">
        <f t="shared" si="265"/>
      </c>
      <c r="P426" s="428">
        <f t="shared" si="318"/>
      </c>
      <c r="Q426" s="499" t="s">
        <v>769</v>
      </c>
      <c r="R426" s="430" t="s">
        <v>778</v>
      </c>
      <c r="S426" s="461">
        <v>10016</v>
      </c>
      <c r="T426" s="461">
        <v>844</v>
      </c>
      <c r="U426" s="461">
        <v>1192</v>
      </c>
      <c r="V426" s="461">
        <v>152</v>
      </c>
      <c r="W426" s="461">
        <v>4</v>
      </c>
      <c r="X426" s="435">
        <v>0</v>
      </c>
      <c r="Y426" s="435">
        <v>34</v>
      </c>
      <c r="AA426" s="490" t="s">
        <v>775</v>
      </c>
      <c r="AB426" s="496" t="s">
        <v>858</v>
      </c>
      <c r="AC426" s="490">
        <v>5</v>
      </c>
      <c r="AD426" s="490">
        <v>10906.06</v>
      </c>
      <c r="AE426" s="490">
        <v>3307.2</v>
      </c>
      <c r="AF426" s="490">
        <v>6</v>
      </c>
      <c r="AG426" s="493">
        <f t="shared" si="235"/>
      </c>
      <c r="AH426" s="493">
        <f t="shared" si="288"/>
      </c>
      <c r="AI426" s="493">
        <f t="shared" si="341"/>
      </c>
      <c r="AJ426" s="492">
        <f t="shared" ref="AJ426:AJ427" si="52">AD426/4</f>
      </c>
      <c r="AK426" s="492"/>
    </row>
    <row r="427">
      <c r="A427" s="420"/>
      <c r="B427" s="437" t="s">
        <v>774</v>
      </c>
      <c r="C427" s="437"/>
      <c r="D427" s="438">
        <f>SUM(D421:D426)</f>
      </c>
      <c r="E427" s="438">
        <f>SUM(E421:E426)</f>
      </c>
      <c r="F427" s="438">
        <f>SUM(F421:F426)</f>
      </c>
      <c r="G427" s="438">
        <f>SUM(G421:G426)</f>
      </c>
      <c r="H427" s="440">
        <f t="shared" si="371"/>
      </c>
      <c r="I427" s="441">
        <f t="shared" si="21"/>
      </c>
      <c r="J427" s="442">
        <f t="shared" si="84"/>
      </c>
      <c r="K427" s="443">
        <f t="shared" si="122"/>
      </c>
      <c r="L427" s="444">
        <f t="shared" si="182"/>
      </c>
      <c r="M427" s="443">
        <f t="shared" si="152"/>
      </c>
      <c r="N427" s="443">
        <f t="shared" si="212"/>
      </c>
      <c r="O427" s="445">
        <f t="shared" si="265"/>
      </c>
      <c r="P427" s="446">
        <f t="shared" si="318"/>
      </c>
      <c r="Q427" s="444"/>
      <c r="R427" s="444"/>
      <c r="S427" s="447">
        <f>SUM(S421:S426)</f>
      </c>
      <c r="T427" s="447">
        <f>SUM(T421:T426)</f>
      </c>
      <c r="U427" s="447">
        <f>SUM(U421:U426)</f>
      </c>
      <c r="V427" s="447">
        <f>SUM(V421:V426)</f>
      </c>
      <c r="W427" s="447">
        <f>SUM(W421:W426)</f>
      </c>
      <c r="X427" s="447">
        <f>SUM(X421:X426)</f>
      </c>
      <c r="Y427" s="447">
        <f>SUM(Y421:Y426)</f>
      </c>
      <c r="AA427" s="490" t="s">
        <v>789</v>
      </c>
      <c r="AB427" s="496" t="s">
        <v>859</v>
      </c>
      <c r="AC427" s="490">
        <v>5</v>
      </c>
      <c r="AD427" s="490">
        <v>10686.12</v>
      </c>
      <c r="AE427" s="490">
        <v>17296.6</v>
      </c>
      <c r="AF427" s="490">
        <v>14</v>
      </c>
      <c r="AG427" s="493">
        <f t="shared" si="235"/>
      </c>
      <c r="AH427" s="493">
        <f t="shared" si="288"/>
      </c>
      <c r="AI427" s="493">
        <f t="shared" si="341"/>
      </c>
      <c r="AJ427" s="492">
        <f t="shared" si="52"/>
      </c>
      <c r="AK427" s="492"/>
    </row>
    <row r="428">
      <c r="A428" s="420"/>
      <c r="B428" s="421" t="s">
        <v>775</v>
      </c>
      <c r="C428" s="433" t="s">
        <v>771</v>
      </c>
      <c r="D428" s="459">
        <v>3116.2</v>
      </c>
      <c r="E428" s="423">
        <v>0</v>
      </c>
      <c r="F428" s="423">
        <v>0</v>
      </c>
      <c r="G428" s="460">
        <v>0</v>
      </c>
      <c r="H428" s="424">
        <f t="shared" si="371"/>
      </c>
      <c r="I428" s="424">
        <f t="shared" si="21"/>
      </c>
      <c r="J428" s="424">
        <f t="shared" si="84"/>
      </c>
      <c r="K428" s="425">
        <f t="shared" si="122"/>
      </c>
      <c r="L428" s="426">
        <f t="shared" si="182"/>
      </c>
      <c r="M428" s="427">
        <f t="shared" si="152"/>
      </c>
      <c r="N428" s="427">
        <f t="shared" si="212"/>
      </c>
      <c r="O428" s="427">
        <f t="shared" si="265"/>
      </c>
      <c r="P428" s="428">
        <f t="shared" si="318"/>
      </c>
      <c r="Q428" s="429" t="s">
        <v>777</v>
      </c>
      <c r="R428" s="430" t="s">
        <v>800</v>
      </c>
      <c r="S428" s="436">
        <v>7468</v>
      </c>
      <c r="T428" s="436">
        <v>917</v>
      </c>
      <c r="U428" s="436">
        <v>1233</v>
      </c>
      <c r="V428" s="436">
        <v>161</v>
      </c>
      <c r="W428" s="435">
        <v>0</v>
      </c>
      <c r="X428" s="435">
        <v>0</v>
      </c>
      <c r="Y428" s="448">
        <v>46</v>
      </c>
      <c r="Z428" s="486"/>
      <c r="AA428" s="495" t="s">
        <v>819</v>
      </c>
      <c r="AB428" s="495"/>
      <c r="AC428" s="495"/>
      <c r="AD428" s="495"/>
      <c r="AE428" s="495"/>
      <c r="AF428" s="495"/>
      <c r="AG428" s="495"/>
      <c r="AH428" s="495"/>
      <c r="AI428" s="495"/>
      <c r="AJ428" s="495"/>
      <c r="AK428" s="495"/>
    </row>
    <row r="429">
      <c r="A429" s="420"/>
      <c r="B429" s="421" t="s">
        <v>775</v>
      </c>
      <c r="C429" s="433" t="s">
        <v>772</v>
      </c>
      <c r="D429" s="459">
        <v>1963.44</v>
      </c>
      <c r="E429" s="423">
        <v>0</v>
      </c>
      <c r="F429" s="423">
        <v>0</v>
      </c>
      <c r="G429" s="460">
        <v>0</v>
      </c>
      <c r="H429" s="424">
        <f t="shared" si="371"/>
      </c>
      <c r="I429" s="424">
        <f t="shared" si="21"/>
      </c>
      <c r="J429" s="424">
        <f t="shared" si="84"/>
      </c>
      <c r="K429" s="425">
        <f t="shared" si="122"/>
      </c>
      <c r="L429" s="426">
        <f t="shared" si="182"/>
      </c>
      <c r="M429" s="427">
        <f t="shared" si="152"/>
      </c>
      <c r="N429" s="427">
        <f t="shared" si="212"/>
      </c>
      <c r="O429" s="427">
        <f t="shared" si="265"/>
      </c>
      <c r="P429" s="428">
        <f t="shared" si="318"/>
      </c>
      <c r="Q429" s="429" t="s">
        <v>777</v>
      </c>
      <c r="R429" s="430" t="s">
        <v>800</v>
      </c>
      <c r="S429" s="436">
        <v>6397</v>
      </c>
      <c r="T429" s="436">
        <v>657</v>
      </c>
      <c r="U429" s="436">
        <v>985</v>
      </c>
      <c r="V429" s="436">
        <v>107</v>
      </c>
      <c r="W429" s="435">
        <v>1</v>
      </c>
      <c r="X429" s="435">
        <v>0</v>
      </c>
      <c r="Y429" s="448">
        <v>22</v>
      </c>
      <c r="Z429" s="486"/>
      <c r="AA429" s="478" t="s">
        <v>809</v>
      </c>
      <c r="AB429" s="478" t="s">
        <v>820</v>
      </c>
      <c r="AC429" s="479" t="s">
        <v>821</v>
      </c>
      <c r="AD429" s="478" t="s">
        <v>822</v>
      </c>
      <c r="AE429" s="478" t="s">
        <v>823</v>
      </c>
      <c r="AF429" s="478" t="s">
        <v>824</v>
      </c>
      <c r="AG429" s="478" t="s">
        <v>825</v>
      </c>
      <c r="AH429" s="480" t="s">
        <v>764</v>
      </c>
      <c r="AI429" s="480" t="s">
        <v>826</v>
      </c>
      <c r="AJ429" s="480" t="s">
        <v>827</v>
      </c>
      <c r="AK429" s="480" t="s">
        <v>808</v>
      </c>
    </row>
    <row r="430">
      <c r="A430" s="420"/>
      <c r="B430" s="421" t="s">
        <v>775</v>
      </c>
      <c r="C430" s="433" t="s">
        <v>773</v>
      </c>
      <c r="D430" s="459">
        <v>2608.47</v>
      </c>
      <c r="E430" s="423">
        <v>0</v>
      </c>
      <c r="F430" s="423">
        <v>0</v>
      </c>
      <c r="G430" s="460">
        <v>0</v>
      </c>
      <c r="H430" s="424">
        <f t="shared" si="371"/>
      </c>
      <c r="I430" s="424">
        <f t="shared" si="21"/>
      </c>
      <c r="J430" s="424">
        <f t="shared" si="84"/>
      </c>
      <c r="K430" s="425">
        <f t="shared" si="122"/>
      </c>
      <c r="L430" s="426">
        <f t="shared" si="182"/>
      </c>
      <c r="M430" s="427">
        <f t="shared" si="152"/>
      </c>
      <c r="N430" s="427">
        <f t="shared" si="212"/>
      </c>
      <c r="O430" s="427">
        <f t="shared" si="265"/>
      </c>
      <c r="P430" s="428">
        <f t="shared" si="318"/>
      </c>
      <c r="Q430" s="429" t="s">
        <v>777</v>
      </c>
      <c r="R430" s="430" t="s">
        <v>800</v>
      </c>
      <c r="S430" s="436">
        <v>10371</v>
      </c>
      <c r="T430" s="436">
        <v>910</v>
      </c>
      <c r="U430" s="436">
        <v>1255</v>
      </c>
      <c r="V430" s="436">
        <v>140</v>
      </c>
      <c r="W430" s="435">
        <v>2</v>
      </c>
      <c r="X430" s="435">
        <v>0</v>
      </c>
      <c r="Y430" s="448">
        <v>34</v>
      </c>
      <c r="Z430" s="486"/>
      <c r="AA430" s="465">
        <f>SUM(AD425:AD427)</f>
      </c>
      <c r="AB430" s="465">
        <f>SUM(AE425:AE427)</f>
      </c>
      <c r="AC430" s="481">
        <f>AB430/((AK430*300)+AA430)</f>
      </c>
      <c r="AD430" s="482">
        <f>AA430/AJ430</f>
      </c>
      <c r="AE430" s="481">
        <f>AB430/AJ430</f>
      </c>
      <c r="AF430" s="483">
        <f>AJ430/AI430</f>
      </c>
      <c r="AG430" s="483">
        <f>AH430/AJ430</f>
      </c>
      <c r="AH430" s="484">
        <v>7</v>
      </c>
      <c r="AI430" s="484">
        <v>62</v>
      </c>
      <c r="AJ430" s="485">
        <f>SUM(AF425:AF427)</f>
      </c>
      <c r="AK430" s="485">
        <f>SUM(AC425:AC427)</f>
      </c>
    </row>
    <row customHeight="true" ht="18.452380952380953" r="431">
      <c r="A431" s="420"/>
      <c r="B431" s="421" t="s">
        <v>775</v>
      </c>
      <c r="C431" s="421" t="s">
        <v>779</v>
      </c>
      <c r="D431" s="459">
        <v>1555.95</v>
      </c>
      <c r="E431" s="423">
        <v>3</v>
      </c>
      <c r="F431" s="423">
        <v>2</v>
      </c>
      <c r="G431" s="460">
        <v>1403.6</v>
      </c>
      <c r="H431" s="424">
        <f t="shared" si="371"/>
      </c>
      <c r="I431" s="424">
        <f t="shared" si="21"/>
      </c>
      <c r="J431" s="424">
        <f t="shared" si="84"/>
      </c>
      <c r="K431" s="425">
        <f t="shared" si="122"/>
      </c>
      <c r="L431" s="426">
        <f t="shared" si="182"/>
      </c>
      <c r="M431" s="427">
        <f t="shared" si="152"/>
      </c>
      <c r="N431" s="427">
        <f t="shared" si="212"/>
      </c>
      <c r="O431" s="427">
        <f t="shared" si="265"/>
      </c>
      <c r="P431" s="428">
        <f t="shared" si="318"/>
      </c>
      <c r="Q431" s="429" t="s">
        <v>777</v>
      </c>
      <c r="R431" s="430" t="s">
        <v>778</v>
      </c>
      <c r="S431" s="436">
        <v>6940</v>
      </c>
      <c r="T431" s="436">
        <v>702</v>
      </c>
      <c r="U431" s="436">
        <v>1087</v>
      </c>
      <c r="V431" s="436">
        <v>147</v>
      </c>
      <c r="W431" s="435">
        <v>3</v>
      </c>
      <c r="X431" s="435">
        <v>1</v>
      </c>
      <c r="Y431" s="448">
        <v>25</v>
      </c>
      <c r="Z431" s="486"/>
      <c r="AA431" s="465"/>
      <c r="AB431" s="465"/>
      <c r="AC431" s="481"/>
      <c r="AD431" s="482"/>
      <c r="AE431" s="481"/>
      <c r="AF431" s="483"/>
      <c r="AG431" s="483"/>
      <c r="AH431" s="484"/>
      <c r="AI431" s="484"/>
      <c r="AJ431" s="485"/>
      <c r="AK431" s="485"/>
    </row>
    <row customHeight="true" ht="18.452380952380953" r="432">
      <c r="A432" s="420"/>
      <c r="B432" s="421" t="s">
        <v>775</v>
      </c>
      <c r="C432" s="421" t="s">
        <v>780</v>
      </c>
      <c r="D432" s="459">
        <v>1662</v>
      </c>
      <c r="E432" s="423">
        <v>3</v>
      </c>
      <c r="F432" s="423">
        <v>2</v>
      </c>
      <c r="G432" s="460">
        <v>1903.6</v>
      </c>
      <c r="H432" s="424">
        <f t="shared" si="371"/>
      </c>
      <c r="I432" s="424">
        <f t="shared" si="21"/>
      </c>
      <c r="J432" s="424">
        <f t="shared" si="84"/>
      </c>
      <c r="K432" s="425">
        <f t="shared" si="122"/>
      </c>
      <c r="L432" s="426">
        <f t="shared" si="182"/>
      </c>
      <c r="M432" s="427">
        <f t="shared" si="152"/>
      </c>
      <c r="N432" s="427">
        <f t="shared" si="212"/>
      </c>
      <c r="O432" s="427">
        <f t="shared" si="265"/>
      </c>
      <c r="P432" s="428">
        <f t="shared" si="318"/>
      </c>
      <c r="Q432" s="429" t="s">
        <v>777</v>
      </c>
      <c r="R432" s="430" t="s">
        <v>778</v>
      </c>
      <c r="S432" s="436">
        <v>6973</v>
      </c>
      <c r="T432" s="436">
        <v>792</v>
      </c>
      <c r="U432" s="436">
        <v>1201</v>
      </c>
      <c r="V432" s="436">
        <v>162</v>
      </c>
      <c r="W432" s="435">
        <v>3</v>
      </c>
      <c r="X432" s="435">
        <v>0</v>
      </c>
      <c r="Y432" s="448">
        <v>40</v>
      </c>
      <c r="Z432" s="486"/>
      <c r="AA432" s="465"/>
      <c r="AB432" s="465"/>
      <c r="AC432" s="481"/>
      <c r="AD432" s="482"/>
      <c r="AE432" s="481"/>
      <c r="AF432" s="483"/>
      <c r="AG432" s="483"/>
      <c r="AH432" s="484"/>
      <c r="AI432" s="484"/>
      <c r="AJ432" s="485"/>
      <c r="AK432" s="485"/>
    </row>
    <row r="433">
      <c r="A433" s="420"/>
      <c r="B433" s="437" t="s">
        <v>774</v>
      </c>
      <c r="C433" s="437"/>
      <c r="D433" s="438">
        <f>SUM(D428:D432)</f>
      </c>
      <c r="E433" s="438">
        <f>SUM(E428:E432)</f>
      </c>
      <c r="F433" s="438">
        <f>SUM(F428:F432)</f>
      </c>
      <c r="G433" s="438">
        <f>SUM(G428:G432)</f>
      </c>
      <c r="H433" s="440">
        <f t="shared" si="371"/>
      </c>
      <c r="I433" s="441">
        <f t="shared" si="21"/>
      </c>
      <c r="J433" s="442">
        <f t="shared" si="84"/>
      </c>
      <c r="K433" s="443">
        <f t="shared" si="122"/>
      </c>
      <c r="L433" s="444">
        <f t="shared" si="182"/>
      </c>
      <c r="M433" s="443">
        <f t="shared" si="152"/>
      </c>
      <c r="N433" s="443">
        <f t="shared" si="212"/>
      </c>
      <c r="O433" s="445">
        <f t="shared" si="265"/>
      </c>
      <c r="P433" s="446">
        <f t="shared" si="318"/>
      </c>
      <c r="Q433" s="444"/>
      <c r="R433" s="444"/>
      <c r="S433" s="447">
        <f>SUM(S428:S432)</f>
      </c>
      <c r="T433" s="447">
        <f>SUM(T428:T432)</f>
      </c>
      <c r="U433" s="447">
        <f>SUM(U428:U432)</f>
      </c>
      <c r="V433" s="447">
        <f>SUM(V428:V432)</f>
      </c>
      <c r="W433" s="447">
        <f>SUM(W428:W432)</f>
      </c>
      <c r="X433" s="447">
        <f>SUM(X428:X432)</f>
      </c>
      <c r="Y433" s="447">
        <f>SUM(Y428:Y432)</f>
      </c>
      <c r="Z433" s="486"/>
    </row>
    <row r="434">
      <c r="A434" s="420"/>
      <c r="B434" s="421" t="s">
        <v>789</v>
      </c>
      <c r="C434" s="422" t="s">
        <v>781</v>
      </c>
      <c r="D434" s="459">
        <v>1912.96</v>
      </c>
      <c r="E434" s="423">
        <v>0</v>
      </c>
      <c r="F434" s="423">
        <v>0</v>
      </c>
      <c r="G434" s="460">
        <v>0</v>
      </c>
      <c r="H434" s="424">
        <f t="shared" si="371"/>
      </c>
      <c r="I434" s="424">
        <f t="shared" si="21"/>
      </c>
      <c r="J434" s="424">
        <f t="shared" si="84"/>
      </c>
      <c r="K434" s="425">
        <f t="shared" si="122"/>
      </c>
      <c r="L434" s="426">
        <f t="shared" si="182"/>
      </c>
      <c r="M434" s="427">
        <f t="shared" si="152"/>
      </c>
      <c r="N434" s="427">
        <f t="shared" si="212"/>
      </c>
      <c r="O434" s="427">
        <f t="shared" si="265"/>
      </c>
      <c r="P434" s="428">
        <f t="shared" si="318"/>
      </c>
      <c r="Q434" s="429" t="s">
        <v>777</v>
      </c>
      <c r="R434" s="430" t="s">
        <v>778</v>
      </c>
      <c r="S434" s="436">
        <v>8055</v>
      </c>
      <c r="T434" s="436">
        <v>932</v>
      </c>
      <c r="U434" s="436">
        <v>1282</v>
      </c>
      <c r="V434" s="436">
        <v>166</v>
      </c>
      <c r="W434" s="435">
        <v>1</v>
      </c>
      <c r="X434" s="435">
        <v>0</v>
      </c>
      <c r="Y434" s="448">
        <v>28</v>
      </c>
      <c r="Z434" s="486"/>
    </row>
    <row customHeight="true" ht="16.666666666666668" r="435">
      <c r="A435" s="420"/>
      <c r="B435" s="421" t="s">
        <v>789</v>
      </c>
      <c r="C435" s="422" t="s">
        <v>783</v>
      </c>
      <c r="D435" s="459">
        <v>1665.83</v>
      </c>
      <c r="E435" s="423">
        <v>4</v>
      </c>
      <c r="F435" s="423">
        <v>4</v>
      </c>
      <c r="G435" s="460">
        <v>3666.6</v>
      </c>
      <c r="H435" s="424">
        <f t="shared" si="371"/>
      </c>
      <c r="I435" s="424">
        <f t="shared" si="21"/>
      </c>
      <c r="J435" s="424">
        <f t="shared" si="84"/>
      </c>
      <c r="K435" s="425">
        <f t="shared" si="122"/>
      </c>
      <c r="L435" s="426">
        <f t="shared" si="182"/>
      </c>
      <c r="M435" s="427">
        <f t="shared" si="152"/>
      </c>
      <c r="N435" s="427">
        <f t="shared" si="212"/>
      </c>
      <c r="O435" s="427">
        <f t="shared" si="265"/>
      </c>
      <c r="P435" s="428">
        <f t="shared" si="318"/>
      </c>
      <c r="Q435" s="429" t="s">
        <v>777</v>
      </c>
      <c r="R435" s="430" t="s">
        <v>778</v>
      </c>
      <c r="S435" s="436">
        <v>7504</v>
      </c>
      <c r="T435" s="436">
        <v>949</v>
      </c>
      <c r="U435" s="436">
        <v>1347</v>
      </c>
      <c r="V435" s="436">
        <v>141</v>
      </c>
      <c r="W435" s="435">
        <v>4</v>
      </c>
      <c r="X435" s="435">
        <v>0</v>
      </c>
      <c r="Y435" s="448">
        <v>42</v>
      </c>
      <c r="Z435" s="486"/>
    </row>
    <row r="436">
      <c r="A436" s="420"/>
      <c r="B436" s="421" t="s">
        <v>789</v>
      </c>
      <c r="C436" s="451" t="s">
        <v>784</v>
      </c>
      <c r="D436" s="459">
        <v>2226.84</v>
      </c>
      <c r="E436" s="423">
        <v>4</v>
      </c>
      <c r="F436" s="423">
        <v>4</v>
      </c>
      <c r="G436" s="460">
        <v>5837.2</v>
      </c>
      <c r="H436" s="424">
        <f t="shared" si="371"/>
      </c>
      <c r="I436" s="424">
        <f t="shared" si="21"/>
      </c>
      <c r="J436" s="424">
        <f t="shared" si="84"/>
      </c>
      <c r="K436" s="425">
        <f t="shared" si="122"/>
      </c>
      <c r="L436" s="426">
        <f t="shared" si="182"/>
      </c>
      <c r="M436" s="427">
        <f t="shared" si="152"/>
      </c>
      <c r="N436" s="427">
        <f t="shared" si="212"/>
      </c>
      <c r="O436" s="427">
        <f t="shared" si="265"/>
      </c>
      <c r="P436" s="428">
        <f t="shared" si="318"/>
      </c>
      <c r="Q436" s="429" t="s">
        <v>777</v>
      </c>
      <c r="R436" s="430" t="s">
        <v>778</v>
      </c>
      <c r="S436" s="436">
        <v>12471</v>
      </c>
      <c r="T436" s="436">
        <v>1614</v>
      </c>
      <c r="U436" s="436">
        <v>2166</v>
      </c>
      <c r="V436" s="436">
        <v>188</v>
      </c>
      <c r="W436" s="435">
        <v>7</v>
      </c>
      <c r="X436" s="435">
        <v>0</v>
      </c>
      <c r="Y436" s="448">
        <v>40</v>
      </c>
      <c r="Z436" s="486"/>
    </row>
    <row r="437">
      <c r="A437" s="420"/>
      <c r="B437" s="421" t="s">
        <v>789</v>
      </c>
      <c r="C437" s="451" t="s">
        <v>785</v>
      </c>
      <c r="D437" s="459">
        <v>3374.02</v>
      </c>
      <c r="E437" s="423">
        <v>4</v>
      </c>
      <c r="F437" s="423">
        <v>4</v>
      </c>
      <c r="G437" s="460">
        <v>5942.4</v>
      </c>
      <c r="H437" s="424">
        <f t="shared" si="371"/>
      </c>
      <c r="I437" s="424">
        <f t="shared" si="21"/>
      </c>
      <c r="J437" s="424">
        <f t="shared" si="84"/>
      </c>
      <c r="K437" s="425">
        <f t="shared" si="122"/>
      </c>
      <c r="L437" s="426">
        <f t="shared" si="182"/>
      </c>
      <c r="M437" s="427">
        <f t="shared" si="152"/>
      </c>
      <c r="N437" s="427">
        <f t="shared" si="212"/>
      </c>
      <c r="O437" s="427">
        <f t="shared" si="265"/>
      </c>
      <c r="P437" s="428">
        <f t="shared" si="318"/>
      </c>
      <c r="Q437" s="429" t="s">
        <v>777</v>
      </c>
      <c r="R437" s="430" t="s">
        <v>778</v>
      </c>
      <c r="S437" s="436">
        <v>18752</v>
      </c>
      <c r="T437" s="436">
        <v>2448</v>
      </c>
      <c r="U437" s="436">
        <v>3416</v>
      </c>
      <c r="V437" s="436">
        <v>320</v>
      </c>
      <c r="W437" s="435">
        <v>4</v>
      </c>
      <c r="X437" s="435">
        <v>0</v>
      </c>
      <c r="Y437" s="448">
        <v>67</v>
      </c>
      <c r="Z437" s="486"/>
    </row>
    <row r="438">
      <c r="A438" s="420"/>
      <c r="B438" s="421" t="s">
        <v>789</v>
      </c>
      <c r="C438" s="451" t="s">
        <v>786</v>
      </c>
      <c r="D438" s="459">
        <v>1506.47</v>
      </c>
      <c r="E438" s="423">
        <v>2</v>
      </c>
      <c r="F438" s="423">
        <v>2</v>
      </c>
      <c r="G438" s="460">
        <v>1850.4</v>
      </c>
      <c r="H438" s="424">
        <f t="shared" si="371"/>
      </c>
      <c r="I438" s="424">
        <f t="shared" si="21"/>
      </c>
      <c r="J438" s="424">
        <f t="shared" si="84"/>
      </c>
      <c r="K438" s="425">
        <f t="shared" si="122"/>
      </c>
      <c r="L438" s="426">
        <f t="shared" si="182"/>
      </c>
      <c r="M438" s="427">
        <f t="shared" si="152"/>
      </c>
      <c r="N438" s="427">
        <f t="shared" si="212"/>
      </c>
      <c r="O438" s="427">
        <f t="shared" si="265"/>
      </c>
      <c r="P438" s="428">
        <f t="shared" si="318"/>
      </c>
      <c r="Q438" s="429" t="s">
        <v>777</v>
      </c>
      <c r="R438" s="430" t="s">
        <v>778</v>
      </c>
      <c r="S438" s="436">
        <v>8012</v>
      </c>
      <c r="T438" s="436">
        <v>1047</v>
      </c>
      <c r="U438" s="436">
        <v>1468</v>
      </c>
      <c r="V438" s="436">
        <v>132</v>
      </c>
      <c r="W438" s="435">
        <v>5</v>
      </c>
      <c r="X438" s="435">
        <v>0</v>
      </c>
      <c r="Y438" s="448">
        <v>27</v>
      </c>
      <c r="Z438" s="486"/>
    </row>
    <row r="439">
      <c r="A439" s="420"/>
      <c r="B439" s="437" t="s">
        <v>774</v>
      </c>
      <c r="C439" s="437"/>
      <c r="D439" s="438">
        <f>SUM(D434:D438)</f>
      </c>
      <c r="E439" s="438">
        <f>SUM(E434:E438)</f>
      </c>
      <c r="F439" s="438">
        <f>SUM(F434:F438)</f>
      </c>
      <c r="G439" s="438">
        <f>SUM(G434:G438)</f>
      </c>
      <c r="H439" s="440">
        <f t="shared" si="371"/>
      </c>
      <c r="I439" s="441">
        <f t="shared" si="21"/>
      </c>
      <c r="J439" s="442">
        <f t="shared" si="84"/>
      </c>
      <c r="K439" s="443">
        <f t="shared" si="122"/>
      </c>
      <c r="L439" s="444">
        <f t="shared" si="182"/>
      </c>
      <c r="M439" s="443">
        <f t="shared" si="152"/>
      </c>
      <c r="N439" s="443">
        <f t="shared" si="212"/>
      </c>
      <c r="O439" s="445">
        <f t="shared" si="265"/>
      </c>
      <c r="P439" s="446">
        <f t="shared" si="318"/>
      </c>
      <c r="Q439" s="444"/>
      <c r="R439" s="444"/>
      <c r="S439" s="447">
        <f>SUM(S434:S438)</f>
      </c>
      <c r="T439" s="447">
        <f>SUM(T434:T438)</f>
      </c>
      <c r="U439" s="447">
        <f>SUM(U434:U438)</f>
      </c>
      <c r="V439" s="447">
        <f>SUM(V434:V438)</f>
      </c>
      <c r="W439" s="447">
        <f>SUM(W434:W438)</f>
      </c>
      <c r="X439" s="447">
        <f>SUM(X434:X438)</f>
      </c>
      <c r="Y439" s="447">
        <f>SUM(Y434:Y438)</f>
      </c>
    </row>
    <row r="440">
      <c r="A440" s="420"/>
      <c r="B440" s="452" t="s">
        <v>787</v>
      </c>
      <c r="C440" s="452"/>
      <c r="D440" s="466">
        <f>D427+D439+D433</f>
      </c>
      <c r="E440" s="466">
        <f>E427+E439+E433</f>
      </c>
      <c r="F440" s="466">
        <f>F427+F439+F433</f>
      </c>
      <c r="G440" s="466">
        <f>G427+G439+G433</f>
      </c>
      <c r="H440" s="452">
        <f t="shared" si="371"/>
      </c>
      <c r="I440" s="452">
        <f t="shared" si="21"/>
      </c>
      <c r="J440" s="452">
        <f t="shared" si="84"/>
      </c>
      <c r="K440" s="455">
        <f t="shared" si="122"/>
      </c>
      <c r="L440" s="452">
        <f t="shared" si="182"/>
      </c>
      <c r="M440" s="455">
        <f t="shared" si="152"/>
      </c>
      <c r="N440" s="455">
        <f t="shared" si="212"/>
      </c>
      <c r="O440" s="455">
        <f t="shared" si="265"/>
      </c>
      <c r="P440" s="452">
        <f t="shared" si="318"/>
      </c>
      <c r="Q440" s="456"/>
      <c r="R440" s="456"/>
      <c r="S440" s="454">
        <f>S427+S439+S433</f>
      </c>
      <c r="T440" s="454">
        <f>T427+T439+T433</f>
      </c>
      <c r="U440" s="454">
        <f>U427+U439+U433</f>
      </c>
      <c r="V440" s="454">
        <f>V427+V439+V433</f>
      </c>
      <c r="W440" s="454">
        <f>W427+W439+W433</f>
      </c>
      <c r="X440" s="454">
        <f>X427+X439+X433</f>
      </c>
      <c r="Y440" s="454">
        <f>Y427+Y439+Y433</f>
      </c>
    </row>
    <row r="441">
      <c r="A441" s="405" t="s">
        <v>738</v>
      </c>
      <c r="B441" s="405"/>
      <c r="C441" s="405"/>
      <c r="D441" s="406" t="s">
        <v>739</v>
      </c>
      <c r="E441" s="406"/>
      <c r="F441" s="406"/>
      <c r="G441" s="406"/>
      <c r="H441" s="406"/>
      <c r="I441" s="406"/>
      <c r="J441" s="406"/>
      <c r="K441" s="407" t="s">
        <v>740</v>
      </c>
      <c r="L441" s="407"/>
      <c r="M441" s="407"/>
      <c r="N441" s="407"/>
      <c r="O441" s="407"/>
      <c r="P441" s="407"/>
      <c r="Q441" s="407"/>
      <c r="R441" s="407"/>
      <c r="S441" s="408" t="s">
        <v>741</v>
      </c>
      <c r="T441" s="408"/>
      <c r="U441" s="408"/>
      <c r="V441" s="408"/>
      <c r="W441" s="408"/>
      <c r="X441" s="408"/>
      <c r="Y441" s="408"/>
    </row>
    <row r="442">
      <c r="A442" s="409" t="s">
        <v>742</v>
      </c>
      <c r="B442" s="409" t="s">
        <v>743</v>
      </c>
      <c r="C442" s="409" t="s">
        <v>744</v>
      </c>
      <c r="D442" s="410" t="s">
        <v>745</v>
      </c>
      <c r="E442" s="411" t="s">
        <v>746</v>
      </c>
      <c r="F442" s="463" t="s">
        <v>792</v>
      </c>
      <c r="G442" s="410" t="s">
        <v>747</v>
      </c>
      <c r="H442" s="412" t="s">
        <v>748</v>
      </c>
      <c r="I442" s="413" t="s">
        <v>749</v>
      </c>
      <c r="J442" s="410" t="s">
        <v>750</v>
      </c>
      <c r="K442" s="414" t="s">
        <v>751</v>
      </c>
      <c r="L442" s="415" t="s">
        <v>752</v>
      </c>
      <c r="M442" s="414" t="s">
        <v>753</v>
      </c>
      <c r="N442" s="414" t="s">
        <v>754</v>
      </c>
      <c r="O442" s="416" t="s">
        <v>755</v>
      </c>
      <c r="P442" s="416" t="s">
        <v>756</v>
      </c>
      <c r="Q442" s="417" t="s">
        <v>757</v>
      </c>
      <c r="R442" s="417" t="s">
        <v>758</v>
      </c>
      <c r="S442" s="431" t="s">
        <v>759</v>
      </c>
      <c r="T442" s="431" t="s">
        <v>760</v>
      </c>
      <c r="U442" s="431" t="s">
        <v>761</v>
      </c>
      <c r="V442" s="431" t="s">
        <v>762</v>
      </c>
      <c r="W442" s="431" t="s">
        <v>763</v>
      </c>
      <c r="X442" s="431" t="s">
        <v>764</v>
      </c>
      <c r="Y442" s="419" t="s">
        <v>765</v>
      </c>
    </row>
    <row r="443">
      <c r="A443" s="420" t="s">
        <v>860</v>
      </c>
      <c r="B443" s="421" t="s">
        <v>775</v>
      </c>
      <c r="C443" s="451" t="s">
        <v>794</v>
      </c>
      <c r="D443" s="421">
        <v>2284.07</v>
      </c>
      <c r="E443" s="423">
        <v>0</v>
      </c>
      <c r="F443" s="423">
        <v>0</v>
      </c>
      <c r="G443" s="467">
        <v>0</v>
      </c>
      <c r="H443" s="424">
        <f t="shared" ref="H443:H462" si="372">G443/D443</f>
      </c>
      <c r="I443" s="424">
        <f>D443/E443</f>
      </c>
      <c r="J443" s="424">
        <f>G443/E443</f>
      </c>
      <c r="K443" s="425">
        <f t="shared" ref="K443:K462" si="123">T443/S443</f>
      </c>
      <c r="L443" s="426">
        <f t="shared" ref="L443:L462" si="183">D443/U443</f>
      </c>
      <c r="M443" s="427">
        <f t="shared" ref="M443:M462" si="153">V443/U443</f>
      </c>
      <c r="N443" s="427">
        <f t="shared" ref="N443:N462" si="213">E443/W443</f>
      </c>
      <c r="O443" s="427">
        <f t="shared" ref="O443:O462" si="266">X443/E443</f>
      </c>
      <c r="P443" s="428">
        <f t="shared" ref="P443:P462" si="319">(Y443*1000)/D443</f>
      </c>
      <c r="Q443" s="429" t="s">
        <v>769</v>
      </c>
      <c r="R443" s="430" t="s">
        <v>800</v>
      </c>
      <c r="S443" s="461">
        <v>9587</v>
      </c>
      <c r="T443" s="461">
        <v>1360</v>
      </c>
      <c r="U443" s="461">
        <v>1985</v>
      </c>
      <c r="V443" s="461">
        <v>287</v>
      </c>
      <c r="W443" s="461">
        <v>3</v>
      </c>
      <c r="X443" s="461">
        <v>0</v>
      </c>
      <c r="Y443" s="461">
        <v>63</v>
      </c>
    </row>
    <row r="444">
      <c r="A444" s="420"/>
      <c r="B444" s="421" t="s">
        <v>775</v>
      </c>
      <c r="C444" s="421" t="s">
        <v>796</v>
      </c>
      <c r="D444" s="421">
        <v>2524.27</v>
      </c>
      <c r="E444" s="423">
        <v>1</v>
      </c>
      <c r="F444" s="423">
        <v>1</v>
      </c>
      <c r="G444" s="467">
        <v>652.8</v>
      </c>
      <c r="H444" s="424">
        <f t="shared" si="372"/>
      </c>
      <c r="I444" s="424">
        <v>2161</v>
      </c>
      <c r="J444" s="424">
        <v>234</v>
      </c>
      <c r="K444" s="425">
        <f t="shared" si="123"/>
      </c>
      <c r="L444" s="426">
        <f t="shared" si="183"/>
      </c>
      <c r="M444" s="427">
        <f t="shared" si="153"/>
      </c>
      <c r="N444" s="427">
        <f t="shared" si="213"/>
      </c>
      <c r="O444" s="427">
        <f t="shared" si="266"/>
      </c>
      <c r="P444" s="428">
        <f t="shared" si="319"/>
      </c>
      <c r="Q444" s="429" t="s">
        <v>769</v>
      </c>
      <c r="R444" s="430" t="s">
        <v>800</v>
      </c>
      <c r="S444" s="461">
        <v>9711</v>
      </c>
      <c r="T444" s="461">
        <v>1508</v>
      </c>
      <c r="U444" s="461">
        <v>2144</v>
      </c>
      <c r="V444" s="461">
        <v>268</v>
      </c>
      <c r="W444" s="461">
        <v>4</v>
      </c>
      <c r="X444" s="461">
        <v>0</v>
      </c>
      <c r="Y444" s="461">
        <v>47</v>
      </c>
    </row>
    <row r="445">
      <c r="A445" s="420"/>
      <c r="B445" s="421" t="s">
        <v>775</v>
      </c>
      <c r="C445" s="421" t="s">
        <v>797</v>
      </c>
      <c r="D445" s="421">
        <v>2940.82</v>
      </c>
      <c r="E445" s="423">
        <v>1</v>
      </c>
      <c r="F445" s="423">
        <v>1</v>
      </c>
      <c r="G445" s="467">
        <v>1098</v>
      </c>
      <c r="H445" s="424">
        <f t="shared" si="372"/>
      </c>
      <c r="I445" s="424">
        <f t="shared" ref="I445:I462" si="22">D445/E445</f>
      </c>
      <c r="J445" s="424">
        <f t="shared" ref="J445:J462" si="85">G445/E445</f>
      </c>
      <c r="K445" s="425">
        <f t="shared" si="123"/>
      </c>
      <c r="L445" s="426">
        <f t="shared" si="183"/>
      </c>
      <c r="M445" s="427">
        <f t="shared" si="153"/>
      </c>
      <c r="N445" s="427">
        <f t="shared" si="213"/>
      </c>
      <c r="O445" s="427">
        <f t="shared" si="266"/>
      </c>
      <c r="P445" s="428">
        <f t="shared" si="319"/>
      </c>
      <c r="Q445" s="429" t="s">
        <v>769</v>
      </c>
      <c r="R445" s="430" t="s">
        <v>800</v>
      </c>
      <c r="S445" s="461">
        <v>9756</v>
      </c>
      <c r="T445" s="461">
        <v>1245</v>
      </c>
      <c r="U445" s="461">
        <v>1671</v>
      </c>
      <c r="V445" s="461">
        <v>223</v>
      </c>
      <c r="W445" s="461">
        <v>3</v>
      </c>
      <c r="X445" s="461">
        <v>0</v>
      </c>
      <c r="Y445" s="461">
        <v>25</v>
      </c>
      <c r="AA445" s="487" t="s">
        <v>855</v>
      </c>
      <c r="AB445" s="487"/>
      <c r="AC445" s="487"/>
      <c r="AD445" s="487"/>
      <c r="AE445" s="487"/>
      <c r="AF445" s="487"/>
      <c r="AG445" s="487"/>
      <c r="AH445" s="487"/>
      <c r="AI445" s="487"/>
      <c r="AJ445" s="487"/>
      <c r="AK445" s="487"/>
    </row>
    <row r="446">
      <c r="A446" s="420"/>
      <c r="B446" s="421" t="s">
        <v>775</v>
      </c>
      <c r="C446" s="421" t="s">
        <v>798</v>
      </c>
      <c r="D446" s="421">
        <v>2064.71</v>
      </c>
      <c r="E446" s="423">
        <v>1</v>
      </c>
      <c r="F446" s="423">
        <v>1</v>
      </c>
      <c r="G446" s="462">
        <v>1098</v>
      </c>
      <c r="H446" s="424">
        <f t="shared" si="372"/>
      </c>
      <c r="I446" s="424">
        <f t="shared" si="22"/>
      </c>
      <c r="J446" s="424">
        <f t="shared" si="85"/>
      </c>
      <c r="K446" s="425">
        <f t="shared" si="123"/>
      </c>
      <c r="L446" s="426">
        <f t="shared" si="183"/>
      </c>
      <c r="M446" s="427">
        <f t="shared" si="153"/>
      </c>
      <c r="N446" s="427">
        <f t="shared" si="213"/>
      </c>
      <c r="O446" s="427">
        <f t="shared" si="266"/>
      </c>
      <c r="P446" s="428">
        <f t="shared" si="319"/>
      </c>
      <c r="Q446" s="429" t="s">
        <v>769</v>
      </c>
      <c r="R446" s="430" t="s">
        <v>800</v>
      </c>
      <c r="S446" s="461">
        <v>8738</v>
      </c>
      <c r="T446" s="461">
        <v>768</v>
      </c>
      <c r="U446" s="461">
        <v>1013</v>
      </c>
      <c r="V446" s="461">
        <v>108</v>
      </c>
      <c r="W446" s="461">
        <v>1</v>
      </c>
      <c r="X446" s="435">
        <v>0</v>
      </c>
      <c r="Y446" s="435">
        <v>20</v>
      </c>
      <c r="AA446" s="489" t="s">
        <v>806</v>
      </c>
      <c r="AB446" s="489" t="s">
        <v>807</v>
      </c>
      <c r="AC446" s="489" t="s">
        <v>808</v>
      </c>
      <c r="AD446" s="489" t="s">
        <v>809</v>
      </c>
      <c r="AE446" s="489" t="s">
        <v>810</v>
      </c>
      <c r="AF446" s="489" t="s">
        <v>811</v>
      </c>
      <c r="AG446" s="489" t="s">
        <v>750</v>
      </c>
      <c r="AH446" s="489" t="s">
        <v>812</v>
      </c>
      <c r="AI446" s="489" t="s">
        <v>748</v>
      </c>
      <c r="AJ446" s="489" t="s">
        <v>813</v>
      </c>
      <c r="AK446" s="489"/>
    </row>
    <row r="447">
      <c r="A447" s="420"/>
      <c r="B447" s="437" t="s">
        <v>774</v>
      </c>
      <c r="C447" s="437"/>
      <c r="D447" s="438">
        <f>SUM(D443:D446)</f>
      </c>
      <c r="E447" s="438">
        <f>SUM(E443:E446)</f>
      </c>
      <c r="F447" s="438">
        <f>SUM(F443:F446)</f>
      </c>
      <c r="G447" s="438">
        <f>SUM(G443:G446)</f>
      </c>
      <c r="H447" s="440">
        <f t="shared" si="372"/>
      </c>
      <c r="I447" s="441">
        <f t="shared" si="22"/>
      </c>
      <c r="J447" s="442">
        <f t="shared" si="85"/>
      </c>
      <c r="K447" s="443">
        <f t="shared" si="123"/>
      </c>
      <c r="L447" s="444">
        <f t="shared" si="183"/>
      </c>
      <c r="M447" s="443">
        <f t="shared" si="153"/>
      </c>
      <c r="N447" s="443">
        <f t="shared" si="213"/>
      </c>
      <c r="O447" s="445">
        <f t="shared" si="266"/>
      </c>
      <c r="P447" s="446">
        <f t="shared" si="319"/>
      </c>
      <c r="Q447" s="444"/>
      <c r="R447" s="444"/>
      <c r="S447" s="447">
        <f>SUM(S443:S446)</f>
      </c>
      <c r="T447" s="447">
        <f>SUM(T443:T446)</f>
      </c>
      <c r="U447" s="447">
        <f>SUM(U443:U446)</f>
      </c>
      <c r="V447" s="447">
        <f>SUM(V443:V446)</f>
      </c>
      <c r="W447" s="447">
        <f>SUM(W443:W446)</f>
      </c>
      <c r="X447" s="447">
        <f>SUM(X443:X446)</f>
      </c>
      <c r="Y447" s="447">
        <f>SUM(Y443:Y446)</f>
      </c>
      <c r="AA447" s="490" t="s">
        <v>775</v>
      </c>
      <c r="AB447" s="496" t="s">
        <v>814</v>
      </c>
      <c r="AC447" s="490">
        <v>4</v>
      </c>
      <c r="AD447" s="490">
        <v>9813.87</v>
      </c>
      <c r="AE447" s="490">
        <v>2848.8</v>
      </c>
      <c r="AF447" s="490">
        <v>3</v>
      </c>
      <c r="AG447" s="493">
        <f t="shared" ref="AG447:AG449" si="236">AE447/AF447</f>
      </c>
      <c r="AH447" s="493">
        <f t="shared" ref="AH447:AH449" si="289">AD447/AF447</f>
      </c>
      <c r="AI447" s="493">
        <f t="shared" ref="AI447:AI449" si="342">AE447/AD447</f>
      </c>
      <c r="AJ447" s="492">
        <f>AD447/AC447</f>
      </c>
      <c r="AK447" s="492"/>
    </row>
    <row customHeight="true" ht="20.238095238095237" r="448">
      <c r="A448" s="420"/>
      <c r="B448" s="421" t="s">
        <v>789</v>
      </c>
      <c r="C448" s="433" t="s">
        <v>768</v>
      </c>
      <c r="D448" s="459">
        <v>3040.13</v>
      </c>
      <c r="E448" s="423">
        <v>2</v>
      </c>
      <c r="F448" s="423">
        <v>2</v>
      </c>
      <c r="G448" s="460">
        <v>4451.2</v>
      </c>
      <c r="H448" s="424">
        <f t="shared" si="372"/>
      </c>
      <c r="I448" s="424">
        <f t="shared" si="22"/>
      </c>
      <c r="J448" s="424">
        <f t="shared" si="85"/>
      </c>
      <c r="K448" s="425">
        <f t="shared" si="123"/>
      </c>
      <c r="L448" s="426">
        <f t="shared" si="183"/>
      </c>
      <c r="M448" s="427">
        <f t="shared" si="153"/>
      </c>
      <c r="N448" s="427">
        <f t="shared" si="213"/>
      </c>
      <c r="O448" s="427">
        <f t="shared" si="266"/>
      </c>
      <c r="P448" s="428">
        <f t="shared" si="319"/>
      </c>
      <c r="Q448" s="429" t="s">
        <v>769</v>
      </c>
      <c r="R448" s="430" t="s">
        <v>800</v>
      </c>
      <c r="S448" s="436">
        <v>11197</v>
      </c>
      <c r="T448" s="436">
        <v>790</v>
      </c>
      <c r="U448" s="436">
        <v>988</v>
      </c>
      <c r="V448" s="436">
        <v>120</v>
      </c>
      <c r="W448" s="435">
        <v>5</v>
      </c>
      <c r="X448" s="435">
        <v>1</v>
      </c>
      <c r="Y448" s="448">
        <v>32</v>
      </c>
      <c r="AA448" s="490" t="s">
        <v>789</v>
      </c>
      <c r="AB448" s="496" t="s">
        <v>861</v>
      </c>
      <c r="AC448" s="490">
        <v>6</v>
      </c>
      <c r="AD448" s="490">
        <v>14887.29</v>
      </c>
      <c r="AE448" s="490">
        <v>22229.2</v>
      </c>
      <c r="AF448" s="490">
        <v>13</v>
      </c>
      <c r="AG448" s="493">
        <f t="shared" si="236"/>
      </c>
      <c r="AH448" s="493">
        <f t="shared" si="289"/>
      </c>
      <c r="AI448" s="493">
        <f t="shared" si="342"/>
      </c>
      <c r="AJ448" s="492">
        <f t="shared" ref="AJ448:AJ449" si="53">AD448/4</f>
      </c>
      <c r="AK448" s="492"/>
    </row>
    <row r="449">
      <c r="A449" s="420"/>
      <c r="B449" s="421" t="s">
        <v>789</v>
      </c>
      <c r="C449" s="433" t="s">
        <v>771</v>
      </c>
      <c r="D449" s="459">
        <v>3128.51</v>
      </c>
      <c r="E449" s="423">
        <v>4</v>
      </c>
      <c r="F449" s="423">
        <v>1</v>
      </c>
      <c r="G449" s="460">
        <v>5742</v>
      </c>
      <c r="H449" s="424">
        <f t="shared" si="372"/>
      </c>
      <c r="I449" s="424">
        <f t="shared" si="22"/>
      </c>
      <c r="J449" s="424">
        <f t="shared" si="85"/>
      </c>
      <c r="K449" s="425">
        <f t="shared" si="123"/>
      </c>
      <c r="L449" s="426">
        <f t="shared" si="183"/>
      </c>
      <c r="M449" s="427">
        <f t="shared" si="153"/>
      </c>
      <c r="N449" s="427">
        <f t="shared" si="213"/>
      </c>
      <c r="O449" s="427">
        <f t="shared" si="266"/>
      </c>
      <c r="P449" s="428">
        <f t="shared" si="319"/>
      </c>
      <c r="Q449" s="429" t="s">
        <v>769</v>
      </c>
      <c r="R449" s="430" t="s">
        <v>800</v>
      </c>
      <c r="S449" s="436">
        <v>13628</v>
      </c>
      <c r="T449" s="436">
        <v>766</v>
      </c>
      <c r="U449" s="436">
        <v>1003</v>
      </c>
      <c r="V449" s="436">
        <v>132</v>
      </c>
      <c r="W449" s="435">
        <v>4</v>
      </c>
      <c r="X449" s="435">
        <v>1</v>
      </c>
      <c r="Y449" s="448">
        <v>49</v>
      </c>
      <c r="AA449" s="490" t="s">
        <v>782</v>
      </c>
      <c r="AB449" s="496" t="s">
        <v>847</v>
      </c>
      <c r="AC449" s="490">
        <v>6</v>
      </c>
      <c r="AD449" s="490">
        <v>17704.87</v>
      </c>
      <c r="AE449" s="490">
        <v>34077.2</v>
      </c>
      <c r="AF449" s="490">
        <v>24</v>
      </c>
      <c r="AG449" s="493">
        <f t="shared" si="236"/>
      </c>
      <c r="AH449" s="493">
        <f t="shared" si="289"/>
      </c>
      <c r="AI449" s="493">
        <f t="shared" si="342"/>
      </c>
      <c r="AJ449" s="492">
        <f t="shared" si="53"/>
      </c>
      <c r="AK449" s="492"/>
    </row>
    <row r="450">
      <c r="A450" s="420"/>
      <c r="B450" s="421" t="s">
        <v>789</v>
      </c>
      <c r="C450" s="433" t="s">
        <v>772</v>
      </c>
      <c r="D450" s="459">
        <v>2807.02</v>
      </c>
      <c r="E450" s="423">
        <v>3</v>
      </c>
      <c r="F450" s="423">
        <v>2</v>
      </c>
      <c r="G450" s="460">
        <v>5239</v>
      </c>
      <c r="H450" s="424">
        <f t="shared" si="372"/>
      </c>
      <c r="I450" s="424">
        <f t="shared" si="22"/>
      </c>
      <c r="J450" s="424">
        <f t="shared" si="85"/>
      </c>
      <c r="K450" s="425">
        <f t="shared" si="123"/>
      </c>
      <c r="L450" s="426">
        <f t="shared" si="183"/>
      </c>
      <c r="M450" s="427">
        <f t="shared" si="153"/>
      </c>
      <c r="N450" s="427">
        <f t="shared" si="213"/>
      </c>
      <c r="O450" s="427">
        <f t="shared" si="266"/>
      </c>
      <c r="P450" s="428">
        <f t="shared" si="319"/>
      </c>
      <c r="Q450" s="429" t="s">
        <v>769</v>
      </c>
      <c r="R450" s="430" t="s">
        <v>800</v>
      </c>
      <c r="S450" s="436">
        <v>8949</v>
      </c>
      <c r="T450" s="436">
        <v>622</v>
      </c>
      <c r="U450" s="436">
        <v>848</v>
      </c>
      <c r="V450" s="436">
        <v>99</v>
      </c>
      <c r="W450" s="435">
        <v>3</v>
      </c>
      <c r="X450" s="435">
        <v>0</v>
      </c>
      <c r="Y450" s="448">
        <v>36</v>
      </c>
      <c r="Z450" s="486"/>
      <c r="AA450" s="495" t="s">
        <v>819</v>
      </c>
      <c r="AB450" s="495"/>
      <c r="AC450" s="495"/>
      <c r="AD450" s="495"/>
      <c r="AE450" s="495"/>
      <c r="AF450" s="495"/>
      <c r="AG450" s="495"/>
      <c r="AH450" s="495"/>
      <c r="AI450" s="495"/>
      <c r="AJ450" s="495"/>
      <c r="AK450" s="495"/>
    </row>
    <row r="451">
      <c r="A451" s="420"/>
      <c r="B451" s="421" t="s">
        <v>789</v>
      </c>
      <c r="C451" s="433" t="s">
        <v>773</v>
      </c>
      <c r="D451" s="459">
        <v>2091.3</v>
      </c>
      <c r="E451" s="423">
        <v>2</v>
      </c>
      <c r="F451" s="423">
        <v>2</v>
      </c>
      <c r="G451" s="460">
        <v>3451</v>
      </c>
      <c r="H451" s="424">
        <f t="shared" si="372"/>
      </c>
      <c r="I451" s="424">
        <f t="shared" si="22"/>
      </c>
      <c r="J451" s="424">
        <f t="shared" si="85"/>
      </c>
      <c r="K451" s="425">
        <f t="shared" si="123"/>
      </c>
      <c r="L451" s="426">
        <f t="shared" si="183"/>
      </c>
      <c r="M451" s="427">
        <f t="shared" si="153"/>
      </c>
      <c r="N451" s="427">
        <f t="shared" si="213"/>
      </c>
      <c r="O451" s="427">
        <f t="shared" si="266"/>
      </c>
      <c r="P451" s="428">
        <f t="shared" si="319"/>
      </c>
      <c r="Q451" s="429" t="s">
        <v>769</v>
      </c>
      <c r="R451" s="430" t="s">
        <v>800</v>
      </c>
      <c r="S451" s="436">
        <v>5255</v>
      </c>
      <c r="T451" s="436">
        <v>589</v>
      </c>
      <c r="U451" s="436">
        <v>784</v>
      </c>
      <c r="V451" s="436">
        <v>100</v>
      </c>
      <c r="W451" s="435">
        <v>2</v>
      </c>
      <c r="X451" s="435">
        <v>0</v>
      </c>
      <c r="Y451" s="448">
        <v>16</v>
      </c>
      <c r="Z451" s="486"/>
      <c r="AA451" s="478" t="s">
        <v>809</v>
      </c>
      <c r="AB451" s="478" t="s">
        <v>820</v>
      </c>
      <c r="AC451" s="479" t="s">
        <v>821</v>
      </c>
      <c r="AD451" s="478" t="s">
        <v>822</v>
      </c>
      <c r="AE451" s="478" t="s">
        <v>823</v>
      </c>
      <c r="AF451" s="478" t="s">
        <v>824</v>
      </c>
      <c r="AG451" s="478" t="s">
        <v>825</v>
      </c>
      <c r="AH451" s="480" t="s">
        <v>764</v>
      </c>
      <c r="AI451" s="480" t="s">
        <v>826</v>
      </c>
      <c r="AJ451" s="480" t="s">
        <v>827</v>
      </c>
      <c r="AK451" s="480" t="s">
        <v>808</v>
      </c>
    </row>
    <row r="452">
      <c r="A452" s="420"/>
      <c r="B452" s="421" t="s">
        <v>789</v>
      </c>
      <c r="C452" s="433" t="s">
        <v>776</v>
      </c>
      <c r="D452" s="459">
        <v>1890.64</v>
      </c>
      <c r="E452" s="423">
        <v>2</v>
      </c>
      <c r="F452" s="423">
        <v>2</v>
      </c>
      <c r="G452" s="460">
        <v>3346</v>
      </c>
      <c r="H452" s="424">
        <f t="shared" si="372"/>
      </c>
      <c r="I452" s="424">
        <f t="shared" si="22"/>
      </c>
      <c r="J452" s="424">
        <f t="shared" si="85"/>
      </c>
      <c r="K452" s="425">
        <f t="shared" si="123"/>
      </c>
      <c r="L452" s="426">
        <f t="shared" si="183"/>
      </c>
      <c r="M452" s="427">
        <f t="shared" si="153"/>
      </c>
      <c r="N452" s="427">
        <f t="shared" si="213"/>
      </c>
      <c r="O452" s="427">
        <f t="shared" si="266"/>
      </c>
      <c r="P452" s="428">
        <f t="shared" si="319"/>
      </c>
      <c r="Q452" s="429" t="s">
        <v>777</v>
      </c>
      <c r="R452" s="430" t="s">
        <v>778</v>
      </c>
      <c r="S452" s="436">
        <v>5610</v>
      </c>
      <c r="T452" s="436">
        <v>617</v>
      </c>
      <c r="U452" s="436">
        <v>818</v>
      </c>
      <c r="V452" s="436">
        <v>120</v>
      </c>
      <c r="W452" s="435">
        <v>5</v>
      </c>
      <c r="X452" s="435">
        <v>0</v>
      </c>
      <c r="Y452" s="448">
        <v>39</v>
      </c>
      <c r="Z452" s="486"/>
      <c r="AA452" s="465">
        <f>SUM(AD447:AD449)</f>
      </c>
      <c r="AB452" s="465">
        <f>SUM(AE447:AE449)</f>
      </c>
      <c r="AC452" s="481">
        <f>AB452/((AK452*300)+AA452)</f>
      </c>
      <c r="AD452" s="482">
        <f>AA452/AJ452</f>
      </c>
      <c r="AE452" s="481">
        <f>AB452/AJ452</f>
      </c>
      <c r="AF452" s="483">
        <f>AJ452/AI452</f>
      </c>
      <c r="AG452" s="483">
        <f>AH452/AJ452</f>
      </c>
      <c r="AH452" s="484">
        <v>5</v>
      </c>
      <c r="AI452" s="484">
        <v>62</v>
      </c>
      <c r="AJ452" s="485">
        <f>SUM(AF447:AF449)</f>
      </c>
      <c r="AK452" s="485">
        <f>SUM(AC447:AC449)</f>
      </c>
    </row>
    <row r="453">
      <c r="A453" s="420"/>
      <c r="B453" s="421" t="s">
        <v>789</v>
      </c>
      <c r="C453" s="422" t="s">
        <v>779</v>
      </c>
      <c r="D453" s="459">
        <v>1929.69</v>
      </c>
      <c r="E453" s="423">
        <v>0</v>
      </c>
      <c r="F453" s="423">
        <v>0</v>
      </c>
      <c r="G453" s="460">
        <v>0</v>
      </c>
      <c r="H453" s="424">
        <f t="shared" si="372"/>
      </c>
      <c r="I453" s="424">
        <f t="shared" si="22"/>
      </c>
      <c r="J453" s="424">
        <f t="shared" si="85"/>
      </c>
      <c r="K453" s="425">
        <f t="shared" si="123"/>
      </c>
      <c r="L453" s="426">
        <f t="shared" si="183"/>
      </c>
      <c r="M453" s="427">
        <f t="shared" si="153"/>
      </c>
      <c r="N453" s="427">
        <f t="shared" si="213"/>
      </c>
      <c r="O453" s="427">
        <f t="shared" si="266"/>
      </c>
      <c r="P453" s="428">
        <f t="shared" si="319"/>
      </c>
      <c r="Q453" s="429" t="s">
        <v>777</v>
      </c>
      <c r="R453" s="430" t="s">
        <v>778</v>
      </c>
      <c r="S453" s="436">
        <v>6843</v>
      </c>
      <c r="T453" s="436">
        <v>745</v>
      </c>
      <c r="U453" s="436">
        <v>1027</v>
      </c>
      <c r="V453" s="436">
        <v>119</v>
      </c>
      <c r="W453" s="435">
        <v>1</v>
      </c>
      <c r="X453" s="435">
        <v>0</v>
      </c>
      <c r="Y453" s="448">
        <v>39</v>
      </c>
      <c r="Z453" s="486"/>
    </row>
    <row customHeight="true" ht="16.666666666666668" r="454">
      <c r="A454" s="420"/>
      <c r="B454" s="437" t="s">
        <v>774</v>
      </c>
      <c r="C454" s="437"/>
      <c r="D454" s="438">
        <f>SUM(D448:D453)</f>
      </c>
      <c r="E454" s="438">
        <f>SUM(E448:E453)</f>
      </c>
      <c r="F454" s="438">
        <f>SUM(F448:F453)</f>
      </c>
      <c r="G454" s="438">
        <f>SUM(G448:G453)</f>
      </c>
      <c r="H454" s="440">
        <f t="shared" si="372"/>
      </c>
      <c r="I454" s="441">
        <f t="shared" si="22"/>
      </c>
      <c r="J454" s="442">
        <f t="shared" si="85"/>
      </c>
      <c r="K454" s="443">
        <f t="shared" si="123"/>
      </c>
      <c r="L454" s="444">
        <f t="shared" si="183"/>
      </c>
      <c r="M454" s="443">
        <f t="shared" si="153"/>
      </c>
      <c r="N454" s="443">
        <f t="shared" si="213"/>
      </c>
      <c r="O454" s="445">
        <f t="shared" si="266"/>
      </c>
      <c r="P454" s="446">
        <f t="shared" si="319"/>
      </c>
      <c r="Q454" s="444"/>
      <c r="R454" s="444"/>
      <c r="S454" s="447">
        <f>SUM(S448:S453)</f>
      </c>
      <c r="T454" s="447">
        <f>SUM(T448:T453)</f>
      </c>
      <c r="U454" s="447">
        <f>SUM(U448:U453)</f>
      </c>
      <c r="V454" s="447">
        <f>SUM(V448:V453)</f>
      </c>
      <c r="W454" s="447">
        <f>SUM(W448:W453)</f>
      </c>
      <c r="X454" s="447">
        <f>SUM(X448:X453)</f>
      </c>
      <c r="Y454" s="447">
        <f>SUM(Y448:Y453)</f>
      </c>
      <c r="Z454" s="486"/>
    </row>
    <row customHeight="true" ht="16.666666666666668" r="455">
      <c r="A455" s="420"/>
      <c r="B455" s="421" t="s">
        <v>782</v>
      </c>
      <c r="C455" s="422" t="s">
        <v>780</v>
      </c>
      <c r="D455" s="459">
        <v>2241.03</v>
      </c>
      <c r="E455" s="423">
        <v>6</v>
      </c>
      <c r="F455" s="423">
        <v>3</v>
      </c>
      <c r="G455" s="460">
        <v>7379.6</v>
      </c>
      <c r="H455" s="424">
        <f t="shared" si="372"/>
      </c>
      <c r="I455" s="424">
        <f t="shared" si="22"/>
      </c>
      <c r="J455" s="424">
        <f t="shared" si="85"/>
      </c>
      <c r="K455" s="425">
        <f t="shared" si="123"/>
      </c>
      <c r="L455" s="426">
        <f t="shared" si="183"/>
      </c>
      <c r="M455" s="427">
        <f t="shared" si="153"/>
      </c>
      <c r="N455" s="427">
        <f t="shared" si="213"/>
      </c>
      <c r="O455" s="427">
        <f t="shared" si="266"/>
      </c>
      <c r="P455" s="428">
        <f t="shared" si="319"/>
      </c>
      <c r="Q455" s="429" t="s">
        <v>777</v>
      </c>
      <c r="R455" s="430" t="s">
        <v>778</v>
      </c>
      <c r="S455" s="436">
        <v>6523</v>
      </c>
      <c r="T455" s="436">
        <v>824</v>
      </c>
      <c r="U455" s="436">
        <v>1125</v>
      </c>
      <c r="V455" s="436">
        <v>168</v>
      </c>
      <c r="W455" s="435">
        <v>11</v>
      </c>
      <c r="X455" s="435">
        <v>1</v>
      </c>
      <c r="Y455" s="448">
        <v>28</v>
      </c>
      <c r="Z455" s="486"/>
    </row>
    <row r="456">
      <c r="A456" s="420"/>
      <c r="B456" s="421" t="s">
        <v>782</v>
      </c>
      <c r="C456" s="422" t="s">
        <v>781</v>
      </c>
      <c r="D456" s="459">
        <v>2529.34</v>
      </c>
      <c r="E456" s="423">
        <v>5</v>
      </c>
      <c r="F456" s="423">
        <v>4</v>
      </c>
      <c r="G456" s="460">
        <v>7960.4</v>
      </c>
      <c r="H456" s="424">
        <f t="shared" si="372"/>
      </c>
      <c r="I456" s="424">
        <f t="shared" si="22"/>
      </c>
      <c r="J456" s="424">
        <f t="shared" si="85"/>
      </c>
      <c r="K456" s="425">
        <f t="shared" si="123"/>
      </c>
      <c r="L456" s="426">
        <f t="shared" si="183"/>
      </c>
      <c r="M456" s="427">
        <f t="shared" si="153"/>
      </c>
      <c r="N456" s="427">
        <f t="shared" si="213"/>
      </c>
      <c r="O456" s="427">
        <f t="shared" si="266"/>
      </c>
      <c r="P456" s="428">
        <f t="shared" si="319"/>
      </c>
      <c r="Q456" s="429" t="s">
        <v>777</v>
      </c>
      <c r="R456" s="430" t="s">
        <v>778</v>
      </c>
      <c r="S456" s="436">
        <v>6733</v>
      </c>
      <c r="T456" s="436">
        <v>871</v>
      </c>
      <c r="U456" s="436">
        <v>1226</v>
      </c>
      <c r="V456" s="436">
        <v>162</v>
      </c>
      <c r="W456" s="435">
        <v>6</v>
      </c>
      <c r="X456" s="435">
        <v>1</v>
      </c>
      <c r="Y456" s="448">
        <v>42</v>
      </c>
      <c r="Z456" s="486"/>
    </row>
    <row r="457">
      <c r="A457" s="420"/>
      <c r="B457" s="421" t="s">
        <v>782</v>
      </c>
      <c r="C457" s="422" t="s">
        <v>783</v>
      </c>
      <c r="D457" s="459">
        <v>4409.69</v>
      </c>
      <c r="E457" s="423">
        <v>4</v>
      </c>
      <c r="F457" s="423">
        <v>4</v>
      </c>
      <c r="G457" s="460">
        <v>4931.2</v>
      </c>
      <c r="H457" s="424">
        <f t="shared" si="372"/>
      </c>
      <c r="I457" s="424">
        <f t="shared" si="22"/>
      </c>
      <c r="J457" s="424">
        <f t="shared" si="85"/>
      </c>
      <c r="K457" s="425">
        <f t="shared" si="123"/>
      </c>
      <c r="L457" s="426">
        <f t="shared" si="183"/>
      </c>
      <c r="M457" s="427">
        <f t="shared" si="153"/>
      </c>
      <c r="N457" s="427">
        <f t="shared" si="213"/>
      </c>
      <c r="O457" s="427">
        <f t="shared" si="266"/>
      </c>
      <c r="P457" s="428">
        <f t="shared" si="319"/>
      </c>
      <c r="Q457" s="429" t="s">
        <v>777</v>
      </c>
      <c r="R457" s="430" t="s">
        <v>778</v>
      </c>
      <c r="S457" s="436">
        <v>8256</v>
      </c>
      <c r="T457" s="436">
        <v>1082</v>
      </c>
      <c r="U457" s="436">
        <v>1417</v>
      </c>
      <c r="V457" s="436">
        <v>167</v>
      </c>
      <c r="W457" s="435">
        <v>5</v>
      </c>
      <c r="X457" s="435">
        <v>0</v>
      </c>
      <c r="Y457" s="448">
        <v>29</v>
      </c>
      <c r="Z457" s="486"/>
    </row>
    <row r="458">
      <c r="A458" s="420"/>
      <c r="B458" s="421" t="s">
        <v>782</v>
      </c>
      <c r="C458" s="451" t="s">
        <v>784</v>
      </c>
      <c r="D458" s="459">
        <v>4400.92</v>
      </c>
      <c r="E458" s="423">
        <v>2</v>
      </c>
      <c r="F458" s="423">
        <v>2</v>
      </c>
      <c r="G458" s="460">
        <v>4022.4</v>
      </c>
      <c r="H458" s="424">
        <f t="shared" si="372"/>
      </c>
      <c r="I458" s="424">
        <f t="shared" si="22"/>
      </c>
      <c r="J458" s="424">
        <f t="shared" si="85"/>
      </c>
      <c r="K458" s="425">
        <f t="shared" si="123"/>
      </c>
      <c r="L458" s="426">
        <f t="shared" si="183"/>
      </c>
      <c r="M458" s="427">
        <f t="shared" si="153"/>
      </c>
      <c r="N458" s="427">
        <f t="shared" si="213"/>
      </c>
      <c r="O458" s="427">
        <f t="shared" si="266"/>
      </c>
      <c r="P458" s="428">
        <f t="shared" si="319"/>
      </c>
      <c r="Q458" s="429" t="s">
        <v>777</v>
      </c>
      <c r="R458" s="430" t="s">
        <v>778</v>
      </c>
      <c r="S458" s="436">
        <v>10981</v>
      </c>
      <c r="T458" s="436">
        <v>1532</v>
      </c>
      <c r="U458" s="436">
        <v>1919</v>
      </c>
      <c r="V458" s="436">
        <v>178</v>
      </c>
      <c r="W458" s="435">
        <v>5</v>
      </c>
      <c r="X458" s="435">
        <v>0</v>
      </c>
      <c r="Y458" s="448">
        <v>56</v>
      </c>
      <c r="Z458" s="486"/>
    </row>
    <row r="459">
      <c r="A459" s="420"/>
      <c r="B459" s="421" t="s">
        <v>782</v>
      </c>
      <c r="C459" s="451" t="s">
        <v>785</v>
      </c>
      <c r="D459" s="459">
        <v>2956.74</v>
      </c>
      <c r="E459" s="423">
        <v>2</v>
      </c>
      <c r="F459" s="423">
        <v>2</v>
      </c>
      <c r="G459" s="460">
        <v>1599.6</v>
      </c>
      <c r="H459" s="424">
        <f t="shared" si="372"/>
      </c>
      <c r="I459" s="424">
        <f t="shared" si="22"/>
      </c>
      <c r="J459" s="424">
        <f t="shared" si="85"/>
      </c>
      <c r="K459" s="425">
        <f t="shared" si="123"/>
      </c>
      <c r="L459" s="426">
        <f t="shared" si="183"/>
      </c>
      <c r="M459" s="427">
        <f t="shared" si="153"/>
      </c>
      <c r="N459" s="427">
        <f t="shared" si="213"/>
      </c>
      <c r="O459" s="427">
        <f t="shared" si="266"/>
      </c>
      <c r="P459" s="428">
        <f t="shared" si="319"/>
      </c>
      <c r="Q459" s="429" t="s">
        <v>777</v>
      </c>
      <c r="R459" s="430" t="s">
        <v>778</v>
      </c>
      <c r="S459" s="436">
        <v>8645</v>
      </c>
      <c r="T459" s="436">
        <v>1278</v>
      </c>
      <c r="U459" s="436">
        <v>1533</v>
      </c>
      <c r="V459" s="436">
        <v>121</v>
      </c>
      <c r="W459" s="435">
        <v>4</v>
      </c>
      <c r="X459" s="435">
        <v>0</v>
      </c>
      <c r="Y459" s="448">
        <v>33</v>
      </c>
    </row>
    <row r="460">
      <c r="A460" s="420"/>
      <c r="B460" s="421" t="s">
        <v>782</v>
      </c>
      <c r="C460" s="451" t="s">
        <v>786</v>
      </c>
      <c r="D460" s="459">
        <v>1167.15</v>
      </c>
      <c r="E460" s="423">
        <v>5</v>
      </c>
      <c r="F460" s="423">
        <v>2</v>
      </c>
      <c r="G460" s="460">
        <v>8184</v>
      </c>
      <c r="H460" s="424">
        <f t="shared" si="372"/>
      </c>
      <c r="I460" s="424">
        <f t="shared" si="22"/>
      </c>
      <c r="J460" s="424">
        <f t="shared" si="85"/>
      </c>
      <c r="K460" s="425">
        <f t="shared" si="123"/>
      </c>
      <c r="L460" s="426">
        <f t="shared" si="183"/>
      </c>
      <c r="M460" s="427">
        <f t="shared" si="153"/>
      </c>
      <c r="N460" s="427">
        <f t="shared" si="213"/>
      </c>
      <c r="O460" s="427">
        <f t="shared" si="266"/>
      </c>
      <c r="P460" s="428">
        <f t="shared" si="319"/>
      </c>
      <c r="Q460" s="429" t="s">
        <v>777</v>
      </c>
      <c r="R460" s="430" t="s">
        <v>778</v>
      </c>
      <c r="S460" s="436">
        <v>4035</v>
      </c>
      <c r="T460" s="436">
        <v>589</v>
      </c>
      <c r="U460" s="436">
        <v>786</v>
      </c>
      <c r="V460" s="436">
        <v>62</v>
      </c>
      <c r="W460" s="435">
        <v>7</v>
      </c>
      <c r="X460" s="435">
        <v>1</v>
      </c>
      <c r="Y460" s="448">
        <v>16</v>
      </c>
      <c r="AB460" s="497"/>
    </row>
    <row r="461">
      <c r="A461" s="420"/>
      <c r="B461" s="437" t="s">
        <v>774</v>
      </c>
      <c r="C461" s="437"/>
      <c r="D461" s="438">
        <f>SUM(D455:D460)</f>
      </c>
      <c r="E461" s="438">
        <f>SUM(E455:E460)</f>
      </c>
      <c r="F461" s="438">
        <f>SUM(F455:F460)</f>
      </c>
      <c r="G461" s="438">
        <f>SUM(G455:G460)</f>
      </c>
      <c r="H461" s="440">
        <f t="shared" si="372"/>
      </c>
      <c r="I461" s="441">
        <f t="shared" si="22"/>
      </c>
      <c r="J461" s="442">
        <f t="shared" si="85"/>
      </c>
      <c r="K461" s="443">
        <f t="shared" si="123"/>
      </c>
      <c r="L461" s="444">
        <f t="shared" si="183"/>
      </c>
      <c r="M461" s="443">
        <f t="shared" si="153"/>
      </c>
      <c r="N461" s="443">
        <f t="shared" si="213"/>
      </c>
      <c r="O461" s="445">
        <f t="shared" si="266"/>
      </c>
      <c r="P461" s="446">
        <f t="shared" si="319"/>
      </c>
      <c r="Q461" s="444"/>
      <c r="R461" s="444"/>
      <c r="S461" s="447">
        <f>SUM(S455:S460)</f>
      </c>
      <c r="T461" s="447">
        <f>SUM(T455:T460)</f>
      </c>
      <c r="U461" s="447">
        <f>SUM(U455:U460)</f>
      </c>
      <c r="V461" s="447">
        <f>SUM(V455:V460)</f>
      </c>
      <c r="W461" s="447">
        <f>SUM(W455:W460)</f>
      </c>
      <c r="X461" s="447">
        <f>SUM(X455:X460)</f>
      </c>
      <c r="Y461" s="447">
        <f>SUM(Y455:Y460)</f>
      </c>
      <c r="AB461" s="497"/>
      <c r="AC461" s="497"/>
    </row>
    <row r="462">
      <c r="A462" s="420"/>
      <c r="B462" s="452" t="s">
        <v>787</v>
      </c>
      <c r="C462" s="452"/>
      <c r="D462" s="466">
        <f>D447+D461+D454</f>
      </c>
      <c r="E462" s="466">
        <f>E447+E461+E454</f>
      </c>
      <c r="F462" s="466">
        <f>F447+F461+F454</f>
      </c>
      <c r="G462" s="466">
        <f>G447+G461+G454</f>
      </c>
      <c r="H462" s="452">
        <f t="shared" si="372"/>
      </c>
      <c r="I462" s="452">
        <f t="shared" si="22"/>
      </c>
      <c r="J462" s="452">
        <f t="shared" si="85"/>
      </c>
      <c r="K462" s="455">
        <f t="shared" si="123"/>
      </c>
      <c r="L462" s="452">
        <f t="shared" si="183"/>
      </c>
      <c r="M462" s="455">
        <f t="shared" si="153"/>
      </c>
      <c r="N462" s="455">
        <f t="shared" si="213"/>
      </c>
      <c r="O462" s="455">
        <f t="shared" si="266"/>
      </c>
      <c r="P462" s="452">
        <f t="shared" si="319"/>
      </c>
      <c r="Q462" s="456"/>
      <c r="R462" s="456"/>
      <c r="S462" s="454">
        <f>S447+S461+S454</f>
      </c>
      <c r="T462" s="454">
        <f>T447+T461+T454</f>
      </c>
      <c r="U462" s="454">
        <f>U447+U461+U454</f>
      </c>
      <c r="V462" s="454">
        <f>V447+V461+V454</f>
      </c>
      <c r="W462" s="454">
        <f>W447+W461+W454</f>
      </c>
      <c r="X462" s="454">
        <f>X447+X461+X454</f>
      </c>
      <c r="Y462" s="454">
        <f>Y447+Y461+Y454</f>
      </c>
    </row>
    <row r="463">
      <c r="A463" s="405" t="s">
        <v>738</v>
      </c>
      <c r="B463" s="405"/>
      <c r="C463" s="405"/>
      <c r="D463" s="406" t="s">
        <v>739</v>
      </c>
      <c r="E463" s="406"/>
      <c r="F463" s="406"/>
      <c r="G463" s="406"/>
      <c r="H463" s="406"/>
      <c r="I463" s="406"/>
      <c r="J463" s="406"/>
      <c r="K463" s="407" t="s">
        <v>740</v>
      </c>
      <c r="L463" s="407"/>
      <c r="M463" s="407"/>
      <c r="N463" s="407"/>
      <c r="O463" s="407"/>
      <c r="P463" s="407"/>
      <c r="Q463" s="407"/>
      <c r="R463" s="407"/>
      <c r="S463" s="408" t="s">
        <v>741</v>
      </c>
      <c r="T463" s="408"/>
      <c r="U463" s="408"/>
      <c r="V463" s="408"/>
      <c r="W463" s="408"/>
      <c r="X463" s="408"/>
      <c r="Y463" s="408"/>
    </row>
    <row r="464">
      <c r="A464" s="409" t="s">
        <v>742</v>
      </c>
      <c r="B464" s="409" t="s">
        <v>743</v>
      </c>
      <c r="C464" s="409" t="s">
        <v>744</v>
      </c>
      <c r="D464" s="410" t="s">
        <v>745</v>
      </c>
      <c r="E464" s="411" t="s">
        <v>746</v>
      </c>
      <c r="F464" s="463" t="s">
        <v>792</v>
      </c>
      <c r="G464" s="410" t="s">
        <v>747</v>
      </c>
      <c r="H464" s="412" t="s">
        <v>748</v>
      </c>
      <c r="I464" s="413" t="s">
        <v>749</v>
      </c>
      <c r="J464" s="410" t="s">
        <v>750</v>
      </c>
      <c r="K464" s="414" t="s">
        <v>751</v>
      </c>
      <c r="L464" s="415" t="s">
        <v>752</v>
      </c>
      <c r="M464" s="414" t="s">
        <v>753</v>
      </c>
      <c r="N464" s="414" t="s">
        <v>754</v>
      </c>
      <c r="O464" s="416" t="s">
        <v>755</v>
      </c>
      <c r="P464" s="416" t="s">
        <v>756</v>
      </c>
      <c r="Q464" s="417" t="s">
        <v>757</v>
      </c>
      <c r="R464" s="417" t="s">
        <v>758</v>
      </c>
      <c r="S464" s="431" t="s">
        <v>759</v>
      </c>
      <c r="T464" s="431" t="s">
        <v>760</v>
      </c>
      <c r="U464" s="431" t="s">
        <v>761</v>
      </c>
      <c r="V464" s="431" t="s">
        <v>762</v>
      </c>
      <c r="W464" s="431" t="s">
        <v>763</v>
      </c>
      <c r="X464" s="431" t="s">
        <v>764</v>
      </c>
      <c r="Y464" s="419" t="s">
        <v>765</v>
      </c>
      <c r="Z464" s="423"/>
      <c r="AA464" s="423"/>
    </row>
    <row r="465">
      <c r="A465" s="420" t="s">
        <v>862</v>
      </c>
      <c r="B465" s="421" t="s">
        <v>767</v>
      </c>
      <c r="C465" s="451" t="s">
        <v>794</v>
      </c>
      <c r="D465" s="421">
        <v>3831.36</v>
      </c>
      <c r="E465" s="423">
        <v>2</v>
      </c>
      <c r="F465" s="423">
        <v>1</v>
      </c>
      <c r="G465" s="467">
        <v>1641.3</v>
      </c>
      <c r="H465" s="424">
        <f t="shared" ref="H465:H484" si="373">G465/D465</f>
      </c>
      <c r="I465" s="424">
        <f>D465/E465</f>
      </c>
      <c r="J465" s="424">
        <f>G465/E465</f>
      </c>
      <c r="K465" s="425">
        <f t="shared" ref="K465:K484" si="124">T465/S465</f>
      </c>
      <c r="L465" s="426">
        <f t="shared" ref="L465:L484" si="184">D465/U465</f>
      </c>
      <c r="M465" s="427">
        <f t="shared" ref="M465:M484" si="154">V465/U465</f>
      </c>
      <c r="N465" s="427">
        <f t="shared" ref="N465:N484" si="214">E465/W465</f>
      </c>
      <c r="O465" s="427">
        <f t="shared" ref="O465:O484" si="267">X465/E465</f>
      </c>
      <c r="P465" s="428">
        <f t="shared" ref="P465:P484" si="320">(Y465*1000)/D465</f>
      </c>
      <c r="Q465" s="429" t="s">
        <v>769</v>
      </c>
      <c r="R465" s="430" t="s">
        <v>802</v>
      </c>
      <c r="S465" s="461">
        <v>25947</v>
      </c>
      <c r="T465" s="461">
        <v>1329</v>
      </c>
      <c r="U465" s="461">
        <v>1664</v>
      </c>
      <c r="V465" s="461">
        <v>203</v>
      </c>
      <c r="W465" s="461">
        <v>3</v>
      </c>
      <c r="X465" s="461">
        <v>1</v>
      </c>
      <c r="Y465" s="461">
        <v>55</v>
      </c>
      <c r="Z465" s="423"/>
      <c r="AA465" s="423"/>
    </row>
    <row r="466">
      <c r="A466" s="420"/>
      <c r="B466" s="421" t="s">
        <v>767</v>
      </c>
      <c r="C466" s="421" t="s">
        <v>796</v>
      </c>
      <c r="D466" s="421">
        <v>3619.43</v>
      </c>
      <c r="E466" s="423">
        <v>3</v>
      </c>
      <c r="F466" s="423">
        <v>3</v>
      </c>
      <c r="G466" s="467">
        <v>2955.6</v>
      </c>
      <c r="H466" s="424">
        <f t="shared" si="373"/>
      </c>
      <c r="I466" s="424">
        <v>2161</v>
      </c>
      <c r="J466" s="424">
        <v>234</v>
      </c>
      <c r="K466" s="425">
        <f t="shared" si="124"/>
      </c>
      <c r="L466" s="426">
        <f t="shared" si="184"/>
      </c>
      <c r="M466" s="427">
        <f t="shared" si="154"/>
      </c>
      <c r="N466" s="427">
        <f t="shared" si="214"/>
      </c>
      <c r="O466" s="427">
        <f t="shared" si="267"/>
      </c>
      <c r="P466" s="428">
        <f t="shared" si="320"/>
      </c>
      <c r="Q466" s="429" t="s">
        <v>769</v>
      </c>
      <c r="R466" s="430" t="s">
        <v>802</v>
      </c>
      <c r="S466" s="461">
        <v>15820</v>
      </c>
      <c r="T466" s="461">
        <v>1344</v>
      </c>
      <c r="U466" s="461">
        <v>1727</v>
      </c>
      <c r="V466" s="461">
        <v>181</v>
      </c>
      <c r="W466" s="461">
        <v>4</v>
      </c>
      <c r="X466" s="461">
        <v>0</v>
      </c>
      <c r="Y466" s="461">
        <v>48</v>
      </c>
      <c r="Z466" s="423"/>
      <c r="AA466" s="423"/>
    </row>
    <row r="467">
      <c r="A467" s="420"/>
      <c r="B467" s="421" t="s">
        <v>767</v>
      </c>
      <c r="C467" s="421" t="s">
        <v>797</v>
      </c>
      <c r="D467" s="421">
        <v>3360.79</v>
      </c>
      <c r="E467" s="423">
        <v>3</v>
      </c>
      <c r="F467" s="423">
        <v>3</v>
      </c>
      <c r="G467" s="467">
        <v>3048</v>
      </c>
      <c r="H467" s="424">
        <f t="shared" si="373"/>
      </c>
      <c r="I467" s="424">
        <f t="shared" ref="I467:I484" si="23">D467/E467</f>
      </c>
      <c r="J467" s="424">
        <f t="shared" ref="J467:J484" si="86">G467/E467</f>
      </c>
      <c r="K467" s="425">
        <f t="shared" si="124"/>
      </c>
      <c r="L467" s="426">
        <f t="shared" si="184"/>
      </c>
      <c r="M467" s="427">
        <f t="shared" si="154"/>
      </c>
      <c r="N467" s="427">
        <f t="shared" si="214"/>
      </c>
      <c r="O467" s="427">
        <f t="shared" si="267"/>
      </c>
      <c r="P467" s="428">
        <f t="shared" si="320"/>
      </c>
      <c r="Q467" s="429" t="s">
        <v>769</v>
      </c>
      <c r="R467" s="430" t="s">
        <v>802</v>
      </c>
      <c r="S467" s="461">
        <v>11657</v>
      </c>
      <c r="T467" s="461">
        <v>1116</v>
      </c>
      <c r="U467" s="461">
        <v>1493</v>
      </c>
      <c r="V467" s="461">
        <v>212</v>
      </c>
      <c r="W467" s="461">
        <v>5</v>
      </c>
      <c r="X467" s="461">
        <v>0</v>
      </c>
      <c r="Y467" s="461">
        <v>38</v>
      </c>
      <c r="Z467" s="423"/>
      <c r="AA467" s="423"/>
    </row>
    <row r="468">
      <c r="A468" s="420"/>
      <c r="B468" s="421" t="s">
        <v>767</v>
      </c>
      <c r="C468" s="421" t="s">
        <v>798</v>
      </c>
      <c r="D468" s="421">
        <v>2812.68</v>
      </c>
      <c r="E468" s="423">
        <v>2</v>
      </c>
      <c r="F468" s="423">
        <v>2</v>
      </c>
      <c r="G468" s="462">
        <v>2295.6</v>
      </c>
      <c r="H468" s="424">
        <f t="shared" si="373"/>
      </c>
      <c r="I468" s="424">
        <f t="shared" si="23"/>
      </c>
      <c r="J468" s="424">
        <f t="shared" si="86"/>
      </c>
      <c r="K468" s="425">
        <f t="shared" si="124"/>
      </c>
      <c r="L468" s="426">
        <f t="shared" si="184"/>
      </c>
      <c r="M468" s="427">
        <f t="shared" si="154"/>
      </c>
      <c r="N468" s="427">
        <f t="shared" si="214"/>
      </c>
      <c r="O468" s="427">
        <f t="shared" si="267"/>
      </c>
      <c r="P468" s="428">
        <f t="shared" si="320"/>
      </c>
      <c r="Q468" s="429" t="s">
        <v>769</v>
      </c>
      <c r="R468" s="430" t="s">
        <v>802</v>
      </c>
      <c r="S468" s="461">
        <v>8509</v>
      </c>
      <c r="T468" s="461">
        <v>977</v>
      </c>
      <c r="U468" s="461">
        <v>1307</v>
      </c>
      <c r="V468" s="461">
        <v>162</v>
      </c>
      <c r="W468" s="461">
        <v>4</v>
      </c>
      <c r="X468" s="435">
        <v>0</v>
      </c>
      <c r="Y468" s="435">
        <v>30</v>
      </c>
      <c r="Z468" s="423"/>
      <c r="AA468" s="423"/>
    </row>
    <row r="469">
      <c r="A469" s="420"/>
      <c r="B469" s="421" t="s">
        <v>767</v>
      </c>
      <c r="C469" s="422" t="s">
        <v>768</v>
      </c>
      <c r="D469" s="421">
        <v>3138.2</v>
      </c>
      <c r="E469" s="423">
        <v>10</v>
      </c>
      <c r="F469" s="423">
        <v>3</v>
      </c>
      <c r="G469" s="462">
        <v>5412</v>
      </c>
      <c r="H469" s="424">
        <f t="shared" si="373"/>
      </c>
      <c r="I469" s="424">
        <f t="shared" si="23"/>
      </c>
      <c r="J469" s="424">
        <f t="shared" si="86"/>
      </c>
      <c r="K469" s="425">
        <f t="shared" si="124"/>
      </c>
      <c r="L469" s="426">
        <f t="shared" si="184"/>
      </c>
      <c r="M469" s="427">
        <f t="shared" si="154"/>
      </c>
      <c r="N469" s="427">
        <f t="shared" si="214"/>
      </c>
      <c r="O469" s="427">
        <f t="shared" si="267"/>
      </c>
      <c r="P469" s="428">
        <f t="shared" si="320"/>
      </c>
      <c r="Q469" s="429" t="s">
        <v>769</v>
      </c>
      <c r="R469" s="430" t="s">
        <v>802</v>
      </c>
      <c r="S469" s="461">
        <v>8518</v>
      </c>
      <c r="T469" s="461">
        <v>1067</v>
      </c>
      <c r="U469" s="461">
        <v>1343</v>
      </c>
      <c r="V469" s="461">
        <v>158</v>
      </c>
      <c r="W469" s="461">
        <v>9</v>
      </c>
      <c r="X469" s="435">
        <v>2</v>
      </c>
      <c r="Y469" s="435">
        <v>40</v>
      </c>
      <c r="Z469" s="423"/>
      <c r="AA469" s="423"/>
    </row>
    <row r="470">
      <c r="A470" s="420"/>
      <c r="B470" s="437" t="s">
        <v>774</v>
      </c>
      <c r="C470" s="437"/>
      <c r="D470" s="438">
        <f>SUM(D465:D469)</f>
      </c>
      <c r="E470" s="438">
        <f>SUM(E465:E469)</f>
      </c>
      <c r="F470" s="438">
        <f>SUM(F465:F469)</f>
      </c>
      <c r="G470" s="438">
        <f>SUM(G465:G469)</f>
      </c>
      <c r="H470" s="440">
        <f t="shared" si="373"/>
      </c>
      <c r="I470" s="441">
        <f t="shared" si="23"/>
      </c>
      <c r="J470" s="442">
        <f t="shared" si="86"/>
      </c>
      <c r="K470" s="443">
        <f t="shared" si="124"/>
      </c>
      <c r="L470" s="444">
        <f t="shared" si="184"/>
      </c>
      <c r="M470" s="443">
        <f t="shared" si="154"/>
      </c>
      <c r="N470" s="443">
        <f t="shared" si="214"/>
      </c>
      <c r="O470" s="445">
        <f t="shared" si="267"/>
      </c>
      <c r="P470" s="446">
        <f t="shared" si="320"/>
      </c>
      <c r="Q470" s="444"/>
      <c r="R470" s="444"/>
      <c r="S470" s="447">
        <f>SUM(S465:S469)</f>
      </c>
      <c r="T470" s="447">
        <f>SUM(T465:T469)</f>
      </c>
      <c r="U470" s="447">
        <f>SUM(U465:U469)</f>
      </c>
      <c r="V470" s="447">
        <f>SUM(V465:V469)</f>
      </c>
      <c r="W470" s="447">
        <f>SUM(W465:W469)</f>
      </c>
      <c r="X470" s="447">
        <f>SUM(X465:X469)</f>
      </c>
      <c r="Y470" s="447">
        <f>SUM(Y465:Y469)</f>
      </c>
      <c r="Z470" s="423"/>
      <c r="AA470" s="487" t="s">
        <v>863</v>
      </c>
      <c r="AB470" s="487"/>
      <c r="AC470" s="487"/>
      <c r="AD470" s="487"/>
      <c r="AE470" s="487"/>
      <c r="AF470" s="487"/>
      <c r="AG470" s="487"/>
      <c r="AH470" s="487"/>
      <c r="AI470" s="487"/>
      <c r="AJ470" s="487"/>
      <c r="AK470" s="487"/>
    </row>
    <row r="471">
      <c r="A471" s="420"/>
      <c r="B471" s="421" t="s">
        <v>789</v>
      </c>
      <c r="C471" s="433" t="s">
        <v>771</v>
      </c>
      <c r="D471" s="421">
        <v>2664.98</v>
      </c>
      <c r="E471" s="423">
        <v>3</v>
      </c>
      <c r="F471" s="423">
        <v>3</v>
      </c>
      <c r="G471" s="467">
        <v>2448.4</v>
      </c>
      <c r="H471" s="424">
        <f t="shared" si="373"/>
      </c>
      <c r="I471" s="424">
        <f t="shared" si="23"/>
      </c>
      <c r="J471" s="424">
        <f t="shared" si="86"/>
      </c>
      <c r="K471" s="425">
        <f t="shared" si="124"/>
      </c>
      <c r="L471" s="426">
        <f t="shared" si="184"/>
      </c>
      <c r="M471" s="427">
        <f t="shared" si="154"/>
      </c>
      <c r="N471" s="427">
        <f t="shared" si="214"/>
      </c>
      <c r="O471" s="427">
        <f t="shared" si="267"/>
      </c>
      <c r="P471" s="428">
        <f t="shared" si="320"/>
      </c>
      <c r="Q471" s="429" t="s">
        <v>777</v>
      </c>
      <c r="R471" s="430" t="s">
        <v>802</v>
      </c>
      <c r="S471" s="436">
        <v>7192</v>
      </c>
      <c r="T471" s="436">
        <v>841</v>
      </c>
      <c r="U471" s="436">
        <v>1106</v>
      </c>
      <c r="V471" s="436">
        <v>141</v>
      </c>
      <c r="W471" s="435">
        <v>3</v>
      </c>
      <c r="X471" s="435">
        <v>0</v>
      </c>
      <c r="Y471" s="448">
        <v>33</v>
      </c>
      <c r="Z471" s="423"/>
      <c r="AA471" s="489" t="s">
        <v>806</v>
      </c>
      <c r="AB471" s="489" t="s">
        <v>807</v>
      </c>
      <c r="AC471" s="489" t="s">
        <v>808</v>
      </c>
      <c r="AD471" s="489" t="s">
        <v>809</v>
      </c>
      <c r="AE471" s="489" t="s">
        <v>810</v>
      </c>
      <c r="AF471" s="489" t="s">
        <v>811</v>
      </c>
      <c r="AG471" s="489" t="s">
        <v>750</v>
      </c>
      <c r="AH471" s="489" t="s">
        <v>812</v>
      </c>
      <c r="AI471" s="489" t="s">
        <v>748</v>
      </c>
      <c r="AJ471" s="489" t="s">
        <v>813</v>
      </c>
      <c r="AK471" s="489"/>
    </row>
    <row r="472">
      <c r="A472" s="420"/>
      <c r="B472" s="421" t="s">
        <v>789</v>
      </c>
      <c r="C472" s="433" t="s">
        <v>772</v>
      </c>
      <c r="D472" s="421">
        <v>3768.65</v>
      </c>
      <c r="E472" s="423">
        <v>3</v>
      </c>
      <c r="F472" s="423">
        <v>2</v>
      </c>
      <c r="G472" s="467">
        <v>5135.3</v>
      </c>
      <c r="H472" s="424">
        <f t="shared" si="373"/>
      </c>
      <c r="I472" s="424">
        <f t="shared" si="23"/>
      </c>
      <c r="J472" s="424">
        <f t="shared" si="86"/>
      </c>
      <c r="K472" s="425">
        <f t="shared" si="124"/>
      </c>
      <c r="L472" s="426">
        <f t="shared" si="184"/>
      </c>
      <c r="M472" s="427">
        <f t="shared" si="154"/>
      </c>
      <c r="N472" s="427">
        <f t="shared" si="214"/>
      </c>
      <c r="O472" s="427">
        <f t="shared" si="267"/>
      </c>
      <c r="P472" s="428">
        <f t="shared" si="320"/>
      </c>
      <c r="Q472" s="429" t="s">
        <v>777</v>
      </c>
      <c r="R472" s="430" t="s">
        <v>802</v>
      </c>
      <c r="S472" s="436">
        <v>10323</v>
      </c>
      <c r="T472" s="436">
        <v>881</v>
      </c>
      <c r="U472" s="436">
        <v>1136</v>
      </c>
      <c r="V472" s="436">
        <v>127</v>
      </c>
      <c r="W472" s="435">
        <v>3</v>
      </c>
      <c r="X472" s="435">
        <v>1</v>
      </c>
      <c r="Y472" s="448">
        <v>37</v>
      </c>
      <c r="Z472" s="423"/>
      <c r="AA472" s="490" t="s">
        <v>767</v>
      </c>
      <c r="AB472" s="496" t="s">
        <v>845</v>
      </c>
      <c r="AC472" s="490">
        <v>5</v>
      </c>
      <c r="AD472" s="490">
        <v>16762.46</v>
      </c>
      <c r="AE472" s="490">
        <v>15352.5</v>
      </c>
      <c r="AF472" s="490">
        <v>20</v>
      </c>
      <c r="AG472" s="493">
        <f t="shared" ref="AG472:AG474" si="237">AE472/AF472</f>
      </c>
      <c r="AH472" s="493">
        <f t="shared" ref="AH472:AH474" si="290">AD472/AF472</f>
      </c>
      <c r="AI472" s="493">
        <f t="shared" ref="AI472:AI474" si="343">AE472/AD472</f>
      </c>
      <c r="AJ472" s="492">
        <f>AD472/AC472</f>
      </c>
      <c r="AK472" s="492"/>
    </row>
    <row r="473">
      <c r="A473" s="420"/>
      <c r="B473" s="421" t="s">
        <v>789</v>
      </c>
      <c r="C473" s="433" t="s">
        <v>773</v>
      </c>
      <c r="D473" s="421">
        <v>3748.86</v>
      </c>
      <c r="E473" s="423">
        <v>4</v>
      </c>
      <c r="F473" s="423">
        <v>3</v>
      </c>
      <c r="G473" s="467">
        <v>2360.4</v>
      </c>
      <c r="H473" s="424">
        <f t="shared" si="373"/>
      </c>
      <c r="I473" s="424">
        <f t="shared" si="23"/>
      </c>
      <c r="J473" s="424">
        <f t="shared" si="86"/>
      </c>
      <c r="K473" s="425">
        <f t="shared" si="124"/>
      </c>
      <c r="L473" s="426">
        <f t="shared" si="184"/>
      </c>
      <c r="M473" s="427">
        <f t="shared" si="154"/>
      </c>
      <c r="N473" s="427">
        <f t="shared" si="214"/>
      </c>
      <c r="O473" s="427">
        <f t="shared" si="267"/>
      </c>
      <c r="P473" s="428">
        <f t="shared" si="320"/>
      </c>
      <c r="Q473" s="429" t="s">
        <v>777</v>
      </c>
      <c r="R473" s="430" t="s">
        <v>802</v>
      </c>
      <c r="S473" s="436">
        <v>12382</v>
      </c>
      <c r="T473" s="436">
        <v>909</v>
      </c>
      <c r="U473" s="436">
        <v>1180</v>
      </c>
      <c r="V473" s="436">
        <v>146</v>
      </c>
      <c r="W473" s="435">
        <v>6</v>
      </c>
      <c r="X473" s="435">
        <v>1</v>
      </c>
      <c r="Y473" s="448">
        <v>42</v>
      </c>
      <c r="Z473" s="423"/>
      <c r="AA473" s="490" t="s">
        <v>789</v>
      </c>
      <c r="AB473" s="496" t="s">
        <v>846</v>
      </c>
      <c r="AC473" s="490">
        <v>5</v>
      </c>
      <c r="AD473" s="490">
        <v>15983.82</v>
      </c>
      <c r="AE473" s="490">
        <v>11694.9</v>
      </c>
      <c r="AF473" s="490">
        <v>12</v>
      </c>
      <c r="AG473" s="493">
        <f t="shared" si="237"/>
      </c>
      <c r="AH473" s="493">
        <f t="shared" si="290"/>
      </c>
      <c r="AI473" s="493">
        <f t="shared" si="343"/>
      </c>
      <c r="AJ473" s="492">
        <f t="shared" ref="AJ473:AJ474" si="54">AD473/4</f>
      </c>
      <c r="AK473" s="492"/>
    </row>
    <row r="474">
      <c r="A474" s="420"/>
      <c r="B474" s="421" t="s">
        <v>789</v>
      </c>
      <c r="C474" s="433" t="s">
        <v>776</v>
      </c>
      <c r="D474" s="421">
        <v>3577.78</v>
      </c>
      <c r="E474" s="423">
        <v>1</v>
      </c>
      <c r="F474" s="423">
        <v>1</v>
      </c>
      <c r="G474" s="462">
        <v>1098</v>
      </c>
      <c r="H474" s="424">
        <f t="shared" si="373"/>
      </c>
      <c r="I474" s="424">
        <f t="shared" si="23"/>
      </c>
      <c r="J474" s="424">
        <f t="shared" si="86"/>
      </c>
      <c r="K474" s="425">
        <f t="shared" si="124"/>
      </c>
      <c r="L474" s="426">
        <f t="shared" si="184"/>
      </c>
      <c r="M474" s="427">
        <f t="shared" si="154"/>
      </c>
      <c r="N474" s="427">
        <f t="shared" si="214"/>
      </c>
      <c r="O474" s="427">
        <f t="shared" si="267"/>
      </c>
      <c r="P474" s="428">
        <f t="shared" si="320"/>
      </c>
      <c r="Q474" s="429" t="s">
        <v>777</v>
      </c>
      <c r="R474" s="430" t="s">
        <v>864</v>
      </c>
      <c r="S474" s="436">
        <v>9272</v>
      </c>
      <c r="T474" s="436">
        <v>822</v>
      </c>
      <c r="U474" s="436">
        <v>1034</v>
      </c>
      <c r="V474" s="436">
        <v>135</v>
      </c>
      <c r="W474" s="435">
        <v>3</v>
      </c>
      <c r="X474" s="435">
        <v>0</v>
      </c>
      <c r="Y474" s="448">
        <v>25</v>
      </c>
      <c r="Z474" s="423"/>
      <c r="AA474" s="490" t="s">
        <v>782</v>
      </c>
      <c r="AB474" s="496" t="s">
        <v>847</v>
      </c>
      <c r="AC474" s="490">
        <v>6</v>
      </c>
      <c r="AD474" s="490">
        <v>22639.85</v>
      </c>
      <c r="AE474" s="490">
        <v>41346.200000000004</v>
      </c>
      <c r="AF474" s="490">
        <v>29</v>
      </c>
      <c r="AG474" s="493">
        <f t="shared" si="237"/>
      </c>
      <c r="AH474" s="493">
        <f t="shared" si="290"/>
      </c>
      <c r="AI474" s="493">
        <f t="shared" si="343"/>
      </c>
      <c r="AJ474" s="492">
        <f t="shared" si="54"/>
      </c>
      <c r="AK474" s="492"/>
    </row>
    <row r="475">
      <c r="A475" s="420"/>
      <c r="B475" s="421" t="s">
        <v>789</v>
      </c>
      <c r="C475" s="422" t="s">
        <v>779</v>
      </c>
      <c r="D475" s="421">
        <v>2223.55</v>
      </c>
      <c r="E475" s="423">
        <v>1</v>
      </c>
      <c r="F475" s="423">
        <v>1</v>
      </c>
      <c r="G475" s="462">
        <v>652.8</v>
      </c>
      <c r="H475" s="424">
        <f t="shared" si="373"/>
      </c>
      <c r="I475" s="424">
        <f t="shared" si="23"/>
      </c>
      <c r="J475" s="424">
        <f t="shared" si="86"/>
      </c>
      <c r="K475" s="425">
        <f t="shared" si="124"/>
      </c>
      <c r="L475" s="426">
        <f t="shared" si="184"/>
      </c>
      <c r="M475" s="427">
        <f t="shared" si="154"/>
      </c>
      <c r="N475" s="427">
        <f t="shared" si="214"/>
      </c>
      <c r="O475" s="427">
        <f t="shared" si="267"/>
      </c>
      <c r="P475" s="428">
        <f t="shared" si="320"/>
      </c>
      <c r="Q475" s="429" t="s">
        <v>777</v>
      </c>
      <c r="R475" s="430" t="s">
        <v>864</v>
      </c>
      <c r="S475" s="436">
        <v>8060</v>
      </c>
      <c r="T475" s="436">
        <v>582</v>
      </c>
      <c r="U475" s="436">
        <v>766</v>
      </c>
      <c r="V475" s="436">
        <v>98</v>
      </c>
      <c r="W475" s="435">
        <v>2</v>
      </c>
      <c r="X475" s="435">
        <v>0</v>
      </c>
      <c r="Y475" s="448">
        <v>18</v>
      </c>
      <c r="Z475" s="423"/>
      <c r="AA475" s="495" t="s">
        <v>819</v>
      </c>
      <c r="AB475" s="495"/>
      <c r="AC475" s="495"/>
      <c r="AD475" s="495"/>
      <c r="AE475" s="495"/>
      <c r="AF475" s="495"/>
      <c r="AG475" s="495"/>
      <c r="AH475" s="495"/>
      <c r="AI475" s="495"/>
      <c r="AJ475" s="495"/>
      <c r="AK475" s="495"/>
    </row>
    <row r="476">
      <c r="A476" s="420"/>
      <c r="B476" s="437" t="s">
        <v>774</v>
      </c>
      <c r="C476" s="437"/>
      <c r="D476" s="438">
        <f>SUM(D471:D475)</f>
      </c>
      <c r="E476" s="438">
        <f>SUM(E471:E475)</f>
      </c>
      <c r="F476" s="438">
        <f>SUM(F471:F475)</f>
      </c>
      <c r="G476" s="438">
        <f>SUM(G471:G475)</f>
      </c>
      <c r="H476" s="440">
        <f t="shared" si="373"/>
      </c>
      <c r="I476" s="441">
        <f t="shared" si="23"/>
      </c>
      <c r="J476" s="442">
        <f t="shared" si="86"/>
      </c>
      <c r="K476" s="443">
        <f t="shared" si="124"/>
      </c>
      <c r="L476" s="444">
        <f t="shared" si="184"/>
      </c>
      <c r="M476" s="443">
        <f t="shared" si="154"/>
      </c>
      <c r="N476" s="443">
        <f t="shared" si="214"/>
      </c>
      <c r="O476" s="445">
        <f t="shared" si="267"/>
      </c>
      <c r="P476" s="446">
        <f t="shared" si="320"/>
      </c>
      <c r="Q476" s="444"/>
      <c r="R476" s="444"/>
      <c r="S476" s="447">
        <f>SUM(S471:S475)</f>
      </c>
      <c r="T476" s="447">
        <f>SUM(T471:T475)</f>
      </c>
      <c r="U476" s="447">
        <f>SUM(U471:U475)</f>
      </c>
      <c r="V476" s="447">
        <f>SUM(V471:V475)</f>
      </c>
      <c r="W476" s="447">
        <f>SUM(W471:W475)</f>
      </c>
      <c r="X476" s="447">
        <f>SUM(X471:X475)</f>
      </c>
      <c r="Y476" s="447">
        <f>SUM(Y471:Y475)</f>
      </c>
      <c r="Z476" s="423"/>
      <c r="AA476" s="478" t="s">
        <v>809</v>
      </c>
      <c r="AB476" s="478" t="s">
        <v>820</v>
      </c>
      <c r="AC476" s="479" t="s">
        <v>821</v>
      </c>
      <c r="AD476" s="478" t="s">
        <v>822</v>
      </c>
      <c r="AE476" s="478" t="s">
        <v>823</v>
      </c>
      <c r="AF476" s="478" t="s">
        <v>824</v>
      </c>
      <c r="AG476" s="478" t="s">
        <v>825</v>
      </c>
      <c r="AH476" s="480" t="s">
        <v>764</v>
      </c>
      <c r="AI476" s="480" t="s">
        <v>826</v>
      </c>
      <c r="AJ476" s="480" t="s">
        <v>827</v>
      </c>
      <c r="AK476" s="480" t="s">
        <v>808</v>
      </c>
    </row>
    <row r="477">
      <c r="A477" s="420"/>
      <c r="B477" s="421" t="s">
        <v>782</v>
      </c>
      <c r="C477" s="422" t="s">
        <v>780</v>
      </c>
      <c r="D477" s="459">
        <v>2354.88</v>
      </c>
      <c r="E477" s="423">
        <v>0</v>
      </c>
      <c r="F477" s="423">
        <v>0</v>
      </c>
      <c r="G477" s="460">
        <v>0</v>
      </c>
      <c r="H477" s="424">
        <f t="shared" si="373"/>
      </c>
      <c r="I477" s="424">
        <f t="shared" si="23"/>
      </c>
      <c r="J477" s="424">
        <f t="shared" si="86"/>
      </c>
      <c r="K477" s="425">
        <f t="shared" si="124"/>
      </c>
      <c r="L477" s="426">
        <f t="shared" si="184"/>
      </c>
      <c r="M477" s="427">
        <f t="shared" si="154"/>
      </c>
      <c r="N477" s="427">
        <f t="shared" si="214"/>
      </c>
      <c r="O477" s="427">
        <f t="shared" si="267"/>
      </c>
      <c r="P477" s="428">
        <f t="shared" si="320"/>
      </c>
      <c r="Q477" s="429" t="s">
        <v>777</v>
      </c>
      <c r="R477" s="430" t="s">
        <v>864</v>
      </c>
      <c r="S477" s="435">
        <v>12003</v>
      </c>
      <c r="T477" s="435">
        <v>962</v>
      </c>
      <c r="U477" s="436">
        <v>1387</v>
      </c>
      <c r="V477" s="436">
        <v>189</v>
      </c>
      <c r="W477" s="435">
        <v>3</v>
      </c>
      <c r="X477" s="435">
        <v>0</v>
      </c>
      <c r="Y477" s="448">
        <v>22</v>
      </c>
      <c r="Z477" s="423"/>
      <c r="AA477" s="465">
        <f>SUM(AD472:AD474)</f>
      </c>
      <c r="AB477" s="465">
        <f>SUM(AE472:AE474)</f>
      </c>
      <c r="AC477" s="481">
        <f>AB477/((AK477*300)+AA477)</f>
      </c>
      <c r="AD477" s="482">
        <f>AA477/AJ477</f>
      </c>
      <c r="AE477" s="481">
        <f>AB477/AJ477</f>
      </c>
      <c r="AF477" s="483">
        <f>AJ477/AI477</f>
      </c>
      <c r="AG477" s="483">
        <f>AH477/AJ477</f>
      </c>
      <c r="AH477" s="484">
        <v>12</v>
      </c>
      <c r="AI477" s="484">
        <v>80</v>
      </c>
      <c r="AJ477" s="485">
        <f>SUM(AF472:AF474)</f>
      </c>
      <c r="AK477" s="485">
        <f>SUM(AC472:AC474)</f>
      </c>
    </row>
    <row r="478">
      <c r="A478" s="420"/>
      <c r="B478" s="421" t="s">
        <v>782</v>
      </c>
      <c r="C478" s="422" t="s">
        <v>781</v>
      </c>
      <c r="D478" s="459">
        <v>3149.29</v>
      </c>
      <c r="E478" s="423">
        <v>2</v>
      </c>
      <c r="F478" s="423">
        <v>2</v>
      </c>
      <c r="G478" s="460">
        <v>1540.7999999999993</v>
      </c>
      <c r="H478" s="424">
        <f t="shared" si="373"/>
      </c>
      <c r="I478" s="424">
        <f t="shared" si="23"/>
      </c>
      <c r="J478" s="424">
        <f t="shared" si="86"/>
      </c>
      <c r="K478" s="425">
        <f t="shared" si="124"/>
      </c>
      <c r="L478" s="426">
        <f t="shared" si="184"/>
      </c>
      <c r="M478" s="427">
        <f t="shared" si="154"/>
      </c>
      <c r="N478" s="427">
        <f t="shared" si="214"/>
      </c>
      <c r="O478" s="427">
        <f t="shared" si="267"/>
      </c>
      <c r="P478" s="428">
        <f t="shared" si="320"/>
      </c>
      <c r="Q478" s="429" t="s">
        <v>777</v>
      </c>
      <c r="R478" s="430" t="s">
        <v>864</v>
      </c>
      <c r="S478" s="436">
        <v>11563</v>
      </c>
      <c r="T478" s="436">
        <v>1158</v>
      </c>
      <c r="U478" s="436">
        <v>1535</v>
      </c>
      <c r="V478" s="436">
        <v>191</v>
      </c>
      <c r="W478" s="435">
        <v>3</v>
      </c>
      <c r="X478" s="435">
        <v>0</v>
      </c>
      <c r="Y478" s="448">
        <v>48</v>
      </c>
      <c r="Z478" s="423"/>
      <c r="AA478" s="423"/>
    </row>
    <row r="479">
      <c r="A479" s="420"/>
      <c r="B479" s="421" t="s">
        <v>782</v>
      </c>
      <c r="C479" s="422" t="s">
        <v>783</v>
      </c>
      <c r="D479" s="459">
        <v>4285.71</v>
      </c>
      <c r="E479" s="423">
        <v>10</v>
      </c>
      <c r="F479" s="423">
        <v>5</v>
      </c>
      <c r="G479" s="460">
        <v>12936</v>
      </c>
      <c r="H479" s="424">
        <f t="shared" si="373"/>
      </c>
      <c r="I479" s="424">
        <f t="shared" si="23"/>
      </c>
      <c r="J479" s="424">
        <f t="shared" si="86"/>
      </c>
      <c r="K479" s="425">
        <f t="shared" si="124"/>
      </c>
      <c r="L479" s="426">
        <f t="shared" si="184"/>
      </c>
      <c r="M479" s="427">
        <f t="shared" si="154"/>
      </c>
      <c r="N479" s="427">
        <f t="shared" si="214"/>
      </c>
      <c r="O479" s="427">
        <f t="shared" si="267"/>
      </c>
      <c r="P479" s="428">
        <f t="shared" si="320"/>
      </c>
      <c r="Q479" s="429" t="s">
        <v>777</v>
      </c>
      <c r="R479" s="430" t="s">
        <v>864</v>
      </c>
      <c r="S479" s="436">
        <v>19665</v>
      </c>
      <c r="T479" s="436">
        <v>1690</v>
      </c>
      <c r="U479" s="436">
        <v>2097</v>
      </c>
      <c r="V479" s="436">
        <v>183</v>
      </c>
      <c r="W479" s="435">
        <v>10</v>
      </c>
      <c r="X479" s="435">
        <v>3</v>
      </c>
      <c r="Y479" s="448">
        <v>50</v>
      </c>
      <c r="Z479" s="423"/>
      <c r="AA479" s="423"/>
    </row>
    <row r="480">
      <c r="A480" s="420"/>
      <c r="B480" s="421" t="s">
        <v>782</v>
      </c>
      <c r="C480" s="451" t="s">
        <v>784</v>
      </c>
      <c r="D480" s="459">
        <v>5042.18</v>
      </c>
      <c r="E480" s="423">
        <v>5</v>
      </c>
      <c r="F480" s="423">
        <v>4</v>
      </c>
      <c r="G480" s="460">
        <v>6625.7</v>
      </c>
      <c r="H480" s="424">
        <f t="shared" si="373"/>
      </c>
      <c r="I480" s="424">
        <f t="shared" si="23"/>
      </c>
      <c r="J480" s="424">
        <f t="shared" si="86"/>
      </c>
      <c r="K480" s="425">
        <f t="shared" si="124"/>
      </c>
      <c r="L480" s="426">
        <f t="shared" si="184"/>
      </c>
      <c r="M480" s="427">
        <f t="shared" si="154"/>
      </c>
      <c r="N480" s="427">
        <f t="shared" si="214"/>
      </c>
      <c r="O480" s="427">
        <f t="shared" si="267"/>
      </c>
      <c r="P480" s="428">
        <f t="shared" si="320"/>
      </c>
      <c r="Q480" s="429" t="s">
        <v>777</v>
      </c>
      <c r="R480" s="430" t="s">
        <v>864</v>
      </c>
      <c r="S480" s="436">
        <v>26463</v>
      </c>
      <c r="T480" s="436">
        <v>1487</v>
      </c>
      <c r="U480" s="436">
        <v>1795</v>
      </c>
      <c r="V480" s="436">
        <v>183</v>
      </c>
      <c r="W480" s="435">
        <v>8</v>
      </c>
      <c r="X480" s="435">
        <v>1</v>
      </c>
      <c r="Y480" s="448">
        <v>65</v>
      </c>
      <c r="Z480" s="423"/>
      <c r="AA480" s="423"/>
    </row>
    <row r="481">
      <c r="A481" s="420"/>
      <c r="B481" s="421" t="s">
        <v>782</v>
      </c>
      <c r="C481" s="451" t="s">
        <v>785</v>
      </c>
      <c r="D481" s="459">
        <v>4651.4</v>
      </c>
      <c r="E481" s="423">
        <v>6</v>
      </c>
      <c r="F481" s="423">
        <v>3</v>
      </c>
      <c r="G481" s="460">
        <v>7394.4000000000015</v>
      </c>
      <c r="H481" s="424">
        <f t="shared" si="373"/>
      </c>
      <c r="I481" s="424">
        <f t="shared" si="23"/>
      </c>
      <c r="J481" s="424">
        <f t="shared" si="86"/>
      </c>
      <c r="K481" s="425">
        <f t="shared" si="124"/>
      </c>
      <c r="L481" s="426">
        <f t="shared" si="184"/>
      </c>
      <c r="M481" s="427">
        <f t="shared" si="154"/>
      </c>
      <c r="N481" s="427">
        <f t="shared" si="214"/>
      </c>
      <c r="O481" s="427">
        <f t="shared" si="267"/>
      </c>
      <c r="P481" s="428">
        <f t="shared" si="320"/>
      </c>
      <c r="Q481" s="429" t="s">
        <v>777</v>
      </c>
      <c r="R481" s="430" t="s">
        <v>864</v>
      </c>
      <c r="S481" s="436">
        <v>29530</v>
      </c>
      <c r="T481" s="436">
        <v>1871</v>
      </c>
      <c r="U481" s="436">
        <v>2222</v>
      </c>
      <c r="V481" s="436">
        <v>157</v>
      </c>
      <c r="W481" s="435">
        <v>7</v>
      </c>
      <c r="X481" s="435">
        <v>1</v>
      </c>
      <c r="Y481" s="448">
        <v>48</v>
      </c>
      <c r="Z481" s="423"/>
      <c r="AA481" s="423"/>
    </row>
    <row r="482">
      <c r="A482" s="420"/>
      <c r="B482" s="421" t="s">
        <v>782</v>
      </c>
      <c r="C482" s="451" t="s">
        <v>786</v>
      </c>
      <c r="D482" s="459">
        <v>3156.39</v>
      </c>
      <c r="E482" s="423">
        <v>6</v>
      </c>
      <c r="F482" s="423">
        <v>2</v>
      </c>
      <c r="G482" s="460">
        <v>12849.300000000003</v>
      </c>
      <c r="H482" s="424">
        <f t="shared" si="373"/>
      </c>
      <c r="I482" s="424">
        <f t="shared" si="23"/>
      </c>
      <c r="J482" s="424">
        <f t="shared" si="86"/>
      </c>
      <c r="K482" s="425">
        <f t="shared" si="124"/>
      </c>
      <c r="L482" s="426">
        <f t="shared" si="184"/>
      </c>
      <c r="M482" s="427">
        <f t="shared" si="154"/>
      </c>
      <c r="N482" s="427">
        <f t="shared" si="214"/>
      </c>
      <c r="O482" s="427">
        <f t="shared" si="267"/>
      </c>
      <c r="P482" s="428">
        <f t="shared" si="320"/>
      </c>
      <c r="Q482" s="429" t="s">
        <v>777</v>
      </c>
      <c r="R482" s="430" t="s">
        <v>864</v>
      </c>
      <c r="S482" s="436">
        <v>16766</v>
      </c>
      <c r="T482" s="436">
        <v>963</v>
      </c>
      <c r="U482" s="436">
        <v>1276</v>
      </c>
      <c r="V482" s="436">
        <v>112</v>
      </c>
      <c r="W482" s="435">
        <v>7</v>
      </c>
      <c r="X482" s="435">
        <v>2</v>
      </c>
      <c r="Y482" s="448">
        <v>29</v>
      </c>
      <c r="Z482" s="423"/>
      <c r="AA482" s="423"/>
    </row>
    <row r="483">
      <c r="A483" s="420"/>
      <c r="B483" s="437" t="s">
        <v>774</v>
      </c>
      <c r="C483" s="437"/>
      <c r="D483" s="438">
        <f>SUM(D477:D482)</f>
      </c>
      <c r="E483" s="438">
        <f>SUM(E477:E482)</f>
      </c>
      <c r="F483" s="438">
        <f>SUM(F477:F482)</f>
      </c>
      <c r="G483" s="438">
        <f>SUM(G477:G482)</f>
      </c>
      <c r="H483" s="440">
        <f t="shared" si="373"/>
      </c>
      <c r="I483" s="441">
        <f t="shared" si="23"/>
      </c>
      <c r="J483" s="442">
        <f t="shared" si="86"/>
      </c>
      <c r="K483" s="443">
        <f t="shared" si="124"/>
      </c>
      <c r="L483" s="444">
        <f t="shared" si="184"/>
      </c>
      <c r="M483" s="443">
        <f t="shared" si="154"/>
      </c>
      <c r="N483" s="443">
        <f t="shared" si="214"/>
      </c>
      <c r="O483" s="445">
        <f t="shared" si="267"/>
      </c>
      <c r="P483" s="446">
        <f t="shared" si="320"/>
      </c>
      <c r="Q483" s="444"/>
      <c r="R483" s="444"/>
      <c r="S483" s="447">
        <f>SUM(S477:S482)</f>
      </c>
      <c r="T483" s="447">
        <f>SUM(T477:T482)</f>
      </c>
      <c r="U483" s="447">
        <f>SUM(U477:U482)</f>
      </c>
      <c r="V483" s="447">
        <f>SUM(V477:V482)</f>
      </c>
      <c r="W483" s="447">
        <f>SUM(W477:W482)</f>
      </c>
      <c r="X483" s="447">
        <f>SUM(X477:X482)</f>
      </c>
      <c r="Y483" s="447">
        <f>SUM(Y477:Y482)</f>
      </c>
      <c r="Z483" s="423"/>
      <c r="AA483" s="423"/>
    </row>
    <row r="484">
      <c r="A484" s="420"/>
      <c r="B484" s="452" t="s">
        <v>787</v>
      </c>
      <c r="C484" s="452"/>
      <c r="D484" s="466">
        <f>D470+D483+D476</f>
      </c>
      <c r="E484" s="466">
        <f>E470+E483+E476</f>
      </c>
      <c r="F484" s="466">
        <f>F470+F483+F476</f>
      </c>
      <c r="G484" s="466">
        <f>G470+G483+G476</f>
      </c>
      <c r="H484" s="452">
        <f t="shared" si="373"/>
      </c>
      <c r="I484" s="452">
        <f t="shared" si="23"/>
      </c>
      <c r="J484" s="452">
        <f t="shared" si="86"/>
      </c>
      <c r="K484" s="455">
        <f t="shared" si="124"/>
      </c>
      <c r="L484" s="452">
        <f t="shared" si="184"/>
      </c>
      <c r="M484" s="455">
        <f t="shared" si="154"/>
      </c>
      <c r="N484" s="455">
        <f t="shared" si="214"/>
      </c>
      <c r="O484" s="455">
        <f t="shared" si="267"/>
      </c>
      <c r="P484" s="452">
        <f t="shared" si="320"/>
      </c>
      <c r="Q484" s="456"/>
      <c r="R484" s="456"/>
      <c r="S484" s="454">
        <f>S470+S483+S476</f>
      </c>
      <c r="T484" s="454">
        <f>T470+T483+T476</f>
      </c>
      <c r="U484" s="454">
        <f>U470+U483+U476</f>
      </c>
      <c r="V484" s="454">
        <f>V470+V483+V476</f>
      </c>
      <c r="W484" s="454">
        <f>W470+W483+W476</f>
      </c>
      <c r="X484" s="454">
        <f>X470+X483+X476</f>
      </c>
      <c r="Y484" s="454">
        <f>Y470+Y483+Y476</f>
      </c>
      <c r="Z484" s="423"/>
      <c r="AA484" s="423"/>
    </row>
    <row r="485">
      <c r="A485" s="405" t="s">
        <v>738</v>
      </c>
      <c r="B485" s="405"/>
      <c r="C485" s="405"/>
      <c r="D485" s="406" t="s">
        <v>739</v>
      </c>
      <c r="E485" s="406"/>
      <c r="F485" s="406"/>
      <c r="G485" s="406"/>
      <c r="H485" s="406"/>
      <c r="I485" s="406"/>
      <c r="J485" s="406"/>
      <c r="K485" s="407" t="s">
        <v>740</v>
      </c>
      <c r="L485" s="407"/>
      <c r="M485" s="407"/>
      <c r="N485" s="407"/>
      <c r="O485" s="407"/>
      <c r="P485" s="407"/>
      <c r="Q485" s="407"/>
      <c r="R485" s="407"/>
      <c r="S485" s="408" t="s">
        <v>741</v>
      </c>
      <c r="T485" s="408"/>
      <c r="U485" s="408"/>
      <c r="V485" s="408"/>
      <c r="W485" s="408"/>
      <c r="X485" s="408"/>
      <c r="Y485" s="408"/>
      <c r="Z485" s="423"/>
      <c r="AA485" s="423"/>
    </row>
    <row r="486">
      <c r="A486" s="409" t="s">
        <v>742</v>
      </c>
      <c r="B486" s="409" t="s">
        <v>743</v>
      </c>
      <c r="C486" s="409" t="s">
        <v>744</v>
      </c>
      <c r="D486" s="410" t="s">
        <v>745</v>
      </c>
      <c r="E486" s="411" t="s">
        <v>746</v>
      </c>
      <c r="F486" s="463" t="s">
        <v>792</v>
      </c>
      <c r="G486" s="410" t="s">
        <v>747</v>
      </c>
      <c r="H486" s="412" t="s">
        <v>748</v>
      </c>
      <c r="I486" s="413" t="s">
        <v>749</v>
      </c>
      <c r="J486" s="410" t="s">
        <v>750</v>
      </c>
      <c r="K486" s="414" t="s">
        <v>751</v>
      </c>
      <c r="L486" s="415" t="s">
        <v>752</v>
      </c>
      <c r="M486" s="414" t="s">
        <v>753</v>
      </c>
      <c r="N486" s="414" t="s">
        <v>754</v>
      </c>
      <c r="O486" s="416" t="s">
        <v>755</v>
      </c>
      <c r="P486" s="416" t="s">
        <v>756</v>
      </c>
      <c r="Q486" s="417" t="s">
        <v>757</v>
      </c>
      <c r="R486" s="417" t="s">
        <v>758</v>
      </c>
      <c r="S486" s="431" t="s">
        <v>759</v>
      </c>
      <c r="T486" s="431" t="s">
        <v>760</v>
      </c>
      <c r="U486" s="431" t="s">
        <v>761</v>
      </c>
      <c r="V486" s="431" t="s">
        <v>762</v>
      </c>
      <c r="W486" s="431" t="s">
        <v>763</v>
      </c>
      <c r="X486" s="431" t="s">
        <v>764</v>
      </c>
      <c r="Y486" s="419" t="s">
        <v>765</v>
      </c>
      <c r="Z486" s="423"/>
      <c r="AA486" s="487" t="s">
        <v>842</v>
      </c>
      <c r="AB486" s="487"/>
      <c r="AC486" s="487"/>
      <c r="AD486" s="487"/>
      <c r="AE486" s="487"/>
      <c r="AF486" s="487"/>
      <c r="AG486" s="487"/>
      <c r="AH486" s="487"/>
      <c r="AI486" s="487"/>
      <c r="AJ486" s="487"/>
      <c r="AK486" s="487"/>
    </row>
    <row r="487">
      <c r="A487" s="420" t="s">
        <v>865</v>
      </c>
      <c r="B487" s="421" t="s">
        <v>767</v>
      </c>
      <c r="C487" s="451" t="s">
        <v>794</v>
      </c>
      <c r="D487" s="421">
        <v>3894.84</v>
      </c>
      <c r="E487" s="423">
        <v>1</v>
      </c>
      <c r="F487" s="423">
        <v>1</v>
      </c>
      <c r="G487" s="467">
        <v>1197.6</v>
      </c>
      <c r="H487" s="424">
        <f t="shared" ref="H487:H507" si="374">G487/D487</f>
      </c>
      <c r="I487" s="424">
        <f>D487/E487</f>
      </c>
      <c r="J487" s="424">
        <f>G487/E487</f>
      </c>
      <c r="K487" s="425">
        <f t="shared" ref="K487:K507" si="125">T487/S487</f>
      </c>
      <c r="L487" s="426">
        <f t="shared" ref="L487:L507" si="185">D487/U487</f>
      </c>
      <c r="M487" s="427">
        <f t="shared" ref="M487:M507" si="155">V487/U487</f>
      </c>
      <c r="N487" s="427">
        <f t="shared" ref="N487:N507" si="215">E487/W487</f>
      </c>
      <c r="O487" s="427">
        <f t="shared" ref="O487:O507" si="268">X487/E487</f>
      </c>
      <c r="P487" s="428">
        <f t="shared" ref="P487:P507" si="321">(Y487*1000)/D487</f>
      </c>
      <c r="Q487" s="429" t="s">
        <v>769</v>
      </c>
      <c r="R487" s="430" t="s">
        <v>802</v>
      </c>
      <c r="S487" s="461">
        <v>17176</v>
      </c>
      <c r="T487" s="461">
        <v>2052</v>
      </c>
      <c r="U487" s="461">
        <v>2564</v>
      </c>
      <c r="V487" s="461">
        <v>264</v>
      </c>
      <c r="W487" s="461">
        <v>2</v>
      </c>
      <c r="X487" s="461">
        <v>0</v>
      </c>
      <c r="Y487" s="461">
        <v>67</v>
      </c>
      <c r="Z487" s="423"/>
      <c r="AA487" s="489" t="s">
        <v>806</v>
      </c>
      <c r="AB487" s="489" t="s">
        <v>807</v>
      </c>
      <c r="AC487" s="489" t="s">
        <v>808</v>
      </c>
      <c r="AD487" s="489" t="s">
        <v>809</v>
      </c>
      <c r="AE487" s="489" t="s">
        <v>810</v>
      </c>
      <c r="AF487" s="489" t="s">
        <v>811</v>
      </c>
      <c r="AG487" s="489" t="s">
        <v>750</v>
      </c>
      <c r="AH487" s="489" t="s">
        <v>812</v>
      </c>
      <c r="AI487" s="489" t="s">
        <v>748</v>
      </c>
      <c r="AJ487" s="489" t="s">
        <v>813</v>
      </c>
      <c r="AK487" s="489"/>
    </row>
    <row r="488">
      <c r="A488" s="420"/>
      <c r="B488" s="421" t="s">
        <v>767</v>
      </c>
      <c r="C488" s="421" t="s">
        <v>796</v>
      </c>
      <c r="D488" s="421">
        <v>2246.58</v>
      </c>
      <c r="E488" s="423">
        <v>2</v>
      </c>
      <c r="F488" s="423">
        <v>2</v>
      </c>
      <c r="G488" s="467">
        <v>2829.6</v>
      </c>
      <c r="H488" s="424">
        <f t="shared" si="374"/>
      </c>
      <c r="I488" s="424">
        <v>2161</v>
      </c>
      <c r="J488" s="424">
        <v>234</v>
      </c>
      <c r="K488" s="425">
        <f t="shared" si="125"/>
      </c>
      <c r="L488" s="426">
        <f t="shared" si="185"/>
      </c>
      <c r="M488" s="427">
        <f t="shared" si="155"/>
      </c>
      <c r="N488" s="427">
        <f t="shared" si="215"/>
      </c>
      <c r="O488" s="427">
        <f t="shared" si="268"/>
      </c>
      <c r="P488" s="428">
        <f t="shared" si="321"/>
      </c>
      <c r="Q488" s="429" t="s">
        <v>769</v>
      </c>
      <c r="R488" s="430" t="s">
        <v>802</v>
      </c>
      <c r="S488" s="461">
        <v>10938</v>
      </c>
      <c r="T488" s="461">
        <v>1296</v>
      </c>
      <c r="U488" s="461">
        <v>1736</v>
      </c>
      <c r="V488" s="461">
        <v>167</v>
      </c>
      <c r="W488" s="461">
        <v>3</v>
      </c>
      <c r="X488" s="461">
        <v>0</v>
      </c>
      <c r="Y488" s="461">
        <v>30</v>
      </c>
      <c r="Z488" s="423"/>
      <c r="AA488" s="490" t="s">
        <v>767</v>
      </c>
      <c r="AB488" s="491" t="s">
        <v>814</v>
      </c>
      <c r="AC488" s="492">
        <v>4</v>
      </c>
      <c r="AD488" s="490">
        <v>10415.89</v>
      </c>
      <c r="AE488" s="490">
        <v>7936.8</v>
      </c>
      <c r="AF488" s="490">
        <v>6</v>
      </c>
      <c r="AG488" s="493">
        <f t="shared" ref="AG488:AG491" si="238">AE488/AF488</f>
      </c>
      <c r="AH488" s="493">
        <f t="shared" ref="AH488:AH491" si="291">AD488/AF488</f>
      </c>
      <c r="AI488" s="493">
        <f t="shared" ref="AI488:AI491" si="344">AE488/AD488</f>
      </c>
      <c r="AJ488" s="492">
        <f>AD488/AC488</f>
      </c>
      <c r="AK488" s="492"/>
    </row>
    <row r="489">
      <c r="A489" s="420"/>
      <c r="B489" s="421" t="s">
        <v>767</v>
      </c>
      <c r="C489" s="421" t="s">
        <v>797</v>
      </c>
      <c r="D489" s="421">
        <v>1920.89</v>
      </c>
      <c r="E489" s="423">
        <v>1</v>
      </c>
      <c r="F489" s="423">
        <v>0</v>
      </c>
      <c r="G489" s="467">
        <v>2943.6</v>
      </c>
      <c r="H489" s="424">
        <f t="shared" si="374"/>
      </c>
      <c r="I489" s="424">
        <f t="shared" ref="I489:I493" si="24">D489/E489</f>
      </c>
      <c r="J489" s="424">
        <f t="shared" ref="J489:J493" si="87">G489/E489</f>
      </c>
      <c r="K489" s="425">
        <f t="shared" si="125"/>
      </c>
      <c r="L489" s="426">
        <f t="shared" si="185"/>
      </c>
      <c r="M489" s="427">
        <f t="shared" si="155"/>
      </c>
      <c r="N489" s="427">
        <f t="shared" si="215"/>
      </c>
      <c r="O489" s="427">
        <f t="shared" si="268"/>
      </c>
      <c r="P489" s="428">
        <f t="shared" si="321"/>
      </c>
      <c r="Q489" s="429" t="s">
        <v>769</v>
      </c>
      <c r="R489" s="430" t="s">
        <v>802</v>
      </c>
      <c r="S489" s="461">
        <v>8281</v>
      </c>
      <c r="T489" s="461">
        <v>963</v>
      </c>
      <c r="U489" s="461">
        <v>1350</v>
      </c>
      <c r="V489" s="461">
        <v>163</v>
      </c>
      <c r="W489" s="461">
        <v>2</v>
      </c>
      <c r="X489" s="461">
        <v>0</v>
      </c>
      <c r="Y489" s="461">
        <v>37</v>
      </c>
      <c r="Z489" s="423"/>
      <c r="AA489" s="490" t="s">
        <v>775</v>
      </c>
      <c r="AB489" s="491" t="s">
        <v>815</v>
      </c>
      <c r="AC489" s="492">
        <v>4</v>
      </c>
      <c r="AD489" s="490">
        <v>13324.85</v>
      </c>
      <c r="AE489" s="490">
        <v>19947.6</v>
      </c>
      <c r="AF489" s="490">
        <v>17</v>
      </c>
      <c r="AG489" s="493">
        <f t="shared" si="238"/>
      </c>
      <c r="AH489" s="493">
        <f t="shared" si="291"/>
      </c>
      <c r="AI489" s="493">
        <f t="shared" si="344"/>
      </c>
      <c r="AJ489" s="492">
        <f t="shared" ref="AJ489:AJ491" si="55">AD489/4</f>
      </c>
      <c r="AK489" s="492"/>
    </row>
    <row r="490">
      <c r="A490" s="420"/>
      <c r="B490" s="421" t="s">
        <v>767</v>
      </c>
      <c r="C490" s="421" t="s">
        <v>798</v>
      </c>
      <c r="D490" s="421">
        <v>2353.58</v>
      </c>
      <c r="E490" s="423">
        <v>2</v>
      </c>
      <c r="F490" s="423">
        <v>2</v>
      </c>
      <c r="G490" s="462">
        <v>966</v>
      </c>
      <c r="H490" s="424">
        <f t="shared" si="374"/>
      </c>
      <c r="I490" s="424">
        <f t="shared" si="24"/>
      </c>
      <c r="J490" s="424">
        <f t="shared" si="87"/>
      </c>
      <c r="K490" s="425">
        <f t="shared" si="125"/>
      </c>
      <c r="L490" s="426">
        <f t="shared" si="185"/>
      </c>
      <c r="M490" s="427">
        <f t="shared" si="155"/>
      </c>
      <c r="N490" s="427">
        <f t="shared" si="215"/>
      </c>
      <c r="O490" s="427">
        <f t="shared" si="268"/>
      </c>
      <c r="P490" s="428">
        <f t="shared" si="321"/>
      </c>
      <c r="Q490" s="429" t="s">
        <v>769</v>
      </c>
      <c r="R490" s="430" t="s">
        <v>802</v>
      </c>
      <c r="S490" s="461">
        <v>8148</v>
      </c>
      <c r="T490" s="461">
        <v>1148</v>
      </c>
      <c r="U490" s="461">
        <v>1476</v>
      </c>
      <c r="V490" s="461">
        <v>162</v>
      </c>
      <c r="W490" s="461">
        <v>3</v>
      </c>
      <c r="X490" s="435">
        <v>0</v>
      </c>
      <c r="Y490" s="435">
        <v>23</v>
      </c>
      <c r="Z490" s="423"/>
      <c r="AA490" s="490" t="s">
        <v>789</v>
      </c>
      <c r="AB490" s="491" t="s">
        <v>816</v>
      </c>
      <c r="AC490" s="492">
        <v>4</v>
      </c>
      <c r="AD490" s="490">
        <v>10634.07</v>
      </c>
      <c r="AE490" s="490">
        <v>10596.5</v>
      </c>
      <c r="AF490" s="490">
        <v>13</v>
      </c>
      <c r="AG490" s="493">
        <f t="shared" si="238"/>
      </c>
      <c r="AH490" s="493">
        <f t="shared" si="291"/>
      </c>
      <c r="AI490" s="493">
        <f t="shared" si="344"/>
      </c>
      <c r="AJ490" s="492">
        <f t="shared" si="55"/>
      </c>
      <c r="AK490" s="492"/>
    </row>
    <row r="491">
      <c r="A491" s="420"/>
      <c r="B491" s="437" t="s">
        <v>774</v>
      </c>
      <c r="C491" s="437"/>
      <c r="D491" s="438">
        <f>SUM(D487:D490)</f>
      </c>
      <c r="E491" s="439">
        <f>SUM(E487:E490)</f>
      </c>
      <c r="F491" s="439">
        <f>SUM(F487:F490)</f>
      </c>
      <c r="G491" s="438">
        <f>SUM(G487:G490)</f>
      </c>
      <c r="H491" s="440">
        <f t="shared" si="374"/>
      </c>
      <c r="I491" s="441">
        <f t="shared" si="24"/>
      </c>
      <c r="J491" s="442">
        <f t="shared" si="87"/>
      </c>
      <c r="K491" s="443">
        <f t="shared" si="125"/>
      </c>
      <c r="L491" s="444">
        <f t="shared" si="185"/>
      </c>
      <c r="M491" s="443">
        <f t="shared" si="155"/>
      </c>
      <c r="N491" s="443">
        <f t="shared" si="215"/>
      </c>
      <c r="O491" s="445">
        <f t="shared" si="268"/>
      </c>
      <c r="P491" s="446">
        <f t="shared" si="321"/>
      </c>
      <c r="Q491" s="444"/>
      <c r="R491" s="444"/>
      <c r="S491" s="447">
        <f>SUM(S487:S490)</f>
      </c>
      <c r="T491" s="447">
        <f>SUM(T487:T490)</f>
      </c>
      <c r="U491" s="447">
        <f>SUM(U487:U490)</f>
      </c>
      <c r="V491" s="447">
        <f>SUM(V487:V490)</f>
      </c>
      <c r="W491" s="447">
        <f>SUM(W487:W490)</f>
      </c>
      <c r="X491" s="447">
        <f>SUM(X487:X490)</f>
      </c>
      <c r="Y491" s="447">
        <f>SUM(Y487:Y490)</f>
      </c>
      <c r="Z491" s="423"/>
      <c r="AA491" s="490" t="s">
        <v>782</v>
      </c>
      <c r="AB491" s="491" t="s">
        <v>817</v>
      </c>
      <c r="AC491" s="492">
        <v>4</v>
      </c>
      <c r="AD491" s="490">
        <v>9579.29</v>
      </c>
      <c r="AE491" s="490">
        <v>8008.8</v>
      </c>
      <c r="AF491" s="490">
        <v>8</v>
      </c>
      <c r="AG491" s="493">
        <f t="shared" si="238"/>
      </c>
      <c r="AH491" s="493">
        <f t="shared" si="291"/>
      </c>
      <c r="AI491" s="493">
        <f t="shared" si="344"/>
      </c>
      <c r="AJ491" s="492">
        <f t="shared" si="55"/>
      </c>
      <c r="AK491" s="492"/>
    </row>
    <row r="492">
      <c r="A492" s="420"/>
      <c r="B492" s="421" t="s">
        <v>775</v>
      </c>
      <c r="C492" s="422" t="s">
        <v>768</v>
      </c>
      <c r="D492" s="421">
        <v>3601.42</v>
      </c>
      <c r="E492" s="423">
        <v>5</v>
      </c>
      <c r="F492" s="423">
        <v>4</v>
      </c>
      <c r="G492" s="467">
        <v>4839.6</v>
      </c>
      <c r="H492" s="424">
        <f t="shared" si="374"/>
      </c>
      <c r="I492" s="424">
        <f t="shared" si="24"/>
      </c>
      <c r="J492" s="424">
        <f t="shared" si="87"/>
      </c>
      <c r="K492" s="425">
        <f t="shared" si="125"/>
      </c>
      <c r="L492" s="426">
        <f t="shared" si="185"/>
      </c>
      <c r="M492" s="427">
        <f t="shared" si="155"/>
      </c>
      <c r="N492" s="427">
        <f t="shared" si="215"/>
      </c>
      <c r="O492" s="427">
        <f t="shared" si="268"/>
      </c>
      <c r="P492" s="428">
        <f t="shared" si="321"/>
      </c>
      <c r="Q492" s="429" t="s">
        <v>777</v>
      </c>
      <c r="R492" s="430" t="s">
        <v>802</v>
      </c>
      <c r="S492" s="436">
        <v>8221</v>
      </c>
      <c r="T492" s="436">
        <v>1090</v>
      </c>
      <c r="U492" s="436">
        <v>1367</v>
      </c>
      <c r="V492" s="436">
        <v>164</v>
      </c>
      <c r="W492" s="435">
        <v>8</v>
      </c>
      <c r="X492" s="435">
        <v>1</v>
      </c>
      <c r="Y492" s="448">
        <v>38</v>
      </c>
      <c r="Z492" s="423"/>
      <c r="AA492" s="495" t="s">
        <v>819</v>
      </c>
      <c r="AB492" s="495"/>
      <c r="AC492" s="495"/>
      <c r="AD492" s="495"/>
      <c r="AE492" s="495"/>
      <c r="AF492" s="495"/>
      <c r="AG492" s="495"/>
      <c r="AH492" s="495"/>
      <c r="AI492" s="495"/>
      <c r="AJ492" s="495"/>
      <c r="AK492" s="495"/>
    </row>
    <row r="493">
      <c r="A493" s="420"/>
      <c r="B493" s="421" t="s">
        <v>775</v>
      </c>
      <c r="C493" s="433" t="s">
        <v>771</v>
      </c>
      <c r="D493" s="421">
        <v>3530.73</v>
      </c>
      <c r="E493" s="423">
        <v>7</v>
      </c>
      <c r="F493" s="423">
        <v>4</v>
      </c>
      <c r="G493" s="467">
        <v>9406.8</v>
      </c>
      <c r="H493" s="424">
        <f t="shared" si="374"/>
      </c>
      <c r="I493" s="424">
        <f t="shared" si="24"/>
      </c>
      <c r="J493" s="424">
        <f t="shared" si="87"/>
      </c>
      <c r="K493" s="425">
        <f t="shared" si="125"/>
      </c>
      <c r="L493" s="426">
        <f t="shared" si="185"/>
      </c>
      <c r="M493" s="427">
        <f t="shared" si="155"/>
      </c>
      <c r="N493" s="427">
        <f t="shared" si="215"/>
      </c>
      <c r="O493" s="427">
        <f t="shared" si="268"/>
      </c>
      <c r="P493" s="428">
        <f t="shared" si="321"/>
      </c>
      <c r="Q493" s="429" t="s">
        <v>777</v>
      </c>
      <c r="R493" s="430" t="s">
        <v>802</v>
      </c>
      <c r="S493" s="436">
        <v>8679</v>
      </c>
      <c r="T493" s="436">
        <v>1059</v>
      </c>
      <c r="U493" s="436">
        <v>1335</v>
      </c>
      <c r="V493" s="436">
        <v>148</v>
      </c>
      <c r="W493" s="435">
        <v>7</v>
      </c>
      <c r="X493" s="435">
        <v>2</v>
      </c>
      <c r="Y493" s="448">
        <v>28</v>
      </c>
      <c r="Z493" s="423"/>
      <c r="AA493" s="478" t="s">
        <v>809</v>
      </c>
      <c r="AB493" s="478" t="s">
        <v>820</v>
      </c>
      <c r="AC493" s="479" t="s">
        <v>821</v>
      </c>
      <c r="AD493" s="478" t="s">
        <v>822</v>
      </c>
      <c r="AE493" s="478" t="s">
        <v>823</v>
      </c>
      <c r="AF493" s="478" t="s">
        <v>824</v>
      </c>
      <c r="AG493" s="478" t="s">
        <v>825</v>
      </c>
      <c r="AH493" s="480" t="s">
        <v>764</v>
      </c>
      <c r="AI493" s="480" t="s">
        <v>826</v>
      </c>
      <c r="AJ493" s="480" t="s">
        <v>827</v>
      </c>
      <c r="AK493" s="480" t="s">
        <v>808</v>
      </c>
    </row>
    <row r="494">
      <c r="A494" s="420"/>
      <c r="B494" s="421" t="s">
        <v>775</v>
      </c>
      <c r="C494" s="433" t="s">
        <v>772</v>
      </c>
      <c r="D494" s="421">
        <v>3210.71</v>
      </c>
      <c r="E494" s="423">
        <v>0</v>
      </c>
      <c r="F494" s="423">
        <v>1</v>
      </c>
      <c r="G494" s="467">
        <v>0</v>
      </c>
      <c r="H494" s="424">
        <f t="shared" si="374"/>
      </c>
      <c r="I494" s="424">
        <v>1323</v>
      </c>
      <c r="J494" s="424">
        <v>145</v>
      </c>
      <c r="K494" s="425">
        <f t="shared" si="125"/>
      </c>
      <c r="L494" s="426">
        <f t="shared" si="185"/>
      </c>
      <c r="M494" s="427">
        <f t="shared" si="155"/>
      </c>
      <c r="N494" s="427">
        <f t="shared" si="215"/>
      </c>
      <c r="O494" s="427">
        <f t="shared" si="268"/>
      </c>
      <c r="P494" s="428">
        <f t="shared" si="321"/>
      </c>
      <c r="Q494" s="429" t="s">
        <v>777</v>
      </c>
      <c r="R494" s="430" t="s">
        <v>802</v>
      </c>
      <c r="S494" s="436">
        <v>7774</v>
      </c>
      <c r="T494" s="436">
        <v>959</v>
      </c>
      <c r="U494" s="436">
        <v>1186</v>
      </c>
      <c r="V494" s="436">
        <v>109</v>
      </c>
      <c r="W494" s="435">
        <v>2</v>
      </c>
      <c r="X494" s="435">
        <v>0</v>
      </c>
      <c r="Y494" s="448">
        <v>20</v>
      </c>
      <c r="Z494" s="423"/>
      <c r="AA494" s="465">
        <f>SUM(AD488:AD491)</f>
      </c>
      <c r="AB494" s="465">
        <f>SUM(AE488:AE491)</f>
      </c>
      <c r="AC494" s="481">
        <f>AB494/((AK494*300)+AA494)</f>
      </c>
      <c r="AD494" s="482">
        <f>AA494/AJ494</f>
      </c>
      <c r="AE494" s="481">
        <f>AB494/AJ494</f>
      </c>
      <c r="AF494" s="483">
        <f>AJ494/AI494</f>
      </c>
      <c r="AG494" s="483">
        <f>AH494/AJ494</f>
      </c>
      <c r="AH494" s="484">
        <v>9</v>
      </c>
      <c r="AI494" s="484">
        <v>63</v>
      </c>
      <c r="AJ494" s="485">
        <f>SUM(AF488:AF491)</f>
      </c>
      <c r="AK494" s="485">
        <f>SUM(AC488:AC491)</f>
      </c>
    </row>
    <row r="495">
      <c r="A495" s="420"/>
      <c r="B495" s="421" t="s">
        <v>775</v>
      </c>
      <c r="C495" s="433" t="s">
        <v>773</v>
      </c>
      <c r="D495" s="421">
        <v>2981.99</v>
      </c>
      <c r="E495" s="423">
        <v>5</v>
      </c>
      <c r="F495" s="423">
        <v>3</v>
      </c>
      <c r="G495" s="462">
        <v>5701.2</v>
      </c>
      <c r="H495" s="424">
        <f t="shared" si="374"/>
      </c>
      <c r="I495" s="424">
        <f t="shared" ref="I495:I507" si="25">D495/E495</f>
      </c>
      <c r="J495" s="424">
        <f t="shared" ref="J495:J507" si="88">G495/E495</f>
      </c>
      <c r="K495" s="425">
        <f t="shared" si="125"/>
      </c>
      <c r="L495" s="426">
        <f t="shared" si="185"/>
      </c>
      <c r="M495" s="427">
        <f t="shared" si="155"/>
      </c>
      <c r="N495" s="427">
        <f t="shared" si="215"/>
      </c>
      <c r="O495" s="427">
        <f t="shared" si="268"/>
      </c>
      <c r="P495" s="428">
        <f t="shared" si="321"/>
      </c>
      <c r="Q495" s="429" t="s">
        <v>777</v>
      </c>
      <c r="R495" s="430" t="s">
        <v>802</v>
      </c>
      <c r="S495" s="436">
        <v>8037</v>
      </c>
      <c r="T495" s="436">
        <v>946</v>
      </c>
      <c r="U495" s="436">
        <v>1202</v>
      </c>
      <c r="V495" s="436">
        <v>131</v>
      </c>
      <c r="W495" s="435">
        <v>8</v>
      </c>
      <c r="X495" s="435">
        <v>1</v>
      </c>
      <c r="Y495" s="448">
        <v>23</v>
      </c>
      <c r="Z495" s="423"/>
      <c r="AA495" s="423"/>
    </row>
    <row r="496">
      <c r="A496" s="420"/>
      <c r="B496" s="437" t="s">
        <v>774</v>
      </c>
      <c r="C496" s="437"/>
      <c r="D496" s="438">
        <f>SUM(D492:D495)</f>
      </c>
      <c r="E496" s="439">
        <f>SUM(E492:E495)</f>
      </c>
      <c r="F496" s="439">
        <f>SUM(F492:F495)</f>
      </c>
      <c r="G496" s="438">
        <f>SUM(G492:G495)</f>
      </c>
      <c r="H496" s="440">
        <f t="shared" si="374"/>
      </c>
      <c r="I496" s="441">
        <f t="shared" si="25"/>
      </c>
      <c r="J496" s="442">
        <f t="shared" si="88"/>
      </c>
      <c r="K496" s="443">
        <f t="shared" si="125"/>
      </c>
      <c r="L496" s="444">
        <f t="shared" si="185"/>
      </c>
      <c r="M496" s="443">
        <f t="shared" si="155"/>
      </c>
      <c r="N496" s="443">
        <f t="shared" si="215"/>
      </c>
      <c r="O496" s="445">
        <f t="shared" si="268"/>
      </c>
      <c r="P496" s="446">
        <f t="shared" si="321"/>
      </c>
      <c r="Q496" s="444"/>
      <c r="R496" s="444"/>
      <c r="S496" s="447">
        <f>SUM(S492:S495)</f>
      </c>
      <c r="T496" s="447">
        <f>SUM(T492:T495)</f>
      </c>
      <c r="U496" s="447">
        <f>SUM(U492:U495)</f>
      </c>
      <c r="V496" s="447">
        <f>SUM(V492:V495)</f>
      </c>
      <c r="W496" s="447">
        <f>SUM(W492:W495)</f>
      </c>
      <c r="X496" s="447">
        <f>SUM(X492:X495)</f>
      </c>
      <c r="Y496" s="447">
        <f>SUM(Y492:Y495)</f>
      </c>
      <c r="Z496" s="423"/>
      <c r="AA496" s="423"/>
    </row>
    <row r="497">
      <c r="A497" s="420"/>
      <c r="B497" s="421" t="s">
        <v>789</v>
      </c>
      <c r="C497" s="433" t="s">
        <v>776</v>
      </c>
      <c r="D497" s="421">
        <v>2963.18</v>
      </c>
      <c r="E497" s="423">
        <v>3</v>
      </c>
      <c r="F497" s="423">
        <v>1</v>
      </c>
      <c r="G497" s="467">
        <v>2469.6</v>
      </c>
      <c r="H497" s="424">
        <f t="shared" si="374"/>
      </c>
      <c r="I497" s="424">
        <f t="shared" si="25"/>
      </c>
      <c r="J497" s="424">
        <f t="shared" si="88"/>
      </c>
      <c r="K497" s="425">
        <f t="shared" si="125"/>
      </c>
      <c r="L497" s="426">
        <f t="shared" si="185"/>
      </c>
      <c r="M497" s="427">
        <f t="shared" si="155"/>
      </c>
      <c r="N497" s="427">
        <f t="shared" si="215"/>
      </c>
      <c r="O497" s="427">
        <f t="shared" si="268"/>
      </c>
      <c r="P497" s="428">
        <f t="shared" si="321"/>
      </c>
      <c r="Q497" s="429" t="s">
        <v>777</v>
      </c>
      <c r="R497" s="430" t="s">
        <v>778</v>
      </c>
      <c r="S497" s="436">
        <v>10392</v>
      </c>
      <c r="T497" s="436">
        <v>1006</v>
      </c>
      <c r="U497" s="436">
        <v>1251</v>
      </c>
      <c r="V497" s="436">
        <v>145</v>
      </c>
      <c r="W497" s="435">
        <v>5</v>
      </c>
      <c r="X497" s="435">
        <v>1</v>
      </c>
      <c r="Y497" s="448">
        <v>46</v>
      </c>
      <c r="Z497" s="423"/>
      <c r="AA497" s="423"/>
    </row>
    <row r="498">
      <c r="A498" s="420"/>
      <c r="B498" s="421" t="s">
        <v>789</v>
      </c>
      <c r="C498" s="422" t="s">
        <v>779</v>
      </c>
      <c r="D498" s="421">
        <v>2048.78</v>
      </c>
      <c r="E498" s="423">
        <v>2</v>
      </c>
      <c r="F498" s="423">
        <v>2</v>
      </c>
      <c r="G498" s="467">
        <v>1054.8</v>
      </c>
      <c r="H498" s="424">
        <f t="shared" si="374"/>
      </c>
      <c r="I498" s="424">
        <f t="shared" si="25"/>
      </c>
      <c r="J498" s="424">
        <f t="shared" si="88"/>
      </c>
      <c r="K498" s="425">
        <f t="shared" si="125"/>
      </c>
      <c r="L498" s="426">
        <f t="shared" si="185"/>
      </c>
      <c r="M498" s="427">
        <f t="shared" si="155"/>
      </c>
      <c r="N498" s="427">
        <f t="shared" si="215"/>
      </c>
      <c r="O498" s="427">
        <f t="shared" si="268"/>
      </c>
      <c r="P498" s="428">
        <f t="shared" si="321"/>
      </c>
      <c r="Q498" s="429" t="s">
        <v>777</v>
      </c>
      <c r="R498" s="430" t="s">
        <v>778</v>
      </c>
      <c r="S498" s="436">
        <v>10305</v>
      </c>
      <c r="T498" s="436">
        <v>796</v>
      </c>
      <c r="U498" s="436">
        <v>963</v>
      </c>
      <c r="V498" s="436">
        <v>105</v>
      </c>
      <c r="W498" s="435">
        <v>4</v>
      </c>
      <c r="X498" s="435">
        <v>0</v>
      </c>
      <c r="Y498" s="448">
        <v>29</v>
      </c>
      <c r="Z498" s="423"/>
      <c r="AA498" s="423"/>
    </row>
    <row r="499">
      <c r="A499" s="420"/>
      <c r="B499" s="421" t="s">
        <v>789</v>
      </c>
      <c r="C499" s="422" t="s">
        <v>780</v>
      </c>
      <c r="D499" s="421">
        <v>2750.43</v>
      </c>
      <c r="E499" s="423">
        <v>6</v>
      </c>
      <c r="F499" s="423">
        <v>5</v>
      </c>
      <c r="G499" s="467">
        <v>4930.8</v>
      </c>
      <c r="H499" s="424">
        <f t="shared" si="374"/>
      </c>
      <c r="I499" s="424">
        <f t="shared" si="25"/>
      </c>
      <c r="J499" s="424">
        <f t="shared" si="88"/>
      </c>
      <c r="K499" s="425">
        <f t="shared" si="125"/>
      </c>
      <c r="L499" s="426">
        <f t="shared" si="185"/>
      </c>
      <c r="M499" s="427">
        <f t="shared" si="155"/>
      </c>
      <c r="N499" s="427">
        <f t="shared" si="215"/>
      </c>
      <c r="O499" s="427">
        <f t="shared" si="268"/>
      </c>
      <c r="P499" s="428">
        <f t="shared" si="321"/>
      </c>
      <c r="Q499" s="429" t="s">
        <v>777</v>
      </c>
      <c r="R499" s="430" t="s">
        <v>778</v>
      </c>
      <c r="S499" s="436">
        <v>14239</v>
      </c>
      <c r="T499" s="436">
        <v>1114</v>
      </c>
      <c r="U499" s="436">
        <v>1290</v>
      </c>
      <c r="V499" s="436">
        <v>131</v>
      </c>
      <c r="W499" s="435">
        <v>11</v>
      </c>
      <c r="X499" s="435">
        <v>1</v>
      </c>
      <c r="Y499" s="448">
        <v>37</v>
      </c>
      <c r="Z499" s="423"/>
      <c r="AA499" s="423"/>
    </row>
    <row r="500">
      <c r="A500" s="420"/>
      <c r="B500" s="421" t="s">
        <v>789</v>
      </c>
      <c r="C500" s="422" t="s">
        <v>781</v>
      </c>
      <c r="D500" s="421">
        <v>2790.46</v>
      </c>
      <c r="E500" s="423">
        <v>2</v>
      </c>
      <c r="F500" s="423">
        <v>1</v>
      </c>
      <c r="G500" s="462">
        <v>2141.3</v>
      </c>
      <c r="H500" s="424">
        <f t="shared" si="374"/>
      </c>
      <c r="I500" s="424">
        <f t="shared" si="25"/>
      </c>
      <c r="J500" s="424">
        <f t="shared" si="88"/>
      </c>
      <c r="K500" s="425">
        <f t="shared" si="125"/>
      </c>
      <c r="L500" s="426">
        <f t="shared" si="185"/>
      </c>
      <c r="M500" s="427">
        <f t="shared" si="155"/>
      </c>
      <c r="N500" s="427">
        <f t="shared" si="215"/>
      </c>
      <c r="O500" s="427">
        <f t="shared" si="268"/>
      </c>
      <c r="P500" s="428">
        <f t="shared" si="321"/>
      </c>
      <c r="Q500" s="429" t="s">
        <v>777</v>
      </c>
      <c r="R500" s="430" t="s">
        <v>778</v>
      </c>
      <c r="S500" s="436">
        <v>13441</v>
      </c>
      <c r="T500" s="436">
        <v>1356</v>
      </c>
      <c r="U500" s="436">
        <v>1604</v>
      </c>
      <c r="V500" s="436">
        <v>135</v>
      </c>
      <c r="W500" s="435">
        <v>4</v>
      </c>
      <c r="X500" s="435">
        <v>1</v>
      </c>
      <c r="Y500" s="448">
        <v>34</v>
      </c>
      <c r="Z500" s="423"/>
      <c r="AA500" s="423"/>
    </row>
    <row r="501">
      <c r="A501" s="420"/>
      <c r="B501" s="437" t="s">
        <v>774</v>
      </c>
      <c r="C501" s="437"/>
      <c r="D501" s="438">
        <f>SUM(D497:D500)</f>
      </c>
      <c r="E501" s="439">
        <f>SUM(E497:E500)</f>
      </c>
      <c r="F501" s="439">
        <f>SUM(F497:F500)</f>
      </c>
      <c r="G501" s="438">
        <f>SUM(G497:G500)</f>
      </c>
      <c r="H501" s="440">
        <f t="shared" si="374"/>
      </c>
      <c r="I501" s="441">
        <f t="shared" si="25"/>
      </c>
      <c r="J501" s="442">
        <f t="shared" si="88"/>
      </c>
      <c r="K501" s="443">
        <f t="shared" si="125"/>
      </c>
      <c r="L501" s="444">
        <f t="shared" si="185"/>
      </c>
      <c r="M501" s="443">
        <f t="shared" si="155"/>
      </c>
      <c r="N501" s="443">
        <f t="shared" si="215"/>
      </c>
      <c r="O501" s="445">
        <f t="shared" si="268"/>
      </c>
      <c r="P501" s="446">
        <f t="shared" si="321"/>
      </c>
      <c r="Q501" s="444"/>
      <c r="R501" s="444"/>
      <c r="S501" s="447">
        <f>SUM(S497:S500)</f>
      </c>
      <c r="T501" s="447">
        <f>SUM(T497:T500)</f>
      </c>
      <c r="U501" s="447">
        <f>SUM(U497:U500)</f>
      </c>
      <c r="V501" s="447">
        <f>SUM(V497:V500)</f>
      </c>
      <c r="W501" s="447">
        <f>SUM(W497:W500)</f>
      </c>
      <c r="X501" s="447">
        <f>SUM(X497:X500)</f>
      </c>
      <c r="Y501" s="447">
        <f>SUM(Y497:Y500)</f>
      </c>
      <c r="Z501" s="423"/>
      <c r="AA501" s="423"/>
      <c r="AB501" s="497" t="s">
        <v>866</v>
      </c>
    </row>
    <row r="502">
      <c r="A502" s="420"/>
      <c r="B502" s="421" t="s">
        <v>782</v>
      </c>
      <c r="C502" s="422" t="s">
        <v>783</v>
      </c>
      <c r="D502" s="421">
        <v>2181.79</v>
      </c>
      <c r="E502" s="423">
        <v>0</v>
      </c>
      <c r="F502" s="423">
        <v>0</v>
      </c>
      <c r="G502" s="467">
        <v>0</v>
      </c>
      <c r="H502" s="424">
        <f t="shared" si="374"/>
      </c>
      <c r="I502" s="424">
        <f t="shared" si="25"/>
      </c>
      <c r="J502" s="424">
        <f t="shared" si="88"/>
      </c>
      <c r="K502" s="425">
        <f t="shared" si="125"/>
      </c>
      <c r="L502" s="426">
        <f t="shared" si="185"/>
      </c>
      <c r="M502" s="427">
        <f t="shared" si="155"/>
      </c>
      <c r="N502" s="427">
        <f t="shared" si="215"/>
      </c>
      <c r="O502" s="427">
        <f t="shared" si="268"/>
      </c>
      <c r="P502" s="428">
        <f t="shared" si="321"/>
      </c>
      <c r="Q502" s="429" t="s">
        <v>777</v>
      </c>
      <c r="R502" s="430" t="s">
        <v>778</v>
      </c>
      <c r="S502" s="436">
        <v>12276</v>
      </c>
      <c r="T502" s="436">
        <v>1225</v>
      </c>
      <c r="U502" s="436">
        <v>1448</v>
      </c>
      <c r="V502" s="436">
        <v>89</v>
      </c>
      <c r="W502" s="435">
        <v>2</v>
      </c>
      <c r="X502" s="435">
        <v>0</v>
      </c>
      <c r="Y502" s="448">
        <v>25</v>
      </c>
      <c r="Z502" s="423"/>
      <c r="AA502" s="423"/>
    </row>
    <row r="503">
      <c r="A503" s="420"/>
      <c r="B503" s="421" t="s">
        <v>782</v>
      </c>
      <c r="C503" s="451" t="s">
        <v>784</v>
      </c>
      <c r="D503" s="421">
        <v>3359.7</v>
      </c>
      <c r="E503" s="423">
        <v>2</v>
      </c>
      <c r="F503" s="423">
        <v>1</v>
      </c>
      <c r="G503" s="467">
        <v>1035.6</v>
      </c>
      <c r="H503" s="424">
        <f t="shared" si="374"/>
      </c>
      <c r="I503" s="424">
        <f t="shared" si="25"/>
      </c>
      <c r="J503" s="424">
        <f t="shared" si="88"/>
      </c>
      <c r="K503" s="425">
        <f t="shared" si="125"/>
      </c>
      <c r="L503" s="426">
        <f t="shared" si="185"/>
      </c>
      <c r="M503" s="427">
        <f t="shared" si="155"/>
      </c>
      <c r="N503" s="427">
        <f t="shared" si="215"/>
      </c>
      <c r="O503" s="427">
        <f t="shared" si="268"/>
      </c>
      <c r="P503" s="428">
        <f t="shared" si="321"/>
      </c>
      <c r="Q503" s="429" t="s">
        <v>777</v>
      </c>
      <c r="R503" s="430" t="s">
        <v>778</v>
      </c>
      <c r="S503" s="436">
        <v>15495</v>
      </c>
      <c r="T503" s="436">
        <v>1562</v>
      </c>
      <c r="U503" s="436">
        <v>1965</v>
      </c>
      <c r="V503" s="436">
        <v>164</v>
      </c>
      <c r="W503" s="435">
        <v>5</v>
      </c>
      <c r="X503" s="435">
        <v>1</v>
      </c>
      <c r="Y503" s="448">
        <v>48</v>
      </c>
      <c r="Z503" s="423"/>
      <c r="AA503" s="423"/>
    </row>
    <row r="504">
      <c r="A504" s="420"/>
      <c r="B504" s="421" t="s">
        <v>782</v>
      </c>
      <c r="C504" s="451" t="s">
        <v>785</v>
      </c>
      <c r="D504" s="421">
        <v>2528.69</v>
      </c>
      <c r="E504" s="423">
        <v>2</v>
      </c>
      <c r="F504" s="423">
        <v>2</v>
      </c>
      <c r="G504" s="467">
        <v>1850.4</v>
      </c>
      <c r="H504" s="424">
        <f t="shared" si="374"/>
      </c>
      <c r="I504" s="424">
        <f t="shared" si="25"/>
      </c>
      <c r="J504" s="424">
        <f t="shared" si="88"/>
      </c>
      <c r="K504" s="425">
        <f t="shared" si="125"/>
      </c>
      <c r="L504" s="426">
        <f t="shared" si="185"/>
      </c>
      <c r="M504" s="427">
        <f t="shared" si="155"/>
      </c>
      <c r="N504" s="427">
        <f t="shared" si="215"/>
      </c>
      <c r="O504" s="427">
        <f t="shared" si="268"/>
      </c>
      <c r="P504" s="428">
        <f t="shared" si="321"/>
      </c>
      <c r="Q504" s="429" t="s">
        <v>777</v>
      </c>
      <c r="R504" s="430" t="s">
        <v>778</v>
      </c>
      <c r="S504" s="436">
        <v>10087</v>
      </c>
      <c r="T504" s="436">
        <v>1273</v>
      </c>
      <c r="U504" s="436">
        <v>1626</v>
      </c>
      <c r="V504" s="436">
        <v>123</v>
      </c>
      <c r="W504" s="435">
        <v>4</v>
      </c>
      <c r="X504" s="435">
        <v>0</v>
      </c>
      <c r="Y504" s="448">
        <v>28</v>
      </c>
      <c r="Z504" s="423"/>
      <c r="AA504" s="423"/>
    </row>
    <row r="505">
      <c r="A505" s="420"/>
      <c r="B505" s="421" t="s">
        <v>782</v>
      </c>
      <c r="C505" s="451" t="s">
        <v>786</v>
      </c>
      <c r="D505" s="421">
        <v>1590.33</v>
      </c>
      <c r="E505" s="423">
        <v>4</v>
      </c>
      <c r="F505" s="423">
        <v>1</v>
      </c>
      <c r="G505" s="462">
        <v>5122.8</v>
      </c>
      <c r="H505" s="424">
        <f t="shared" si="374"/>
      </c>
      <c r="I505" s="424">
        <f t="shared" si="25"/>
      </c>
      <c r="J505" s="424">
        <f t="shared" si="88"/>
      </c>
      <c r="K505" s="425">
        <f t="shared" si="125"/>
      </c>
      <c r="L505" s="426">
        <f t="shared" si="185"/>
      </c>
      <c r="M505" s="427">
        <f t="shared" si="155"/>
      </c>
      <c r="N505" s="427">
        <f t="shared" si="215"/>
      </c>
      <c r="O505" s="427">
        <f t="shared" si="268"/>
      </c>
      <c r="P505" s="428">
        <f t="shared" si="321"/>
      </c>
      <c r="Q505" s="429" t="s">
        <v>777</v>
      </c>
      <c r="R505" s="430" t="s">
        <v>778</v>
      </c>
      <c r="S505" s="436">
        <v>11222</v>
      </c>
      <c r="T505" s="436">
        <v>1042</v>
      </c>
      <c r="U505" s="436">
        <v>1312</v>
      </c>
      <c r="V505" s="436">
        <v>100</v>
      </c>
      <c r="W505" s="435">
        <v>5</v>
      </c>
      <c r="X505" s="435">
        <v>1</v>
      </c>
      <c r="Y505" s="448">
        <v>27</v>
      </c>
      <c r="Z505" s="423"/>
      <c r="AA505" s="423"/>
    </row>
    <row r="506">
      <c r="A506" s="420"/>
      <c r="B506" s="437" t="s">
        <v>774</v>
      </c>
      <c r="C506" s="437"/>
      <c r="D506" s="438">
        <f>SUM(D502:D505)</f>
      </c>
      <c r="E506" s="438">
        <f>SUM(E502:E505)</f>
      </c>
      <c r="F506" s="438">
        <f>SUM(F502:F505)</f>
      </c>
      <c r="G506" s="438">
        <f>SUM(G502:G505)</f>
      </c>
      <c r="H506" s="440">
        <f t="shared" si="374"/>
      </c>
      <c r="I506" s="441">
        <f t="shared" si="25"/>
      </c>
      <c r="J506" s="442">
        <f t="shared" si="88"/>
      </c>
      <c r="K506" s="443">
        <f t="shared" si="125"/>
      </c>
      <c r="L506" s="444">
        <f t="shared" si="185"/>
      </c>
      <c r="M506" s="443">
        <f t="shared" si="155"/>
      </c>
      <c r="N506" s="443">
        <f t="shared" si="215"/>
      </c>
      <c r="O506" s="445">
        <f t="shared" si="268"/>
      </c>
      <c r="P506" s="446">
        <f t="shared" si="321"/>
      </c>
      <c r="Q506" s="444"/>
      <c r="R506" s="444"/>
      <c r="S506" s="447">
        <f>SUM(S502:S505)</f>
      </c>
      <c r="T506" s="447">
        <f>SUM(T502:T505)</f>
      </c>
      <c r="U506" s="447">
        <f>SUM(U502:U505)</f>
      </c>
      <c r="V506" s="447">
        <f>SUM(V502:V505)</f>
      </c>
      <c r="W506" s="447">
        <f>SUM(W502:W505)</f>
      </c>
      <c r="X506" s="447">
        <f>SUM(X502:X505)</f>
      </c>
      <c r="Y506" s="447">
        <f>SUM(Y502:Y505)</f>
      </c>
      <c r="Z506" s="423"/>
      <c r="AA506" s="423"/>
    </row>
    <row r="507">
      <c r="A507" s="420"/>
      <c r="B507" s="452" t="s">
        <v>787</v>
      </c>
      <c r="C507" s="452"/>
      <c r="D507" s="466">
        <f>D491+D496+D506+D501</f>
      </c>
      <c r="E507" s="466">
        <f>E491+E496+E506+E501</f>
      </c>
      <c r="F507" s="466">
        <f>F491+F496+F506+F501</f>
      </c>
      <c r="G507" s="466">
        <f>G491+G496+G506+G501</f>
      </c>
      <c r="H507" s="452">
        <f t="shared" si="374"/>
      </c>
      <c r="I507" s="452">
        <f t="shared" si="25"/>
      </c>
      <c r="J507" s="452">
        <f t="shared" si="88"/>
      </c>
      <c r="K507" s="455">
        <f t="shared" si="125"/>
      </c>
      <c r="L507" s="452">
        <f t="shared" si="185"/>
      </c>
      <c r="M507" s="455">
        <f t="shared" si="155"/>
      </c>
      <c r="N507" s="455">
        <f t="shared" si="215"/>
      </c>
      <c r="O507" s="455">
        <f t="shared" si="268"/>
      </c>
      <c r="P507" s="452">
        <f t="shared" si="321"/>
      </c>
      <c r="Q507" s="456"/>
      <c r="R507" s="456"/>
      <c r="S507" s="454">
        <f>S491+S496+S506+S501</f>
      </c>
      <c r="T507" s="454">
        <f>T491+T496+T506+T501</f>
      </c>
      <c r="U507" s="454">
        <f>U491+U496+U506+U501</f>
      </c>
      <c r="V507" s="454">
        <f>V491+V496+V506+V501</f>
      </c>
      <c r="W507" s="454">
        <f>W491+W496+W506+W501</f>
      </c>
      <c r="X507" s="454">
        <f>X491+X496+X506+X501</f>
      </c>
      <c r="Y507" s="454">
        <f>Y491+Y496+Y506+Y501</f>
      </c>
      <c r="Z507" s="423"/>
      <c r="AA507" s="423"/>
    </row>
    <row r="508">
      <c r="A508" s="405" t="s">
        <v>738</v>
      </c>
      <c r="B508" s="405"/>
      <c r="C508" s="405"/>
      <c r="D508" s="406" t="s">
        <v>739</v>
      </c>
      <c r="E508" s="406"/>
      <c r="F508" s="406"/>
      <c r="G508" s="406"/>
      <c r="H508" s="406"/>
      <c r="I508" s="406"/>
      <c r="J508" s="406"/>
      <c r="K508" s="407" t="s">
        <v>740</v>
      </c>
      <c r="L508" s="407"/>
      <c r="M508" s="407"/>
      <c r="N508" s="407"/>
      <c r="O508" s="407"/>
      <c r="P508" s="407"/>
      <c r="Q508" s="407"/>
      <c r="R508" s="407"/>
      <c r="S508" s="408" t="s">
        <v>741</v>
      </c>
      <c r="T508" s="408"/>
      <c r="U508" s="408"/>
      <c r="V508" s="408"/>
      <c r="W508" s="408"/>
      <c r="X508" s="408"/>
      <c r="Y508" s="408"/>
      <c r="Z508" s="423"/>
      <c r="AA508" s="423"/>
    </row>
    <row r="509">
      <c r="A509" s="409" t="s">
        <v>742</v>
      </c>
      <c r="B509" s="409" t="s">
        <v>743</v>
      </c>
      <c r="C509" s="409" t="s">
        <v>744</v>
      </c>
      <c r="D509" s="410" t="s">
        <v>745</v>
      </c>
      <c r="E509" s="411" t="s">
        <v>746</v>
      </c>
      <c r="F509" s="463" t="s">
        <v>792</v>
      </c>
      <c r="G509" s="410" t="s">
        <v>747</v>
      </c>
      <c r="H509" s="412" t="s">
        <v>748</v>
      </c>
      <c r="I509" s="413" t="s">
        <v>749</v>
      </c>
      <c r="J509" s="410" t="s">
        <v>750</v>
      </c>
      <c r="K509" s="414" t="s">
        <v>751</v>
      </c>
      <c r="L509" s="415" t="s">
        <v>752</v>
      </c>
      <c r="M509" s="414" t="s">
        <v>753</v>
      </c>
      <c r="N509" s="414" t="s">
        <v>754</v>
      </c>
      <c r="O509" s="416" t="s">
        <v>755</v>
      </c>
      <c r="P509" s="416" t="s">
        <v>756</v>
      </c>
      <c r="Q509" s="417" t="s">
        <v>757</v>
      </c>
      <c r="R509" s="417" t="s">
        <v>758</v>
      </c>
      <c r="S509" s="431" t="s">
        <v>759</v>
      </c>
      <c r="T509" s="431" t="s">
        <v>760</v>
      </c>
      <c r="U509" s="431" t="s">
        <v>761</v>
      </c>
      <c r="V509" s="431" t="s">
        <v>762</v>
      </c>
      <c r="W509" s="431" t="s">
        <v>763</v>
      </c>
      <c r="X509" s="431" t="s">
        <v>764</v>
      </c>
      <c r="Y509" s="419" t="s">
        <v>765</v>
      </c>
      <c r="Z509" s="423"/>
      <c r="AA509" s="487" t="s">
        <v>867</v>
      </c>
      <c r="AB509" s="487"/>
      <c r="AC509" s="487"/>
      <c r="AD509" s="487"/>
      <c r="AE509" s="487"/>
      <c r="AF509" s="487"/>
      <c r="AG509" s="487"/>
      <c r="AH509" s="487"/>
      <c r="AI509" s="487"/>
      <c r="AJ509" s="487"/>
      <c r="AK509" s="487"/>
    </row>
    <row r="510">
      <c r="A510" s="420" t="s">
        <v>868</v>
      </c>
      <c r="B510" s="421" t="s">
        <v>767</v>
      </c>
      <c r="C510" s="451" t="s">
        <v>794</v>
      </c>
      <c r="D510" s="421">
        <v>3141.42</v>
      </c>
      <c r="E510" s="423">
        <v>3</v>
      </c>
      <c r="F510" s="423">
        <v>3</v>
      </c>
      <c r="G510" s="467">
        <v>2783.8</v>
      </c>
      <c r="H510" s="424">
        <f t="shared" ref="H510:H530" si="375">G510/D510</f>
      </c>
      <c r="I510" s="424">
        <f>D510/E510</f>
      </c>
      <c r="J510" s="424">
        <f>G510/E510</f>
      </c>
      <c r="K510" s="425">
        <f t="shared" ref="K510:K530" si="126">T510/S510</f>
      </c>
      <c r="L510" s="426">
        <f t="shared" ref="L510:L530" si="186">D510/U510</f>
      </c>
      <c r="M510" s="427">
        <f t="shared" ref="M510:M530" si="156">V510/U510</f>
      </c>
      <c r="N510" s="427">
        <f t="shared" ref="N510:N530" si="216">E510/W510</f>
      </c>
      <c r="O510" s="427">
        <f t="shared" ref="O510:O530" si="269">X510/E510</f>
      </c>
      <c r="P510" s="428">
        <f t="shared" ref="P510:P530" si="322">(Y510*1000)/D510</f>
      </c>
      <c r="Q510" s="429" t="s">
        <v>769</v>
      </c>
      <c r="R510" s="430" t="s">
        <v>869</v>
      </c>
      <c r="S510" s="461">
        <v>8396</v>
      </c>
      <c r="T510" s="461">
        <v>736</v>
      </c>
      <c r="U510" s="461">
        <v>849</v>
      </c>
      <c r="V510" s="461">
        <v>72</v>
      </c>
      <c r="W510" s="461">
        <v>4</v>
      </c>
      <c r="X510" s="461">
        <v>0</v>
      </c>
      <c r="Y510" s="461">
        <v>94</v>
      </c>
      <c r="Z510" s="423"/>
      <c r="AA510" s="489" t="s">
        <v>806</v>
      </c>
      <c r="AB510" s="489" t="s">
        <v>807</v>
      </c>
      <c r="AC510" s="489" t="s">
        <v>808</v>
      </c>
      <c r="AD510" s="489" t="s">
        <v>809</v>
      </c>
      <c r="AE510" s="489" t="s">
        <v>810</v>
      </c>
      <c r="AF510" s="489" t="s">
        <v>811</v>
      </c>
      <c r="AG510" s="489" t="s">
        <v>750</v>
      </c>
      <c r="AH510" s="489" t="s">
        <v>812</v>
      </c>
      <c r="AI510" s="489" t="s">
        <v>748</v>
      </c>
      <c r="AJ510" s="489" t="s">
        <v>813</v>
      </c>
      <c r="AK510" s="489"/>
    </row>
    <row r="511">
      <c r="A511" s="420"/>
      <c r="B511" s="421" t="s">
        <v>767</v>
      </c>
      <c r="C511" s="421" t="s">
        <v>796</v>
      </c>
      <c r="D511" s="421">
        <v>3282.24</v>
      </c>
      <c r="E511" s="423">
        <v>3</v>
      </c>
      <c r="F511" s="423">
        <v>2</v>
      </c>
      <c r="G511" s="467">
        <v>2001.6000000000004</v>
      </c>
      <c r="H511" s="424">
        <f t="shared" si="375"/>
      </c>
      <c r="I511" s="424">
        <v>2161</v>
      </c>
      <c r="J511" s="424">
        <v>234</v>
      </c>
      <c r="K511" s="425">
        <f t="shared" si="126"/>
      </c>
      <c r="L511" s="426">
        <f t="shared" si="186"/>
      </c>
      <c r="M511" s="427">
        <f t="shared" si="156"/>
      </c>
      <c r="N511" s="427">
        <f t="shared" si="216"/>
      </c>
      <c r="O511" s="427">
        <f t="shared" si="269"/>
      </c>
      <c r="P511" s="428">
        <f t="shared" si="322"/>
      </c>
      <c r="Q511" s="429" t="s">
        <v>769</v>
      </c>
      <c r="R511" s="430" t="s">
        <v>869</v>
      </c>
      <c r="S511" s="461">
        <v>19637</v>
      </c>
      <c r="T511" s="461">
        <v>2372</v>
      </c>
      <c r="U511" s="461">
        <v>3445</v>
      </c>
      <c r="V511" s="461">
        <v>491</v>
      </c>
      <c r="W511" s="461">
        <v>7</v>
      </c>
      <c r="X511" s="461">
        <v>0</v>
      </c>
      <c r="Y511" s="461">
        <v>80</v>
      </c>
      <c r="Z511" s="423"/>
      <c r="AA511" s="490" t="s">
        <v>767</v>
      </c>
      <c r="AB511" s="491" t="s">
        <v>814</v>
      </c>
      <c r="AC511" s="492">
        <v>4</v>
      </c>
      <c r="AD511" s="490">
        <v>14093.630000000001</v>
      </c>
      <c r="AE511" s="490">
        <v>21909</v>
      </c>
      <c r="AF511" s="490">
        <v>20</v>
      </c>
      <c r="AG511" s="493">
        <f t="shared" ref="AG511:AG514" si="239">AE511/AF511</f>
      </c>
      <c r="AH511" s="493">
        <f t="shared" ref="AH511:AH514" si="292">AD511/AF511</f>
      </c>
      <c r="AI511" s="493">
        <f t="shared" ref="AI511:AI514" si="345">AE511/AD511</f>
      </c>
      <c r="AJ511" s="492">
        <f>AD511/AC511</f>
      </c>
      <c r="AK511" s="492"/>
    </row>
    <row r="512">
      <c r="A512" s="420"/>
      <c r="B512" s="421" t="s">
        <v>767</v>
      </c>
      <c r="C512" s="421" t="s">
        <v>797</v>
      </c>
      <c r="D512" s="421">
        <v>3219.56</v>
      </c>
      <c r="E512" s="423">
        <v>8</v>
      </c>
      <c r="F512" s="423">
        <v>4</v>
      </c>
      <c r="G512" s="467">
        <v>11522.399999999998</v>
      </c>
      <c r="H512" s="424">
        <f t="shared" si="375"/>
      </c>
      <c r="I512" s="424">
        <f t="shared" ref="I512:I516" si="26">D512/E512</f>
      </c>
      <c r="J512" s="424">
        <f t="shared" ref="J512:J516" si="89">G512/E512</f>
      </c>
      <c r="K512" s="425">
        <f t="shared" si="126"/>
      </c>
      <c r="L512" s="426">
        <f t="shared" si="186"/>
      </c>
      <c r="M512" s="427">
        <f t="shared" si="156"/>
      </c>
      <c r="N512" s="427">
        <f t="shared" si="216"/>
      </c>
      <c r="O512" s="427">
        <f t="shared" si="269"/>
      </c>
      <c r="P512" s="428">
        <f t="shared" si="322"/>
      </c>
      <c r="Q512" s="429" t="s">
        <v>769</v>
      </c>
      <c r="R512" s="430" t="s">
        <v>869</v>
      </c>
      <c r="S512" s="461">
        <v>11435</v>
      </c>
      <c r="T512" s="461">
        <v>1224</v>
      </c>
      <c r="U512" s="461">
        <v>1647</v>
      </c>
      <c r="V512" s="461">
        <v>252</v>
      </c>
      <c r="W512" s="461">
        <v>10</v>
      </c>
      <c r="X512" s="461">
        <v>1</v>
      </c>
      <c r="Y512" s="461">
        <v>95</v>
      </c>
      <c r="Z512" s="423"/>
      <c r="AA512" s="490" t="s">
        <v>782</v>
      </c>
      <c r="AB512" s="491" t="s">
        <v>815</v>
      </c>
      <c r="AC512" s="492">
        <v>4</v>
      </c>
      <c r="AD512" s="490">
        <v>16290.919999999998</v>
      </c>
      <c r="AE512" s="490">
        <v>31447.4</v>
      </c>
      <c r="AF512" s="490">
        <v>27</v>
      </c>
      <c r="AG512" s="493">
        <f t="shared" si="239"/>
      </c>
      <c r="AH512" s="493">
        <f t="shared" si="292"/>
      </c>
      <c r="AI512" s="493">
        <f t="shared" si="345"/>
      </c>
      <c r="AJ512" s="492">
        <f t="shared" ref="AJ512:AJ514" si="56">AD512/4</f>
      </c>
      <c r="AK512" s="492"/>
    </row>
    <row r="513">
      <c r="A513" s="420"/>
      <c r="B513" s="421" t="s">
        <v>767</v>
      </c>
      <c r="C513" s="421" t="s">
        <v>798</v>
      </c>
      <c r="D513" s="421">
        <v>3749.800000000001</v>
      </c>
      <c r="E513" s="423">
        <v>6</v>
      </c>
      <c r="F513" s="423">
        <v>1</v>
      </c>
      <c r="G513" s="462">
        <v>5601.200000000003</v>
      </c>
      <c r="H513" s="424">
        <f t="shared" si="375"/>
      </c>
      <c r="I513" s="424">
        <f t="shared" si="26"/>
      </c>
      <c r="J513" s="424">
        <f t="shared" si="89"/>
      </c>
      <c r="K513" s="425">
        <f t="shared" si="126"/>
      </c>
      <c r="L513" s="426">
        <f t="shared" si="186"/>
      </c>
      <c r="M513" s="427">
        <f t="shared" si="156"/>
      </c>
      <c r="N513" s="427">
        <f t="shared" si="216"/>
      </c>
      <c r="O513" s="427">
        <f t="shared" si="269"/>
      </c>
      <c r="P513" s="428">
        <f t="shared" si="322"/>
      </c>
      <c r="Q513" s="429" t="s">
        <v>769</v>
      </c>
      <c r="R513" s="430" t="s">
        <v>869</v>
      </c>
      <c r="S513" s="461">
        <v>12269</v>
      </c>
      <c r="T513" s="461">
        <v>1268</v>
      </c>
      <c r="U513" s="461">
        <v>1746</v>
      </c>
      <c r="V513" s="461">
        <v>231</v>
      </c>
      <c r="W513" s="461">
        <v>4</v>
      </c>
      <c r="X513" s="435">
        <v>1</v>
      </c>
      <c r="Y513" s="435">
        <v>77</v>
      </c>
      <c r="Z513" s="423"/>
      <c r="AA513" s="490" t="s">
        <v>789</v>
      </c>
      <c r="AB513" s="491" t="s">
        <v>816</v>
      </c>
      <c r="AC513" s="492">
        <v>4</v>
      </c>
      <c r="AD513" s="490">
        <v>14865.060000000001</v>
      </c>
      <c r="AE513" s="490">
        <v>17517.200000000004</v>
      </c>
      <c r="AF513" s="490">
        <v>17</v>
      </c>
      <c r="AG513" s="493">
        <f t="shared" si="239"/>
      </c>
      <c r="AH513" s="493">
        <f t="shared" si="292"/>
      </c>
      <c r="AI513" s="493">
        <f t="shared" si="345"/>
      </c>
      <c r="AJ513" s="492">
        <f t="shared" si="56"/>
      </c>
      <c r="AK513" s="492"/>
    </row>
    <row r="514">
      <c r="A514" s="420"/>
      <c r="B514" s="437" t="s">
        <v>774</v>
      </c>
      <c r="C514" s="437"/>
      <c r="D514" s="438">
        <f>SUM(D510:D513)</f>
      </c>
      <c r="E514" s="439">
        <f>SUM(E510:E513)</f>
      </c>
      <c r="F514" s="439">
        <f>SUM(F510:F513)</f>
      </c>
      <c r="G514" s="438">
        <f>SUM(G510:G513)</f>
      </c>
      <c r="H514" s="440">
        <f t="shared" si="375"/>
      </c>
      <c r="I514" s="441">
        <f t="shared" si="26"/>
      </c>
      <c r="J514" s="442">
        <f t="shared" si="89"/>
      </c>
      <c r="K514" s="443">
        <f t="shared" si="126"/>
      </c>
      <c r="L514" s="444">
        <f t="shared" si="186"/>
      </c>
      <c r="M514" s="443">
        <f t="shared" si="156"/>
      </c>
      <c r="N514" s="443">
        <f t="shared" si="216"/>
      </c>
      <c r="O514" s="445">
        <f t="shared" si="269"/>
      </c>
      <c r="P514" s="446">
        <f t="shared" si="322"/>
      </c>
      <c r="Q514" s="444"/>
      <c r="R514" s="444"/>
      <c r="S514" s="447">
        <f>SUM(S510:S513)</f>
      </c>
      <c r="T514" s="447">
        <f>SUM(T510:T513)</f>
      </c>
      <c r="U514" s="447">
        <f>SUM(U510:U513)</f>
      </c>
      <c r="V514" s="447">
        <f>SUM(V510:V513)</f>
      </c>
      <c r="W514" s="447">
        <f>SUM(W510:W513)</f>
      </c>
      <c r="X514" s="447">
        <f>SUM(X510:X513)</f>
      </c>
      <c r="Y514" s="447">
        <f>SUM(Y510:Y513)</f>
      </c>
      <c r="Z514" s="423"/>
      <c r="AA514" s="490" t="s">
        <v>775</v>
      </c>
      <c r="AB514" s="491" t="s">
        <v>817</v>
      </c>
      <c r="AC514" s="492">
        <v>4</v>
      </c>
      <c r="AD514" s="490">
        <v>18001.01000000001</v>
      </c>
      <c r="AE514" s="490">
        <v>41086.09999999999</v>
      </c>
      <c r="AF514" s="490">
        <v>30</v>
      </c>
      <c r="AG514" s="493">
        <f t="shared" si="239"/>
      </c>
      <c r="AH514" s="493">
        <f t="shared" si="292"/>
      </c>
      <c r="AI514" s="493">
        <f t="shared" si="345"/>
      </c>
      <c r="AJ514" s="492">
        <f t="shared" si="56"/>
      </c>
      <c r="AK514" s="492"/>
    </row>
    <row r="515">
      <c r="A515" s="420"/>
      <c r="B515" s="421" t="s">
        <v>782</v>
      </c>
      <c r="C515" s="422" t="s">
        <v>768</v>
      </c>
      <c r="D515" s="421">
        <v>4154.489999999998</v>
      </c>
      <c r="E515" s="423">
        <v>5</v>
      </c>
      <c r="F515" s="423">
        <v>6</v>
      </c>
      <c r="G515" s="467">
        <v>4427.300000000001</v>
      </c>
      <c r="H515" s="424">
        <f t="shared" si="375"/>
      </c>
      <c r="I515" s="424">
        <f t="shared" si="26"/>
      </c>
      <c r="J515" s="424">
        <f t="shared" si="89"/>
      </c>
      <c r="K515" s="425">
        <f t="shared" si="126"/>
      </c>
      <c r="L515" s="426">
        <f t="shared" si="186"/>
      </c>
      <c r="M515" s="427">
        <f t="shared" si="156"/>
      </c>
      <c r="N515" s="427">
        <f t="shared" si="216"/>
      </c>
      <c r="O515" s="427">
        <f t="shared" si="269"/>
      </c>
      <c r="P515" s="428">
        <f t="shared" si="322"/>
      </c>
      <c r="Q515" s="429" t="s">
        <v>777</v>
      </c>
      <c r="R515" s="430" t="s">
        <v>869</v>
      </c>
      <c r="S515" s="436">
        <v>11971</v>
      </c>
      <c r="T515" s="436">
        <v>1145</v>
      </c>
      <c r="U515" s="436">
        <v>1482</v>
      </c>
      <c r="V515" s="436">
        <v>158</v>
      </c>
      <c r="W515" s="435">
        <v>8</v>
      </c>
      <c r="X515" s="435">
        <v>1</v>
      </c>
      <c r="Y515" s="448">
        <v>63</v>
      </c>
      <c r="Z515" s="423"/>
      <c r="AA515" s="495" t="s">
        <v>819</v>
      </c>
      <c r="AB515" s="495"/>
      <c r="AC515" s="495"/>
      <c r="AD515" s="495"/>
      <c r="AE515" s="495"/>
      <c r="AF515" s="495"/>
      <c r="AG515" s="495"/>
      <c r="AH515" s="495"/>
      <c r="AI515" s="495"/>
      <c r="AJ515" s="495"/>
      <c r="AK515" s="495"/>
    </row>
    <row r="516">
      <c r="A516" s="420"/>
      <c r="B516" s="421" t="s">
        <v>782</v>
      </c>
      <c r="C516" s="433" t="s">
        <v>771</v>
      </c>
      <c r="D516" s="421">
        <v>3201.1399999999994</v>
      </c>
      <c r="E516" s="423">
        <v>5</v>
      </c>
      <c r="F516" s="423">
        <v>3</v>
      </c>
      <c r="G516" s="467">
        <v>5092.0999999999985</v>
      </c>
      <c r="H516" s="424">
        <f t="shared" si="375"/>
      </c>
      <c r="I516" s="424">
        <f t="shared" si="26"/>
      </c>
      <c r="J516" s="424">
        <f t="shared" si="89"/>
      </c>
      <c r="K516" s="425">
        <f t="shared" si="126"/>
      </c>
      <c r="L516" s="426">
        <f t="shared" si="186"/>
      </c>
      <c r="M516" s="427">
        <f t="shared" si="156"/>
      </c>
      <c r="N516" s="427">
        <f t="shared" si="216"/>
      </c>
      <c r="O516" s="427">
        <f t="shared" si="269"/>
      </c>
      <c r="P516" s="428">
        <f t="shared" si="322"/>
      </c>
      <c r="Q516" s="429" t="s">
        <v>777</v>
      </c>
      <c r="R516" s="430" t="s">
        <v>869</v>
      </c>
      <c r="S516" s="436">
        <v>8849</v>
      </c>
      <c r="T516" s="436">
        <v>988</v>
      </c>
      <c r="U516" s="436">
        <v>1310</v>
      </c>
      <c r="V516" s="436">
        <v>189</v>
      </c>
      <c r="W516" s="435">
        <v>10</v>
      </c>
      <c r="X516" s="435">
        <v>1</v>
      </c>
      <c r="Y516" s="448">
        <v>56</v>
      </c>
      <c r="Z516" s="423"/>
      <c r="AA516" s="478" t="s">
        <v>809</v>
      </c>
      <c r="AB516" s="478" t="s">
        <v>820</v>
      </c>
      <c r="AC516" s="479" t="s">
        <v>821</v>
      </c>
      <c r="AD516" s="478" t="s">
        <v>822</v>
      </c>
      <c r="AE516" s="478" t="s">
        <v>823</v>
      </c>
      <c r="AF516" s="478" t="s">
        <v>824</v>
      </c>
      <c r="AG516" s="478" t="s">
        <v>825</v>
      </c>
      <c r="AH516" s="480" t="s">
        <v>764</v>
      </c>
      <c r="AI516" s="480" t="s">
        <v>826</v>
      </c>
      <c r="AJ516" s="480" t="s">
        <v>827</v>
      </c>
      <c r="AK516" s="480" t="s">
        <v>808</v>
      </c>
    </row>
    <row r="517">
      <c r="A517" s="420"/>
      <c r="B517" s="421" t="s">
        <v>782</v>
      </c>
      <c r="C517" s="433" t="s">
        <v>772</v>
      </c>
      <c r="D517" s="421">
        <v>4505.77</v>
      </c>
      <c r="E517" s="423">
        <v>12</v>
      </c>
      <c r="F517" s="423">
        <v>10</v>
      </c>
      <c r="G517" s="467">
        <v>11692.400000000001</v>
      </c>
      <c r="H517" s="424">
        <f t="shared" si="375"/>
      </c>
      <c r="I517" s="424">
        <v>1323</v>
      </c>
      <c r="J517" s="424">
        <v>145</v>
      </c>
      <c r="K517" s="425">
        <f t="shared" si="126"/>
      </c>
      <c r="L517" s="426">
        <f t="shared" si="186"/>
      </c>
      <c r="M517" s="427">
        <f t="shared" si="156"/>
      </c>
      <c r="N517" s="427">
        <f t="shared" si="216"/>
      </c>
      <c r="O517" s="427">
        <f t="shared" si="269"/>
      </c>
      <c r="P517" s="428">
        <f t="shared" si="322"/>
      </c>
      <c r="Q517" s="429" t="s">
        <v>777</v>
      </c>
      <c r="R517" s="430" t="s">
        <v>869</v>
      </c>
      <c r="S517" s="436">
        <v>10011</v>
      </c>
      <c r="T517" s="436">
        <v>1262</v>
      </c>
      <c r="U517" s="436">
        <v>1734</v>
      </c>
      <c r="V517" s="436">
        <v>239</v>
      </c>
      <c r="W517" s="435">
        <v>8</v>
      </c>
      <c r="X517" s="435">
        <v>1</v>
      </c>
      <c r="Y517" s="448">
        <v>70</v>
      </c>
      <c r="Z517" s="423"/>
      <c r="AA517" s="465">
        <f>SUM(AD511:AD514)</f>
      </c>
      <c r="AB517" s="465">
        <f>SUM(AE511:AE514)</f>
      </c>
      <c r="AC517" s="481">
        <f>AB517/((AK517*300)+AA517)</f>
      </c>
      <c r="AD517" s="482">
        <f>AA517/AJ517</f>
      </c>
      <c r="AE517" s="481">
        <f>AB517/AJ517</f>
      </c>
      <c r="AF517" s="483">
        <f>AJ517/AI517</f>
      </c>
      <c r="AG517" s="483">
        <f>AH517/AJ517</f>
      </c>
      <c r="AH517" s="484">
        <v>13</v>
      </c>
      <c r="AI517" s="484">
        <v>124</v>
      </c>
      <c r="AJ517" s="485">
        <f>SUM(AF511:AF514)</f>
      </c>
      <c r="AK517" s="485">
        <f>SUM(AC511:AC514)</f>
      </c>
    </row>
    <row r="518">
      <c r="A518" s="420"/>
      <c r="B518" s="421" t="s">
        <v>782</v>
      </c>
      <c r="C518" s="433" t="s">
        <v>773</v>
      </c>
      <c r="D518" s="421">
        <v>5130.130000000001</v>
      </c>
      <c r="E518" s="423">
        <v>5</v>
      </c>
      <c r="F518" s="423">
        <v>4</v>
      </c>
      <c r="G518" s="462">
        <v>10235.599999999999</v>
      </c>
      <c r="H518" s="424">
        <f t="shared" si="375"/>
      </c>
      <c r="I518" s="424">
        <f t="shared" ref="I518:I530" si="27">D518/E518</f>
      </c>
      <c r="J518" s="424">
        <f t="shared" ref="J518:J530" si="90">G518/E518</f>
      </c>
      <c r="K518" s="425">
        <f t="shared" si="126"/>
      </c>
      <c r="L518" s="426">
        <f t="shared" si="186"/>
      </c>
      <c r="M518" s="427">
        <f t="shared" si="156"/>
      </c>
      <c r="N518" s="427">
        <f t="shared" si="216"/>
      </c>
      <c r="O518" s="427">
        <f t="shared" si="269"/>
      </c>
      <c r="P518" s="428">
        <f t="shared" si="322"/>
      </c>
      <c r="Q518" s="429" t="s">
        <v>777</v>
      </c>
      <c r="R518" s="430" t="s">
        <v>869</v>
      </c>
      <c r="S518" s="436">
        <v>13075</v>
      </c>
      <c r="T518" s="436">
        <v>1328</v>
      </c>
      <c r="U518" s="436">
        <v>1816</v>
      </c>
      <c r="V518" s="436">
        <v>268</v>
      </c>
      <c r="W518" s="435">
        <v>9</v>
      </c>
      <c r="X518" s="435">
        <v>1</v>
      </c>
      <c r="Y518" s="448">
        <v>62</v>
      </c>
      <c r="Z518" s="423"/>
      <c r="AA518" s="423"/>
    </row>
    <row r="519">
      <c r="A519" s="420"/>
      <c r="B519" s="437" t="s">
        <v>774</v>
      </c>
      <c r="C519" s="437"/>
      <c r="D519" s="438">
        <f>SUM(D515:D518)</f>
      </c>
      <c r="E519" s="439">
        <f>SUM(E515:E518)</f>
      </c>
      <c r="F519" s="439">
        <f>SUM(F515:F518)</f>
      </c>
      <c r="G519" s="438">
        <f>SUM(G515:G518)</f>
      </c>
      <c r="H519" s="440">
        <f t="shared" si="375"/>
      </c>
      <c r="I519" s="441">
        <f t="shared" si="27"/>
      </c>
      <c r="J519" s="442">
        <f t="shared" si="90"/>
      </c>
      <c r="K519" s="443">
        <f t="shared" si="126"/>
      </c>
      <c r="L519" s="444">
        <f t="shared" si="186"/>
      </c>
      <c r="M519" s="443">
        <f t="shared" si="156"/>
      </c>
      <c r="N519" s="443">
        <f t="shared" si="216"/>
      </c>
      <c r="O519" s="445">
        <f t="shared" si="269"/>
      </c>
      <c r="P519" s="446">
        <f t="shared" si="322"/>
      </c>
      <c r="Q519" s="444"/>
      <c r="R519" s="444"/>
      <c r="S519" s="447">
        <f>SUM(S515:S518)</f>
      </c>
      <c r="T519" s="447">
        <f>SUM(T515:T518)</f>
      </c>
      <c r="U519" s="447">
        <f>SUM(U515:U518)</f>
      </c>
      <c r="V519" s="447">
        <f>SUM(V515:V518)</f>
      </c>
      <c r="W519" s="447">
        <f>SUM(W515:W518)</f>
      </c>
      <c r="X519" s="447">
        <f>SUM(X515:X518)</f>
      </c>
      <c r="Y519" s="447">
        <f>SUM(Y515:Y518)</f>
      </c>
      <c r="Z519" s="423"/>
      <c r="AA519" s="423"/>
    </row>
    <row r="520">
      <c r="A520" s="420"/>
      <c r="B520" s="421" t="s">
        <v>789</v>
      </c>
      <c r="C520" s="433" t="s">
        <v>776</v>
      </c>
      <c r="D520" s="421">
        <v>4103.439999999999</v>
      </c>
      <c r="E520" s="423">
        <v>2</v>
      </c>
      <c r="F520" s="423">
        <v>2</v>
      </c>
      <c r="G520" s="467">
        <v>1305.5999999999985</v>
      </c>
      <c r="H520" s="424">
        <f t="shared" si="375"/>
      </c>
      <c r="I520" s="424">
        <f t="shared" si="27"/>
      </c>
      <c r="J520" s="424">
        <f t="shared" si="90"/>
      </c>
      <c r="K520" s="425">
        <f t="shared" si="126"/>
      </c>
      <c r="L520" s="426">
        <f t="shared" si="186"/>
      </c>
      <c r="M520" s="427">
        <f t="shared" si="156"/>
      </c>
      <c r="N520" s="427">
        <f t="shared" si="216"/>
      </c>
      <c r="O520" s="427">
        <f t="shared" si="269"/>
      </c>
      <c r="P520" s="428">
        <f t="shared" si="322"/>
      </c>
      <c r="Q520" s="429" t="s">
        <v>777</v>
      </c>
      <c r="R520" s="430" t="s">
        <v>851</v>
      </c>
      <c r="S520" s="436">
        <v>17609</v>
      </c>
      <c r="T520" s="436">
        <v>1366</v>
      </c>
      <c r="U520" s="436">
        <v>1737</v>
      </c>
      <c r="V520" s="436">
        <v>201</v>
      </c>
      <c r="W520" s="435">
        <v>6</v>
      </c>
      <c r="X520" s="435">
        <v>0</v>
      </c>
      <c r="Y520" s="448">
        <v>41</v>
      </c>
      <c r="Z520" s="423"/>
      <c r="AA520" s="423"/>
    </row>
    <row r="521">
      <c r="A521" s="420"/>
      <c r="B521" s="421" t="s">
        <v>789</v>
      </c>
      <c r="C521" s="422" t="s">
        <v>779</v>
      </c>
      <c r="D521" s="421">
        <v>3510.110000000008</v>
      </c>
      <c r="E521" s="423">
        <v>2</v>
      </c>
      <c r="F521" s="423">
        <v>2</v>
      </c>
      <c r="G521" s="467">
        <v>1850.4000000000015</v>
      </c>
      <c r="H521" s="424">
        <f t="shared" si="375"/>
      </c>
      <c r="I521" s="424">
        <f t="shared" si="27"/>
      </c>
      <c r="J521" s="424">
        <f t="shared" si="90"/>
      </c>
      <c r="K521" s="425">
        <f t="shared" si="126"/>
      </c>
      <c r="L521" s="426">
        <f t="shared" si="186"/>
      </c>
      <c r="M521" s="427">
        <f t="shared" si="156"/>
      </c>
      <c r="N521" s="427">
        <f t="shared" si="216"/>
      </c>
      <c r="O521" s="427">
        <f t="shared" si="269"/>
      </c>
      <c r="P521" s="428">
        <f t="shared" si="322"/>
      </c>
      <c r="Q521" s="429" t="s">
        <v>777</v>
      </c>
      <c r="R521" s="430" t="s">
        <v>851</v>
      </c>
      <c r="S521" s="436">
        <v>16687</v>
      </c>
      <c r="T521" s="436">
        <v>1379</v>
      </c>
      <c r="U521" s="436">
        <v>1787</v>
      </c>
      <c r="V521" s="436">
        <v>203</v>
      </c>
      <c r="W521" s="435">
        <v>4</v>
      </c>
      <c r="X521" s="435">
        <v>0</v>
      </c>
      <c r="Y521" s="448">
        <v>30</v>
      </c>
      <c r="Z521" s="423"/>
      <c r="AA521" s="423"/>
    </row>
    <row r="522">
      <c r="A522" s="420"/>
      <c r="B522" s="421" t="s">
        <v>789</v>
      </c>
      <c r="C522" s="422" t="s">
        <v>780</v>
      </c>
      <c r="D522" s="421">
        <v>3388.5899999999892</v>
      </c>
      <c r="E522" s="423">
        <v>6</v>
      </c>
      <c r="F522" s="423">
        <v>5</v>
      </c>
      <c r="G522" s="467">
        <v>6751.199999999997</v>
      </c>
      <c r="H522" s="424">
        <f t="shared" si="375"/>
      </c>
      <c r="I522" s="424">
        <f t="shared" si="27"/>
      </c>
      <c r="J522" s="424">
        <f t="shared" si="90"/>
      </c>
      <c r="K522" s="425">
        <f t="shared" si="126"/>
      </c>
      <c r="L522" s="426">
        <f t="shared" si="186"/>
      </c>
      <c r="M522" s="427">
        <f t="shared" si="156"/>
      </c>
      <c r="N522" s="427">
        <f t="shared" si="216"/>
      </c>
      <c r="O522" s="427">
        <f t="shared" si="269"/>
      </c>
      <c r="P522" s="428">
        <f t="shared" si="322"/>
      </c>
      <c r="Q522" s="429" t="s">
        <v>777</v>
      </c>
      <c r="R522" s="430" t="s">
        <v>851</v>
      </c>
      <c r="S522" s="436">
        <v>15034</v>
      </c>
      <c r="T522" s="436">
        <v>1454</v>
      </c>
      <c r="U522" s="436">
        <v>1814</v>
      </c>
      <c r="V522" s="436">
        <v>239</v>
      </c>
      <c r="W522" s="435">
        <v>8</v>
      </c>
      <c r="X522" s="435">
        <v>0</v>
      </c>
      <c r="Y522" s="448">
        <v>43</v>
      </c>
      <c r="Z522" s="423"/>
      <c r="AA522" s="423"/>
    </row>
    <row r="523">
      <c r="A523" s="420"/>
      <c r="B523" s="421" t="s">
        <v>789</v>
      </c>
      <c r="C523" s="422" t="s">
        <v>781</v>
      </c>
      <c r="D523" s="421">
        <v>3862.9200000000055</v>
      </c>
      <c r="E523" s="423">
        <v>7</v>
      </c>
      <c r="F523" s="423">
        <v>5</v>
      </c>
      <c r="G523" s="462">
        <v>7610.000000000007</v>
      </c>
      <c r="H523" s="424">
        <f t="shared" si="375"/>
      </c>
      <c r="I523" s="424">
        <f t="shared" si="27"/>
      </c>
      <c r="J523" s="424">
        <f t="shared" si="90"/>
      </c>
      <c r="K523" s="425">
        <f t="shared" si="126"/>
      </c>
      <c r="L523" s="426">
        <f t="shared" si="186"/>
      </c>
      <c r="M523" s="427">
        <f t="shared" si="156"/>
      </c>
      <c r="N523" s="427">
        <f t="shared" si="216"/>
      </c>
      <c r="O523" s="427">
        <f t="shared" si="269"/>
      </c>
      <c r="P523" s="428">
        <f t="shared" si="322"/>
      </c>
      <c r="Q523" s="429" t="s">
        <v>777</v>
      </c>
      <c r="R523" s="430" t="s">
        <v>851</v>
      </c>
      <c r="S523" s="436">
        <v>14488</v>
      </c>
      <c r="T523" s="436">
        <v>1221</v>
      </c>
      <c r="U523" s="436">
        <v>1647</v>
      </c>
      <c r="V523" s="436">
        <v>209</v>
      </c>
      <c r="W523" s="435">
        <v>7</v>
      </c>
      <c r="X523" s="435">
        <v>1</v>
      </c>
      <c r="Y523" s="448">
        <v>39</v>
      </c>
      <c r="Z523" s="423"/>
      <c r="AA523" s="423"/>
    </row>
    <row r="524">
      <c r="A524" s="420"/>
      <c r="B524" s="437" t="s">
        <v>774</v>
      </c>
      <c r="C524" s="437"/>
      <c r="D524" s="438">
        <f>SUM(D520:D523)</f>
      </c>
      <c r="E524" s="439">
        <f>SUM(E520:E523)</f>
      </c>
      <c r="F524" s="439">
        <f>SUM(F520:F523)</f>
      </c>
      <c r="G524" s="438">
        <f>SUM(G520:G523)</f>
      </c>
      <c r="H524" s="440">
        <f t="shared" si="375"/>
      </c>
      <c r="I524" s="441">
        <f t="shared" si="27"/>
      </c>
      <c r="J524" s="442">
        <f t="shared" si="90"/>
      </c>
      <c r="K524" s="443">
        <f t="shared" si="126"/>
      </c>
      <c r="L524" s="444">
        <f t="shared" si="186"/>
      </c>
      <c r="M524" s="443">
        <f t="shared" si="156"/>
      </c>
      <c r="N524" s="443">
        <f t="shared" si="216"/>
      </c>
      <c r="O524" s="445">
        <f t="shared" si="269"/>
      </c>
      <c r="P524" s="446">
        <f t="shared" si="322"/>
      </c>
      <c r="Q524" s="444"/>
      <c r="R524" s="444"/>
      <c r="S524" s="447">
        <f>SUM(S520:S523)</f>
      </c>
      <c r="T524" s="447">
        <f>SUM(T520:T523)</f>
      </c>
      <c r="U524" s="447">
        <f>SUM(U520:U523)</f>
      </c>
      <c r="V524" s="447">
        <f>SUM(V520:V523)</f>
      </c>
      <c r="W524" s="447">
        <f>SUM(W520:W523)</f>
      </c>
      <c r="X524" s="447">
        <f>SUM(X520:X523)</f>
      </c>
      <c r="Y524" s="447">
        <f>SUM(Y520:Y523)</f>
      </c>
      <c r="Z524" s="423"/>
      <c r="AA524" s="423"/>
      <c r="AB524" s="497" t="s">
        <v>866</v>
      </c>
    </row>
    <row r="525">
      <c r="A525" s="420"/>
      <c r="B525" s="421" t="s">
        <v>775</v>
      </c>
      <c r="C525" s="422" t="s">
        <v>783</v>
      </c>
      <c r="D525" s="421">
        <v>4082.8700000000026</v>
      </c>
      <c r="E525" s="423">
        <v>5</v>
      </c>
      <c r="F525" s="423">
        <v>4</v>
      </c>
      <c r="G525" s="467">
        <v>4597.199999999997</v>
      </c>
      <c r="H525" s="424">
        <f t="shared" si="375"/>
      </c>
      <c r="I525" s="424">
        <f t="shared" si="27"/>
      </c>
      <c r="J525" s="424">
        <f t="shared" si="90"/>
      </c>
      <c r="K525" s="425">
        <f t="shared" si="126"/>
      </c>
      <c r="L525" s="426">
        <f t="shared" si="186"/>
      </c>
      <c r="M525" s="427">
        <f t="shared" si="156"/>
      </c>
      <c r="N525" s="427">
        <f t="shared" si="216"/>
      </c>
      <c r="O525" s="427">
        <f t="shared" si="269"/>
      </c>
      <c r="P525" s="428">
        <f t="shared" si="322"/>
      </c>
      <c r="Q525" s="429" t="s">
        <v>777</v>
      </c>
      <c r="R525" s="430" t="s">
        <v>851</v>
      </c>
      <c r="S525" s="436">
        <v>14896</v>
      </c>
      <c r="T525" s="436">
        <v>1198</v>
      </c>
      <c r="U525" s="436">
        <v>1570</v>
      </c>
      <c r="V525" s="436">
        <v>192</v>
      </c>
      <c r="W525" s="435">
        <v>8</v>
      </c>
      <c r="X525" s="435">
        <v>1</v>
      </c>
      <c r="Y525" s="448">
        <v>31</v>
      </c>
      <c r="Z525" s="423"/>
      <c r="AA525" s="423"/>
    </row>
    <row r="526">
      <c r="A526" s="420"/>
      <c r="B526" s="421" t="s">
        <v>775</v>
      </c>
      <c r="C526" s="451" t="s">
        <v>784</v>
      </c>
      <c r="D526" s="421">
        <v>3807.6600000000035</v>
      </c>
      <c r="E526" s="423">
        <v>7</v>
      </c>
      <c r="F526" s="423">
        <v>6</v>
      </c>
      <c r="G526" s="467">
        <v>7006.800000000003</v>
      </c>
      <c r="H526" s="424">
        <f t="shared" si="375"/>
      </c>
      <c r="I526" s="424">
        <f t="shared" si="27"/>
      </c>
      <c r="J526" s="424">
        <f t="shared" si="90"/>
      </c>
      <c r="K526" s="425">
        <f t="shared" si="126"/>
      </c>
      <c r="L526" s="426">
        <f t="shared" si="186"/>
      </c>
      <c r="M526" s="427">
        <f t="shared" si="156"/>
      </c>
      <c r="N526" s="427">
        <f t="shared" si="216"/>
      </c>
      <c r="O526" s="427">
        <f t="shared" si="269"/>
      </c>
      <c r="P526" s="428">
        <f t="shared" si="322"/>
      </c>
      <c r="Q526" s="429" t="s">
        <v>777</v>
      </c>
      <c r="R526" s="430" t="s">
        <v>851</v>
      </c>
      <c r="S526" s="436">
        <v>14008</v>
      </c>
      <c r="T526" s="436">
        <v>1159</v>
      </c>
      <c r="U526" s="436">
        <v>1466</v>
      </c>
      <c r="V526" s="436">
        <v>180</v>
      </c>
      <c r="W526" s="435">
        <v>9</v>
      </c>
      <c r="X526" s="435">
        <v>3</v>
      </c>
      <c r="Y526" s="448">
        <v>42</v>
      </c>
      <c r="Z526" s="423"/>
      <c r="AA526" s="423"/>
    </row>
    <row r="527">
      <c r="A527" s="420"/>
      <c r="B527" s="421" t="s">
        <v>775</v>
      </c>
      <c r="C527" s="451" t="s">
        <v>785</v>
      </c>
      <c r="D527" s="421">
        <v>5496.930000000008</v>
      </c>
      <c r="E527" s="423">
        <v>13</v>
      </c>
      <c r="F527" s="423">
        <v>5</v>
      </c>
      <c r="G527" s="467">
        <v>20507.29999999999</v>
      </c>
      <c r="H527" s="424">
        <f t="shared" si="375"/>
      </c>
      <c r="I527" s="424">
        <f t="shared" si="27"/>
      </c>
      <c r="J527" s="424">
        <f t="shared" si="90"/>
      </c>
      <c r="K527" s="425">
        <f t="shared" si="126"/>
      </c>
      <c r="L527" s="426">
        <f t="shared" si="186"/>
      </c>
      <c r="M527" s="427">
        <f t="shared" si="156"/>
      </c>
      <c r="N527" s="427">
        <f t="shared" si="216"/>
      </c>
      <c r="O527" s="427">
        <f t="shared" si="269"/>
      </c>
      <c r="P527" s="428">
        <f t="shared" si="322"/>
      </c>
      <c r="Q527" s="429" t="s">
        <v>777</v>
      </c>
      <c r="R527" s="430" t="s">
        <v>851</v>
      </c>
      <c r="S527" s="436">
        <v>25856</v>
      </c>
      <c r="T527" s="436">
        <v>2432</v>
      </c>
      <c r="U527" s="436">
        <v>3023</v>
      </c>
      <c r="V527" s="436">
        <v>237</v>
      </c>
      <c r="W527" s="435">
        <v>17</v>
      </c>
      <c r="X527" s="435">
        <v>1</v>
      </c>
      <c r="Y527" s="448">
        <v>46</v>
      </c>
      <c r="Z527" s="423"/>
      <c r="AA527" s="423"/>
    </row>
    <row r="528">
      <c r="A528" s="420"/>
      <c r="B528" s="421" t="s">
        <v>775</v>
      </c>
      <c r="C528" s="451" t="s">
        <v>786</v>
      </c>
      <c r="D528" s="421">
        <v>4613.549999999996</v>
      </c>
      <c r="E528" s="423">
        <v>5</v>
      </c>
      <c r="F528" s="423">
        <v>4</v>
      </c>
      <c r="G528" s="462">
        <v>8974.800000000003</v>
      </c>
      <c r="H528" s="424">
        <f t="shared" si="375"/>
      </c>
      <c r="I528" s="424">
        <f t="shared" si="27"/>
      </c>
      <c r="J528" s="424">
        <f t="shared" si="90"/>
      </c>
      <c r="K528" s="425">
        <f t="shared" si="126"/>
      </c>
      <c r="L528" s="426">
        <f t="shared" si="186"/>
      </c>
      <c r="M528" s="427">
        <f t="shared" si="156"/>
      </c>
      <c r="N528" s="427">
        <f t="shared" si="216"/>
      </c>
      <c r="O528" s="427">
        <f t="shared" si="269"/>
      </c>
      <c r="P528" s="428">
        <f t="shared" si="322"/>
      </c>
      <c r="Q528" s="429" t="s">
        <v>777</v>
      </c>
      <c r="R528" s="430" t="s">
        <v>851</v>
      </c>
      <c r="S528" s="436">
        <v>23250</v>
      </c>
      <c r="T528" s="436">
        <v>1879</v>
      </c>
      <c r="U528" s="436">
        <v>2378</v>
      </c>
      <c r="V528" s="436">
        <v>185</v>
      </c>
      <c r="W528" s="435">
        <v>5</v>
      </c>
      <c r="X528" s="435">
        <v>1</v>
      </c>
      <c r="Y528" s="448">
        <v>27</v>
      </c>
      <c r="Z528" s="423"/>
      <c r="AA528" s="423"/>
    </row>
    <row r="529">
      <c r="A529" s="420"/>
      <c r="B529" s="437" t="s">
        <v>774</v>
      </c>
      <c r="C529" s="437"/>
      <c r="D529" s="438">
        <f>SUM(D525:D528)</f>
      </c>
      <c r="E529" s="438">
        <f>SUM(E525:E528)</f>
      </c>
      <c r="F529" s="438">
        <f>SUM(F525:F528)</f>
      </c>
      <c r="G529" s="438">
        <f>SUM(G525:G528)</f>
      </c>
      <c r="H529" s="440">
        <f t="shared" si="375"/>
      </c>
      <c r="I529" s="441">
        <f t="shared" si="27"/>
      </c>
      <c r="J529" s="442">
        <f t="shared" si="90"/>
      </c>
      <c r="K529" s="443">
        <f t="shared" si="126"/>
      </c>
      <c r="L529" s="444">
        <f t="shared" si="186"/>
      </c>
      <c r="M529" s="443">
        <f t="shared" si="156"/>
      </c>
      <c r="N529" s="443">
        <f t="shared" si="216"/>
      </c>
      <c r="O529" s="445">
        <f t="shared" si="269"/>
      </c>
      <c r="P529" s="446">
        <f t="shared" si="322"/>
      </c>
      <c r="Q529" s="444"/>
      <c r="R529" s="444"/>
      <c r="S529" s="447">
        <f>SUM(S525:S528)</f>
      </c>
      <c r="T529" s="447">
        <f>SUM(T525:T528)</f>
      </c>
      <c r="U529" s="447">
        <f>SUM(U525:U528)</f>
      </c>
      <c r="V529" s="447">
        <f>SUM(V525:V528)</f>
      </c>
      <c r="W529" s="447">
        <f>SUM(W525:W528)</f>
      </c>
      <c r="X529" s="447">
        <f>SUM(X525:X528)</f>
      </c>
      <c r="Y529" s="447">
        <f>SUM(Y525:Y528)</f>
      </c>
      <c r="Z529" s="423"/>
      <c r="AA529" s="423"/>
    </row>
    <row r="530">
      <c r="A530" s="420"/>
      <c r="B530" s="452" t="s">
        <v>787</v>
      </c>
      <c r="C530" s="452"/>
      <c r="D530" s="466">
        <f>D514+D519+D529+D524</f>
      </c>
      <c r="E530" s="466">
        <f>E514+E519+E529+E524</f>
      </c>
      <c r="F530" s="466">
        <f>F514+F519+F529+F524</f>
      </c>
      <c r="G530" s="466">
        <f>G514+G519+G529+G524</f>
      </c>
      <c r="H530" s="452">
        <f t="shared" si="375"/>
      </c>
      <c r="I530" s="452">
        <f t="shared" si="27"/>
      </c>
      <c r="J530" s="452">
        <f t="shared" si="90"/>
      </c>
      <c r="K530" s="455">
        <f t="shared" si="126"/>
      </c>
      <c r="L530" s="452">
        <f t="shared" si="186"/>
      </c>
      <c r="M530" s="455">
        <f t="shared" si="156"/>
      </c>
      <c r="N530" s="455">
        <f t="shared" si="216"/>
      </c>
      <c r="O530" s="455">
        <f t="shared" si="269"/>
      </c>
      <c r="P530" s="452">
        <f t="shared" si="322"/>
      </c>
      <c r="Q530" s="456"/>
      <c r="R530" s="456"/>
      <c r="S530" s="454">
        <f>S514+S519+S529+S524</f>
      </c>
      <c r="T530" s="454">
        <f>T514+T519+T529+T524</f>
      </c>
      <c r="U530" s="454">
        <f>U514+U519+U529+U524</f>
      </c>
      <c r="V530" s="454">
        <f>V514+V519+V529+V524</f>
      </c>
      <c r="W530" s="454">
        <f>W514+W519+W529+W524</f>
      </c>
      <c r="X530" s="454">
        <f>X514+X519+X529+X524</f>
      </c>
      <c r="Y530" s="454">
        <f>Y514+Y519+Y529+Y524</f>
      </c>
      <c r="Z530" s="423"/>
      <c r="AA530" s="423"/>
    </row>
    <row r="531">
      <c r="A531" s="405" t="s">
        <v>738</v>
      </c>
      <c r="B531" s="405"/>
      <c r="C531" s="405"/>
      <c r="D531" s="406" t="s">
        <v>739</v>
      </c>
      <c r="E531" s="406"/>
      <c r="F531" s="406"/>
      <c r="G531" s="406"/>
      <c r="H531" s="406"/>
      <c r="I531" s="406"/>
      <c r="J531" s="406"/>
      <c r="K531" s="407" t="s">
        <v>740</v>
      </c>
      <c r="L531" s="407"/>
      <c r="M531" s="407"/>
      <c r="N531" s="407"/>
      <c r="O531" s="407"/>
      <c r="P531" s="407"/>
      <c r="Q531" s="407"/>
      <c r="R531" s="407"/>
      <c r="S531" s="408" t="s">
        <v>741</v>
      </c>
      <c r="T531" s="408"/>
      <c r="U531" s="408"/>
      <c r="V531" s="408"/>
      <c r="W531" s="408"/>
      <c r="X531" s="408"/>
      <c r="Y531" s="408"/>
      <c r="Z531" s="423"/>
      <c r="AA531" s="423"/>
    </row>
    <row r="532">
      <c r="A532" s="409" t="s">
        <v>742</v>
      </c>
      <c r="B532" s="409" t="s">
        <v>743</v>
      </c>
      <c r="C532" s="409" t="s">
        <v>744</v>
      </c>
      <c r="D532" s="410" t="s">
        <v>745</v>
      </c>
      <c r="E532" s="411" t="s">
        <v>746</v>
      </c>
      <c r="F532" s="463" t="s">
        <v>792</v>
      </c>
      <c r="G532" s="410" t="s">
        <v>747</v>
      </c>
      <c r="H532" s="412" t="s">
        <v>748</v>
      </c>
      <c r="I532" s="413" t="s">
        <v>749</v>
      </c>
      <c r="J532" s="410" t="s">
        <v>750</v>
      </c>
      <c r="K532" s="414" t="s">
        <v>751</v>
      </c>
      <c r="L532" s="415" t="s">
        <v>752</v>
      </c>
      <c r="M532" s="414" t="s">
        <v>753</v>
      </c>
      <c r="N532" s="414" t="s">
        <v>754</v>
      </c>
      <c r="O532" s="416" t="s">
        <v>755</v>
      </c>
      <c r="P532" s="416" t="s">
        <v>756</v>
      </c>
      <c r="Q532" s="417" t="s">
        <v>757</v>
      </c>
      <c r="R532" s="417" t="s">
        <v>758</v>
      </c>
      <c r="S532" s="431" t="s">
        <v>759</v>
      </c>
      <c r="T532" s="431" t="s">
        <v>760</v>
      </c>
      <c r="U532" s="431" t="s">
        <v>761</v>
      </c>
      <c r="V532" s="431" t="s">
        <v>762</v>
      </c>
      <c r="W532" s="431" t="s">
        <v>763</v>
      </c>
      <c r="X532" s="431" t="s">
        <v>764</v>
      </c>
      <c r="Y532" s="419" t="s">
        <v>765</v>
      </c>
      <c r="Z532" s="423"/>
      <c r="AA532" s="487" t="s">
        <v>870</v>
      </c>
      <c r="AB532" s="487"/>
      <c r="AC532" s="487"/>
      <c r="AD532" s="487"/>
      <c r="AE532" s="487"/>
      <c r="AF532" s="487"/>
      <c r="AG532" s="487"/>
      <c r="AH532" s="487"/>
      <c r="AI532" s="487"/>
      <c r="AJ532" s="487"/>
      <c r="AK532" s="487"/>
    </row>
    <row r="533">
      <c r="A533" s="420" t="s">
        <v>871</v>
      </c>
      <c r="B533" s="421" t="s">
        <v>767</v>
      </c>
      <c r="C533" s="451" t="s">
        <v>794</v>
      </c>
      <c r="D533" s="421">
        <v>4066.2</v>
      </c>
      <c r="E533" s="423">
        <v>3</v>
      </c>
      <c r="F533" s="423">
        <v>2</v>
      </c>
      <c r="G533" s="467">
        <v>2738.3999999999996</v>
      </c>
      <c r="H533" s="424">
        <f t="shared" ref="H533:H553" si="376">G533/D533</f>
      </c>
      <c r="I533" s="424">
        <f>D533/E533</f>
      </c>
      <c r="J533" s="424">
        <f>G533/E533</f>
      </c>
      <c r="K533" s="425">
        <f t="shared" ref="K533:K553" si="127">T533/S533</f>
      </c>
      <c r="L533" s="426">
        <f t="shared" ref="L533:L553" si="187">D533/U533</f>
      </c>
      <c r="M533" s="427">
        <f t="shared" ref="M533:M553" si="157">V533/U533</f>
      </c>
      <c r="N533" s="427">
        <f t="shared" ref="N533:N553" si="217">E533/W533</f>
      </c>
      <c r="O533" s="427">
        <f t="shared" ref="O533:O553" si="270">X533/E533</f>
      </c>
      <c r="P533" s="428">
        <f t="shared" ref="P533:P553" si="323">(Y533*1000)/D533</f>
      </c>
      <c r="Q533" s="429" t="s">
        <v>769</v>
      </c>
      <c r="R533" s="430" t="s">
        <v>869</v>
      </c>
      <c r="S533" s="461">
        <v>17889</v>
      </c>
      <c r="T533" s="461">
        <v>1976</v>
      </c>
      <c r="U533" s="461">
        <v>2423</v>
      </c>
      <c r="V533" s="461">
        <v>241</v>
      </c>
      <c r="W533" s="461">
        <v>6</v>
      </c>
      <c r="X533" s="461">
        <v>1</v>
      </c>
      <c r="Y533" s="461">
        <v>108</v>
      </c>
      <c r="Z533" s="461">
        <v>7687</v>
      </c>
      <c r="AA533" s="489" t="s">
        <v>806</v>
      </c>
      <c r="AB533" s="489" t="s">
        <v>807</v>
      </c>
      <c r="AC533" s="489" t="s">
        <v>808</v>
      </c>
      <c r="AD533" s="489" t="s">
        <v>809</v>
      </c>
      <c r="AE533" s="489" t="s">
        <v>810</v>
      </c>
      <c r="AF533" s="489" t="s">
        <v>811</v>
      </c>
      <c r="AG533" s="489" t="s">
        <v>750</v>
      </c>
      <c r="AH533" s="489" t="s">
        <v>812</v>
      </c>
      <c r="AI533" s="489" t="s">
        <v>748</v>
      </c>
      <c r="AJ533" s="489" t="s">
        <v>813</v>
      </c>
      <c r="AK533" s="489"/>
    </row>
    <row r="534">
      <c r="A534" s="420"/>
      <c r="B534" s="421" t="s">
        <v>767</v>
      </c>
      <c r="C534" s="421" t="s">
        <v>796</v>
      </c>
      <c r="D534" s="421">
        <v>5672.64</v>
      </c>
      <c r="E534" s="423">
        <v>4</v>
      </c>
      <c r="F534" s="423">
        <v>3</v>
      </c>
      <c r="G534" s="467">
        <v>2546.0999999999995</v>
      </c>
      <c r="H534" s="424">
        <f t="shared" si="376"/>
      </c>
      <c r="I534" s="424">
        <v>2161</v>
      </c>
      <c r="J534" s="424">
        <v>234</v>
      </c>
      <c r="K534" s="425">
        <f t="shared" si="127"/>
      </c>
      <c r="L534" s="426">
        <f t="shared" si="187"/>
      </c>
      <c r="M534" s="427">
        <f t="shared" si="157"/>
      </c>
      <c r="N534" s="427">
        <f t="shared" si="217"/>
      </c>
      <c r="O534" s="427">
        <f t="shared" si="270"/>
      </c>
      <c r="P534" s="428">
        <f t="shared" si="323"/>
      </c>
      <c r="Q534" s="429" t="s">
        <v>769</v>
      </c>
      <c r="R534" s="430" t="s">
        <v>869</v>
      </c>
      <c r="S534" s="461">
        <v>32878</v>
      </c>
      <c r="T534" s="461">
        <v>2410</v>
      </c>
      <c r="U534" s="461">
        <v>2915</v>
      </c>
      <c r="V534" s="461">
        <v>296</v>
      </c>
      <c r="W534" s="461">
        <v>6</v>
      </c>
      <c r="X534" s="461">
        <v>0</v>
      </c>
      <c r="Y534" s="461">
        <v>110</v>
      </c>
      <c r="Z534" s="436">
        <v>9169</v>
      </c>
      <c r="AA534" s="490" t="s">
        <v>767</v>
      </c>
      <c r="AB534" s="491" t="s">
        <v>814</v>
      </c>
      <c r="AC534" s="492">
        <v>4</v>
      </c>
      <c r="AD534" s="490">
        <v>16868.28</v>
      </c>
      <c r="AE534" s="490">
        <v>13478.099999999997</v>
      </c>
      <c r="AF534" s="490">
        <v>17</v>
      </c>
      <c r="AG534" s="493">
        <f t="shared" ref="AG534:AG537" si="240">AE534/AF534</f>
      </c>
      <c r="AH534" s="493">
        <f t="shared" ref="AH534:AH537" si="293">AD534/AF534</f>
      </c>
      <c r="AI534" s="493">
        <f t="shared" ref="AI534:AI537" si="346">AE534/AD534</f>
      </c>
      <c r="AJ534" s="492">
        <f>AD534/AC534</f>
      </c>
      <c r="AK534" s="492"/>
    </row>
    <row r="535">
      <c r="A535" s="420"/>
      <c r="B535" s="421" t="s">
        <v>767</v>
      </c>
      <c r="C535" s="421" t="s">
        <v>797</v>
      </c>
      <c r="D535" s="421">
        <v>3859.129999999999</v>
      </c>
      <c r="E535" s="423">
        <v>5</v>
      </c>
      <c r="F535" s="423">
        <v>3</v>
      </c>
      <c r="G535" s="467">
        <v>4669.599999999999</v>
      </c>
      <c r="H535" s="424">
        <f t="shared" si="376"/>
      </c>
      <c r="I535" s="424">
        <f t="shared" ref="I535:I539" si="28">D535/E535</f>
      </c>
      <c r="J535" s="424">
        <f t="shared" ref="J535:J539" si="91">G535/E535</f>
      </c>
      <c r="K535" s="425">
        <f t="shared" si="127"/>
      </c>
      <c r="L535" s="426">
        <f t="shared" si="187"/>
      </c>
      <c r="M535" s="427">
        <f t="shared" si="157"/>
      </c>
      <c r="N535" s="427">
        <f t="shared" si="217"/>
      </c>
      <c r="O535" s="427">
        <f t="shared" si="270"/>
      </c>
      <c r="P535" s="428">
        <f t="shared" si="323"/>
      </c>
      <c r="Q535" s="429" t="s">
        <v>769</v>
      </c>
      <c r="R535" s="430" t="s">
        <v>869</v>
      </c>
      <c r="S535" s="461">
        <v>13944</v>
      </c>
      <c r="T535" s="461">
        <v>1297</v>
      </c>
      <c r="U535" s="461">
        <v>1677</v>
      </c>
      <c r="V535" s="461">
        <v>163</v>
      </c>
      <c r="W535" s="461">
        <v>7</v>
      </c>
      <c r="X535" s="461">
        <v>1</v>
      </c>
      <c r="Y535" s="461">
        <v>57</v>
      </c>
      <c r="Z535" s="423"/>
      <c r="AA535" s="490" t="s">
        <v>782</v>
      </c>
      <c r="AB535" s="491" t="s">
        <v>815</v>
      </c>
      <c r="AC535" s="492">
        <v>4</v>
      </c>
      <c r="AD535" s="490">
        <v>11919.159999999996</v>
      </c>
      <c r="AE535" s="490">
        <v>13737.699999999999</v>
      </c>
      <c r="AF535" s="490">
        <v>11</v>
      </c>
      <c r="AG535" s="493">
        <f t="shared" si="240"/>
      </c>
      <c r="AH535" s="493">
        <f t="shared" si="293"/>
      </c>
      <c r="AI535" s="493">
        <f t="shared" si="346"/>
      </c>
      <c r="AJ535" s="492">
        <f t="shared" ref="AJ535:AJ537" si="57">AD535/4</f>
      </c>
      <c r="AK535" s="492"/>
    </row>
    <row r="536">
      <c r="A536" s="420"/>
      <c r="B536" s="421" t="s">
        <v>767</v>
      </c>
      <c r="C536" s="421" t="s">
        <v>798</v>
      </c>
      <c r="D536" s="421">
        <v>3270.3099999999995</v>
      </c>
      <c r="E536" s="423">
        <v>5</v>
      </c>
      <c r="F536" s="423">
        <v>3</v>
      </c>
      <c r="G536" s="462">
        <v>3523.999999999998</v>
      </c>
      <c r="H536" s="424">
        <f t="shared" si="376"/>
      </c>
      <c r="I536" s="424">
        <f t="shared" si="28"/>
      </c>
      <c r="J536" s="424">
        <f t="shared" si="91"/>
      </c>
      <c r="K536" s="425">
        <f t="shared" si="127"/>
      </c>
      <c r="L536" s="426">
        <f t="shared" si="187"/>
      </c>
      <c r="M536" s="427">
        <f t="shared" si="157"/>
      </c>
      <c r="N536" s="427">
        <f t="shared" si="217"/>
      </c>
      <c r="O536" s="427">
        <f t="shared" si="270"/>
      </c>
      <c r="P536" s="428">
        <f t="shared" si="323"/>
      </c>
      <c r="Q536" s="429" t="s">
        <v>769</v>
      </c>
      <c r="R536" s="430" t="s">
        <v>869</v>
      </c>
      <c r="S536" s="461">
        <v>13429</v>
      </c>
      <c r="T536" s="461">
        <v>1262</v>
      </c>
      <c r="U536" s="461">
        <v>1602</v>
      </c>
      <c r="V536" s="461">
        <v>161</v>
      </c>
      <c r="W536" s="461">
        <v>7</v>
      </c>
      <c r="X536" s="435">
        <v>0</v>
      </c>
      <c r="Y536" s="435">
        <v>40</v>
      </c>
      <c r="Z536" s="423"/>
      <c r="AA536" s="490" t="s">
        <v>789</v>
      </c>
      <c r="AB536" s="491" t="s">
        <v>816</v>
      </c>
      <c r="AC536" s="492">
        <v>4</v>
      </c>
      <c r="AD536" s="490">
        <v>12324.760000000002</v>
      </c>
      <c r="AE536" s="490">
        <v>30330.000000000007</v>
      </c>
      <c r="AF536" s="490">
        <v>20</v>
      </c>
      <c r="AG536" s="493">
        <f t="shared" si="240"/>
      </c>
      <c r="AH536" s="493">
        <f t="shared" si="293"/>
      </c>
      <c r="AI536" s="493">
        <f t="shared" si="346"/>
      </c>
      <c r="AJ536" s="492">
        <f t="shared" si="57"/>
      </c>
      <c r="AK536" s="492"/>
    </row>
    <row r="537">
      <c r="A537" s="420"/>
      <c r="B537" s="437" t="s">
        <v>774</v>
      </c>
      <c r="C537" s="437"/>
      <c r="D537" s="438">
        <f>SUM(D533:D536)</f>
      </c>
      <c r="E537" s="439">
        <f>SUM(E533:E536)</f>
      </c>
      <c r="F537" s="439">
        <f>SUM(F533:F536)</f>
      </c>
      <c r="G537" s="438">
        <f>SUM(G533:G536)</f>
      </c>
      <c r="H537" s="440">
        <f t="shared" si="376"/>
      </c>
      <c r="I537" s="441">
        <f t="shared" si="28"/>
      </c>
      <c r="J537" s="442">
        <f t="shared" si="91"/>
      </c>
      <c r="K537" s="443">
        <f t="shared" si="127"/>
      </c>
      <c r="L537" s="444">
        <f t="shared" si="187"/>
      </c>
      <c r="M537" s="443">
        <f t="shared" si="157"/>
      </c>
      <c r="N537" s="443">
        <f t="shared" si="217"/>
      </c>
      <c r="O537" s="445">
        <f t="shared" si="270"/>
      </c>
      <c r="P537" s="446">
        <f t="shared" si="323"/>
      </c>
      <c r="Q537" s="444"/>
      <c r="R537" s="444"/>
      <c r="S537" s="447">
        <f>SUM(S533:S536)</f>
      </c>
      <c r="T537" s="447">
        <f>SUM(T533:T536)</f>
      </c>
      <c r="U537" s="447">
        <f>SUM(U533:U536)</f>
      </c>
      <c r="V537" s="447">
        <f>SUM(V533:V536)</f>
      </c>
      <c r="W537" s="447">
        <f>SUM(W533:W536)</f>
      </c>
      <c r="X537" s="447">
        <f>SUM(X533:X536)</f>
      </c>
      <c r="Y537" s="447">
        <f>SUM(Y533:Y536)</f>
      </c>
      <c r="Z537" s="423"/>
      <c r="AA537" s="490" t="s">
        <v>775</v>
      </c>
      <c r="AB537" s="491" t="s">
        <v>817</v>
      </c>
      <c r="AC537" s="492">
        <v>4</v>
      </c>
      <c r="AD537" s="490">
        <v>14968.400000000001</v>
      </c>
      <c r="AE537" s="490">
        <v>22517.399999999994</v>
      </c>
      <c r="AF537" s="490">
        <v>25</v>
      </c>
      <c r="AG537" s="493">
        <f t="shared" si="240"/>
      </c>
      <c r="AH537" s="493">
        <f t="shared" si="293"/>
      </c>
      <c r="AI537" s="493">
        <f t="shared" si="346"/>
      </c>
      <c r="AJ537" s="492">
        <f t="shared" si="57"/>
      </c>
      <c r="AK537" s="492"/>
    </row>
    <row r="538">
      <c r="A538" s="420"/>
      <c r="B538" s="421" t="s">
        <v>782</v>
      </c>
      <c r="C538" s="422" t="s">
        <v>768</v>
      </c>
      <c r="D538" s="421">
        <v>3078.890000000003</v>
      </c>
      <c r="E538" s="423">
        <v>1</v>
      </c>
      <c r="F538" s="423">
        <v>2</v>
      </c>
      <c r="G538" s="467">
        <v>368</v>
      </c>
      <c r="H538" s="424">
        <f t="shared" si="376"/>
      </c>
      <c r="I538" s="424">
        <f t="shared" si="28"/>
      </c>
      <c r="J538" s="424">
        <f t="shared" si="91"/>
      </c>
      <c r="K538" s="425">
        <f t="shared" si="127"/>
      </c>
      <c r="L538" s="426">
        <f t="shared" si="187"/>
      </c>
      <c r="M538" s="427">
        <f t="shared" si="157"/>
      </c>
      <c r="N538" s="427">
        <f t="shared" si="217"/>
      </c>
      <c r="O538" s="427">
        <f t="shared" si="270"/>
      </c>
      <c r="P538" s="428">
        <f t="shared" si="323"/>
      </c>
      <c r="Q538" s="429" t="s">
        <v>777</v>
      </c>
      <c r="R538" s="430" t="s">
        <v>869</v>
      </c>
      <c r="S538" s="436">
        <v>14452</v>
      </c>
      <c r="T538" s="436">
        <v>1493</v>
      </c>
      <c r="U538" s="436">
        <v>1865</v>
      </c>
      <c r="V538" s="436">
        <v>145</v>
      </c>
      <c r="W538" s="435">
        <v>4</v>
      </c>
      <c r="X538" s="435">
        <v>0</v>
      </c>
      <c r="Y538" s="448">
        <v>48</v>
      </c>
      <c r="Z538" s="423"/>
      <c r="AA538" s="495" t="s">
        <v>819</v>
      </c>
      <c r="AB538" s="495"/>
      <c r="AC538" s="495"/>
      <c r="AD538" s="495"/>
      <c r="AE538" s="495"/>
      <c r="AF538" s="495"/>
      <c r="AG538" s="495"/>
      <c r="AH538" s="495"/>
      <c r="AI538" s="495"/>
      <c r="AJ538" s="495"/>
      <c r="AK538" s="495"/>
    </row>
    <row r="539">
      <c r="A539" s="420"/>
      <c r="B539" s="421" t="s">
        <v>782</v>
      </c>
      <c r="C539" s="433" t="s">
        <v>771</v>
      </c>
      <c r="D539" s="421">
        <v>3028.909999999996</v>
      </c>
      <c r="E539" s="423">
        <v>2</v>
      </c>
      <c r="F539" s="423">
        <v>4</v>
      </c>
      <c r="G539" s="467">
        <v>1054.800000000001</v>
      </c>
      <c r="H539" s="424">
        <f t="shared" si="376"/>
      </c>
      <c r="I539" s="424">
        <f t="shared" si="28"/>
      </c>
      <c r="J539" s="424">
        <f t="shared" si="91"/>
      </c>
      <c r="K539" s="425">
        <f t="shared" si="127"/>
      </c>
      <c r="L539" s="426">
        <f t="shared" si="187"/>
      </c>
      <c r="M539" s="427">
        <f t="shared" si="157"/>
      </c>
      <c r="N539" s="427">
        <f t="shared" si="217"/>
      </c>
      <c r="O539" s="427">
        <f t="shared" si="270"/>
      </c>
      <c r="P539" s="428">
        <f t="shared" si="323"/>
      </c>
      <c r="Q539" s="429" t="s">
        <v>777</v>
      </c>
      <c r="R539" s="430" t="s">
        <v>869</v>
      </c>
      <c r="S539" s="436">
        <v>12790</v>
      </c>
      <c r="T539" s="436">
        <v>1416</v>
      </c>
      <c r="U539" s="436">
        <v>1751</v>
      </c>
      <c r="V539" s="436">
        <v>172</v>
      </c>
      <c r="W539" s="435">
        <v>5</v>
      </c>
      <c r="X539" s="435">
        <v>0</v>
      </c>
      <c r="Y539" s="448">
        <v>60</v>
      </c>
      <c r="Z539" s="423"/>
      <c r="AA539" s="478" t="s">
        <v>809</v>
      </c>
      <c r="AB539" s="478" t="s">
        <v>820</v>
      </c>
      <c r="AC539" s="479" t="s">
        <v>821</v>
      </c>
      <c r="AD539" s="478" t="s">
        <v>822</v>
      </c>
      <c r="AE539" s="478" t="s">
        <v>823</v>
      </c>
      <c r="AF539" s="478" t="s">
        <v>824</v>
      </c>
      <c r="AG539" s="478" t="s">
        <v>825</v>
      </c>
      <c r="AH539" s="480" t="s">
        <v>764</v>
      </c>
      <c r="AI539" s="480" t="s">
        <v>826</v>
      </c>
      <c r="AJ539" s="480" t="s">
        <v>827</v>
      </c>
      <c r="AK539" s="480" t="s">
        <v>808</v>
      </c>
    </row>
    <row r="540">
      <c r="A540" s="420"/>
      <c r="B540" s="421" t="s">
        <v>782</v>
      </c>
      <c r="C540" s="433" t="s">
        <v>772</v>
      </c>
      <c r="D540" s="421">
        <v>2031.7599999999984</v>
      </c>
      <c r="E540" s="423">
        <v>0</v>
      </c>
      <c r="F540" s="423">
        <v>0</v>
      </c>
      <c r="G540" s="467">
        <v>0</v>
      </c>
      <c r="H540" s="424">
        <f t="shared" si="376"/>
      </c>
      <c r="I540" s="424">
        <v>1323</v>
      </c>
      <c r="J540" s="424">
        <v>145</v>
      </c>
      <c r="K540" s="425">
        <f t="shared" si="127"/>
      </c>
      <c r="L540" s="426">
        <f t="shared" si="187"/>
      </c>
      <c r="M540" s="427">
        <f t="shared" si="157"/>
      </c>
      <c r="N540" s="427">
        <f t="shared" si="217"/>
      </c>
      <c r="O540" s="427">
        <f t="shared" si="270"/>
      </c>
      <c r="P540" s="428">
        <f t="shared" si="323"/>
      </c>
      <c r="Q540" s="429" t="s">
        <v>777</v>
      </c>
      <c r="R540" s="430" t="s">
        <v>869</v>
      </c>
      <c r="S540" s="436">
        <v>6119</v>
      </c>
      <c r="T540" s="436">
        <v>718</v>
      </c>
      <c r="U540" s="436">
        <v>1150</v>
      </c>
      <c r="V540" s="436">
        <v>157</v>
      </c>
      <c r="W540" s="435">
        <v>0</v>
      </c>
      <c r="X540" s="435">
        <v>0</v>
      </c>
      <c r="Y540" s="448">
        <v>21</v>
      </c>
      <c r="Z540" s="423"/>
      <c r="AA540" s="465">
        <f>SUM(AD534:AD537)</f>
      </c>
      <c r="AB540" s="465">
        <f>SUM(AE534:AE537)</f>
      </c>
      <c r="AC540" s="481">
        <f>AB540/((AK540*300)+AA540)</f>
      </c>
      <c r="AD540" s="482">
        <f>AA540/AJ540</f>
      </c>
      <c r="AE540" s="481">
        <f>AB540/AJ540</f>
      </c>
      <c r="AF540" s="483">
        <f>AJ540/AI540</f>
      </c>
      <c r="AG540" s="483">
        <f>AH540/AJ540</f>
      </c>
      <c r="AH540" s="484">
        <v>10</v>
      </c>
      <c r="AI540" s="484">
        <v>108</v>
      </c>
      <c r="AJ540" s="485">
        <f>SUM(AF534:AF537)</f>
      </c>
      <c r="AK540" s="485">
        <f>SUM(AC534:AC537)</f>
      </c>
    </row>
    <row r="541">
      <c r="A541" s="420"/>
      <c r="B541" s="421" t="s">
        <v>782</v>
      </c>
      <c r="C541" s="433" t="s">
        <v>773</v>
      </c>
      <c r="D541" s="421">
        <v>3779.5999999999985</v>
      </c>
      <c r="E541" s="423">
        <v>8</v>
      </c>
      <c r="F541" s="423">
        <v>2</v>
      </c>
      <c r="G541" s="462">
        <v>12314.899999999998</v>
      </c>
      <c r="H541" s="424">
        <f t="shared" si="376"/>
      </c>
      <c r="I541" s="424">
        <f t="shared" ref="I541:I553" si="29">D541/E541</f>
      </c>
      <c r="J541" s="424">
        <f t="shared" ref="J541:J553" si="92">G541/E541</f>
      </c>
      <c r="K541" s="425">
        <f t="shared" si="127"/>
      </c>
      <c r="L541" s="426">
        <f t="shared" si="187"/>
      </c>
      <c r="M541" s="427">
        <f t="shared" si="157"/>
      </c>
      <c r="N541" s="427">
        <f t="shared" si="217"/>
      </c>
      <c r="O541" s="427">
        <f t="shared" si="270"/>
      </c>
      <c r="P541" s="428">
        <f t="shared" si="323"/>
      </c>
      <c r="Q541" s="429" t="s">
        <v>777</v>
      </c>
      <c r="R541" s="430" t="s">
        <v>869</v>
      </c>
      <c r="S541" s="435">
        <v>11127</v>
      </c>
      <c r="T541" s="436">
        <v>1345</v>
      </c>
      <c r="U541" s="436">
        <v>1838</v>
      </c>
      <c r="V541" s="436">
        <v>188</v>
      </c>
      <c r="W541" s="435">
        <v>8</v>
      </c>
      <c r="X541" s="435">
        <v>1</v>
      </c>
      <c r="Y541" s="448">
        <v>30</v>
      </c>
      <c r="Z541" s="423"/>
      <c r="AA541" s="423"/>
    </row>
    <row r="542">
      <c r="A542" s="420"/>
      <c r="B542" s="437" t="s">
        <v>774</v>
      </c>
      <c r="C542" s="437"/>
      <c r="D542" s="438">
        <f>SUM(D538:D541)</f>
      </c>
      <c r="E542" s="439">
        <f>SUM(E538:E541)</f>
      </c>
      <c r="F542" s="439">
        <f>SUM(F538:F541)</f>
      </c>
      <c r="G542" s="438">
        <f>SUM(G538:G541)</f>
      </c>
      <c r="H542" s="440">
        <f t="shared" si="376"/>
      </c>
      <c r="I542" s="441">
        <f t="shared" si="29"/>
      </c>
      <c r="J542" s="442">
        <f t="shared" si="92"/>
      </c>
      <c r="K542" s="443">
        <f t="shared" si="127"/>
      </c>
      <c r="L542" s="444">
        <f t="shared" si="187"/>
      </c>
      <c r="M542" s="443">
        <f t="shared" si="157"/>
      </c>
      <c r="N542" s="443">
        <f t="shared" si="217"/>
      </c>
      <c r="O542" s="445">
        <f t="shared" si="270"/>
      </c>
      <c r="P542" s="446">
        <f t="shared" si="323"/>
      </c>
      <c r="Q542" s="444"/>
      <c r="R542" s="444"/>
      <c r="S542" s="447">
        <f>SUM(S538:S541)</f>
      </c>
      <c r="T542" s="447">
        <f>SUM(T538:T541)</f>
      </c>
      <c r="U542" s="447">
        <f>SUM(U538:U541)</f>
      </c>
      <c r="V542" s="447">
        <f>SUM(V538:V541)</f>
      </c>
      <c r="W542" s="500">
        <v>18</v>
      </c>
      <c r="X542" s="447">
        <f>SUM(X538:X541)</f>
      </c>
      <c r="Y542" s="447">
        <f>SUM(Y538:Y541)</f>
      </c>
      <c r="Z542" s="423"/>
      <c r="AA542" s="423"/>
    </row>
    <row r="543">
      <c r="A543" s="420"/>
      <c r="B543" s="421" t="s">
        <v>789</v>
      </c>
      <c r="C543" s="433" t="s">
        <v>776</v>
      </c>
      <c r="D543" s="421">
        <v>3725.4400000000023</v>
      </c>
      <c r="E543" s="423">
        <v>1</v>
      </c>
      <c r="F543" s="423">
        <v>0</v>
      </c>
      <c r="G543" s="467">
        <v>652.7999999999993</v>
      </c>
      <c r="H543" s="424">
        <f t="shared" si="376"/>
      </c>
      <c r="I543" s="424">
        <f t="shared" si="29"/>
      </c>
      <c r="J543" s="424">
        <f t="shared" si="92"/>
      </c>
      <c r="K543" s="425">
        <f t="shared" si="127"/>
      </c>
      <c r="L543" s="426">
        <f t="shared" si="187"/>
      </c>
      <c r="M543" s="427">
        <f t="shared" si="157"/>
      </c>
      <c r="N543" s="427">
        <f t="shared" si="217"/>
      </c>
      <c r="O543" s="427">
        <f t="shared" si="270"/>
      </c>
      <c r="P543" s="428">
        <f t="shared" si="323"/>
      </c>
      <c r="Q543" s="429" t="s">
        <v>777</v>
      </c>
      <c r="R543" s="430" t="s">
        <v>851</v>
      </c>
      <c r="S543" s="436">
        <v>11200</v>
      </c>
      <c r="T543" s="436">
        <v>1275</v>
      </c>
      <c r="U543" s="436">
        <v>1747</v>
      </c>
      <c r="V543" s="436">
        <v>182</v>
      </c>
      <c r="W543" s="435">
        <v>4</v>
      </c>
      <c r="X543" s="435">
        <v>0</v>
      </c>
      <c r="Y543" s="448">
        <v>21</v>
      </c>
      <c r="Z543" s="423"/>
      <c r="AA543" s="423"/>
      <c r="AD543" s="486"/>
      <c r="AE543" s="486"/>
    </row>
    <row r="544">
      <c r="A544" s="420"/>
      <c r="B544" s="421" t="s">
        <v>789</v>
      </c>
      <c r="C544" s="422" t="s">
        <v>779</v>
      </c>
      <c r="D544" s="421">
        <v>2880.0999999999985</v>
      </c>
      <c r="E544" s="423">
        <v>7</v>
      </c>
      <c r="F544" s="423">
        <v>2</v>
      </c>
      <c r="G544" s="467">
        <v>15040.8</v>
      </c>
      <c r="H544" s="424">
        <f t="shared" si="376"/>
      </c>
      <c r="I544" s="424">
        <f t="shared" si="29"/>
      </c>
      <c r="J544" s="424">
        <f t="shared" si="92"/>
      </c>
      <c r="K544" s="425">
        <f t="shared" si="127"/>
      </c>
      <c r="L544" s="426">
        <f t="shared" si="187"/>
      </c>
      <c r="M544" s="427">
        <f t="shared" si="157"/>
      </c>
      <c r="N544" s="427">
        <f t="shared" si="217"/>
      </c>
      <c r="O544" s="427">
        <f t="shared" si="270"/>
      </c>
      <c r="P544" s="428">
        <f t="shared" si="323"/>
      </c>
      <c r="Q544" s="429" t="s">
        <v>777</v>
      </c>
      <c r="R544" s="430" t="s">
        <v>851</v>
      </c>
      <c r="S544" s="436">
        <v>10307</v>
      </c>
      <c r="T544" s="436">
        <v>1066</v>
      </c>
      <c r="U544" s="436">
        <v>1378</v>
      </c>
      <c r="V544" s="436">
        <v>139</v>
      </c>
      <c r="W544" s="435">
        <v>9</v>
      </c>
      <c r="X544" s="435">
        <v>1</v>
      </c>
      <c r="Y544" s="448">
        <v>32</v>
      </c>
      <c r="Z544" s="423"/>
      <c r="AA544" s="423"/>
      <c r="AD544" s="486"/>
      <c r="AE544" s="486"/>
    </row>
    <row r="545">
      <c r="A545" s="420"/>
      <c r="B545" s="421" t="s">
        <v>789</v>
      </c>
      <c r="C545" s="422" t="s">
        <v>780</v>
      </c>
      <c r="D545" s="421">
        <v>2285.709999999999</v>
      </c>
      <c r="E545" s="423">
        <v>1</v>
      </c>
      <c r="F545" s="423">
        <v>1</v>
      </c>
      <c r="G545" s="467">
        <v>1197.6000000000058</v>
      </c>
      <c r="H545" s="424">
        <f t="shared" si="376"/>
      </c>
      <c r="I545" s="424">
        <f t="shared" si="29"/>
      </c>
      <c r="J545" s="424">
        <f t="shared" si="92"/>
      </c>
      <c r="K545" s="425">
        <f t="shared" si="127"/>
      </c>
      <c r="L545" s="426">
        <f t="shared" si="187"/>
      </c>
      <c r="M545" s="427">
        <f t="shared" si="157"/>
      </c>
      <c r="N545" s="427">
        <f t="shared" si="217"/>
      </c>
      <c r="O545" s="427">
        <f t="shared" si="270"/>
      </c>
      <c r="P545" s="428">
        <f t="shared" si="323"/>
      </c>
      <c r="Q545" s="429" t="s">
        <v>777</v>
      </c>
      <c r="R545" s="430" t="s">
        <v>851</v>
      </c>
      <c r="S545" s="436">
        <v>9657</v>
      </c>
      <c r="T545" s="436">
        <v>1157</v>
      </c>
      <c r="U545" s="436">
        <v>1476</v>
      </c>
      <c r="V545" s="436">
        <v>151</v>
      </c>
      <c r="W545" s="435">
        <v>2</v>
      </c>
      <c r="X545" s="435">
        <v>0</v>
      </c>
      <c r="Y545" s="448">
        <v>20</v>
      </c>
      <c r="Z545" s="423"/>
      <c r="AA545" s="423"/>
      <c r="AD545" s="486"/>
      <c r="AE545" s="486"/>
    </row>
    <row r="546">
      <c r="A546" s="420"/>
      <c r="B546" s="421" t="s">
        <v>789</v>
      </c>
      <c r="C546" s="422" t="s">
        <v>781</v>
      </c>
      <c r="D546" s="421">
        <v>3433.510000000002</v>
      </c>
      <c r="E546" s="423">
        <v>11</v>
      </c>
      <c r="F546" s="423">
        <v>8</v>
      </c>
      <c r="G546" s="462">
        <v>13438.800000000003</v>
      </c>
      <c r="H546" s="424">
        <f t="shared" si="376"/>
      </c>
      <c r="I546" s="424">
        <f t="shared" si="29"/>
      </c>
      <c r="J546" s="424">
        <f t="shared" si="92"/>
      </c>
      <c r="K546" s="425">
        <f t="shared" si="127"/>
      </c>
      <c r="L546" s="426">
        <f t="shared" si="187"/>
      </c>
      <c r="M546" s="427">
        <f t="shared" si="157"/>
      </c>
      <c r="N546" s="427">
        <f t="shared" si="217"/>
      </c>
      <c r="O546" s="427">
        <f t="shared" si="270"/>
      </c>
      <c r="P546" s="428">
        <f t="shared" si="323"/>
      </c>
      <c r="Q546" s="429" t="s">
        <v>777</v>
      </c>
      <c r="R546" s="430" t="s">
        <v>851</v>
      </c>
      <c r="S546" s="436">
        <v>11800</v>
      </c>
      <c r="T546" s="436">
        <v>1329</v>
      </c>
      <c r="U546" s="436">
        <v>1622</v>
      </c>
      <c r="V546" s="436">
        <v>159</v>
      </c>
      <c r="W546" s="435">
        <v>13</v>
      </c>
      <c r="X546" s="435">
        <v>2</v>
      </c>
      <c r="Y546" s="448">
        <v>35</v>
      </c>
      <c r="Z546" s="423"/>
      <c r="AA546" s="423"/>
      <c r="AD546" s="486"/>
      <c r="AE546" s="486"/>
    </row>
    <row r="547">
      <c r="A547" s="420"/>
      <c r="B547" s="437" t="s">
        <v>774</v>
      </c>
      <c r="C547" s="437"/>
      <c r="D547" s="438">
        <f>SUM(D543:D546)</f>
      </c>
      <c r="E547" s="439">
        <f>SUM(E543:E546)</f>
      </c>
      <c r="F547" s="439">
        <f>SUM(F543:F546)</f>
      </c>
      <c r="G547" s="438">
        <f>SUM(G543:G546)</f>
      </c>
      <c r="H547" s="440">
        <f t="shared" si="376"/>
      </c>
      <c r="I547" s="441">
        <f t="shared" si="29"/>
      </c>
      <c r="J547" s="442">
        <f t="shared" si="92"/>
      </c>
      <c r="K547" s="443">
        <f t="shared" si="127"/>
      </c>
      <c r="L547" s="444">
        <f t="shared" si="187"/>
      </c>
      <c r="M547" s="443">
        <f t="shared" si="157"/>
      </c>
      <c r="N547" s="443">
        <f t="shared" si="217"/>
      </c>
      <c r="O547" s="445">
        <f t="shared" si="270"/>
      </c>
      <c r="P547" s="446">
        <f t="shared" si="323"/>
      </c>
      <c r="Q547" s="444"/>
      <c r="R547" s="444"/>
      <c r="S547" s="447">
        <f>SUM(S543:S546)</f>
      </c>
      <c r="T547" s="447">
        <f>SUM(T543:T546)</f>
      </c>
      <c r="U547" s="447">
        <f>SUM(U543:U546)</f>
      </c>
      <c r="V547" s="447">
        <f>SUM(V543:V546)</f>
      </c>
      <c r="W547" s="447">
        <f>SUM(W543:W546)</f>
      </c>
      <c r="X547" s="447">
        <f>SUM(X543:X546)</f>
      </c>
      <c r="Y547" s="447">
        <f>SUM(Y543:Y546)</f>
      </c>
      <c r="Z547" s="423"/>
      <c r="AA547" s="423"/>
    </row>
    <row r="548">
      <c r="A548" s="420"/>
      <c r="B548" s="421" t="s">
        <v>775</v>
      </c>
      <c r="C548" s="422" t="s">
        <v>783</v>
      </c>
      <c r="D548" s="421">
        <v>3825.489999999998</v>
      </c>
      <c r="E548" s="423">
        <v>1</v>
      </c>
      <c r="F548" s="423">
        <v>1</v>
      </c>
      <c r="G548" s="467">
        <v>652.7999999999956</v>
      </c>
      <c r="H548" s="424">
        <f t="shared" si="376"/>
      </c>
      <c r="I548" s="424">
        <f t="shared" si="29"/>
      </c>
      <c r="J548" s="424">
        <f t="shared" si="92"/>
      </c>
      <c r="K548" s="425">
        <f t="shared" si="127"/>
      </c>
      <c r="L548" s="426">
        <f t="shared" si="187"/>
      </c>
      <c r="M548" s="427">
        <f t="shared" si="157"/>
      </c>
      <c r="N548" s="427">
        <f t="shared" si="217"/>
      </c>
      <c r="O548" s="427">
        <f t="shared" si="270"/>
      </c>
      <c r="P548" s="428">
        <f t="shared" si="323"/>
      </c>
      <c r="Q548" s="429" t="s">
        <v>777</v>
      </c>
      <c r="R548" s="430" t="s">
        <v>851</v>
      </c>
      <c r="S548" s="436">
        <v>23778</v>
      </c>
      <c r="T548" s="436">
        <v>2458</v>
      </c>
      <c r="U548" s="436">
        <v>2857</v>
      </c>
      <c r="V548" s="436">
        <v>241</v>
      </c>
      <c r="W548" s="435">
        <v>3</v>
      </c>
      <c r="X548" s="435">
        <v>0</v>
      </c>
      <c r="Y548" s="448">
        <v>23</v>
      </c>
      <c r="Z548" s="423"/>
      <c r="AA548" s="423"/>
    </row>
    <row r="549">
      <c r="A549" s="420"/>
      <c r="B549" s="421" t="s">
        <v>775</v>
      </c>
      <c r="C549" s="451" t="s">
        <v>784</v>
      </c>
      <c r="D549" s="421">
        <v>2941.8800000000047</v>
      </c>
      <c r="E549" s="423">
        <v>8</v>
      </c>
      <c r="F549" s="423">
        <v>4</v>
      </c>
      <c r="G549" s="467">
        <v>7216.5</v>
      </c>
      <c r="H549" s="424">
        <f t="shared" si="376"/>
      </c>
      <c r="I549" s="424">
        <f t="shared" si="29"/>
      </c>
      <c r="J549" s="424">
        <f t="shared" si="92"/>
      </c>
      <c r="K549" s="425">
        <f t="shared" si="127"/>
      </c>
      <c r="L549" s="426">
        <f t="shared" si="187"/>
      </c>
      <c r="M549" s="427">
        <f t="shared" si="157"/>
      </c>
      <c r="N549" s="427">
        <f t="shared" si="217"/>
      </c>
      <c r="O549" s="427">
        <f t="shared" si="270"/>
      </c>
      <c r="P549" s="428">
        <f t="shared" si="323"/>
      </c>
      <c r="Q549" s="429" t="s">
        <v>777</v>
      </c>
      <c r="R549" s="430" t="s">
        <v>851</v>
      </c>
      <c r="S549" s="436">
        <v>21726</v>
      </c>
      <c r="T549" s="436">
        <v>1985</v>
      </c>
      <c r="U549" s="436">
        <v>2237</v>
      </c>
      <c r="V549" s="436">
        <v>147</v>
      </c>
      <c r="W549" s="435">
        <v>11</v>
      </c>
      <c r="X549" s="435">
        <v>2</v>
      </c>
      <c r="Y549" s="448">
        <v>37</v>
      </c>
      <c r="Z549" s="423"/>
      <c r="AA549" s="423"/>
    </row>
    <row r="550">
      <c r="A550" s="420"/>
      <c r="B550" s="421" t="s">
        <v>775</v>
      </c>
      <c r="C550" s="451" t="s">
        <v>785</v>
      </c>
      <c r="D550" s="421">
        <v>4914.120000000003</v>
      </c>
      <c r="E550" s="423">
        <v>7</v>
      </c>
      <c r="F550" s="423">
        <v>6</v>
      </c>
      <c r="G550" s="467">
        <v>7318.799999999996</v>
      </c>
      <c r="H550" s="424">
        <f t="shared" si="376"/>
      </c>
      <c r="I550" s="424">
        <f t="shared" si="29"/>
      </c>
      <c r="J550" s="424">
        <f t="shared" si="92"/>
      </c>
      <c r="K550" s="425">
        <f t="shared" si="127"/>
      </c>
      <c r="L550" s="426">
        <f t="shared" si="187"/>
      </c>
      <c r="M550" s="427">
        <f t="shared" si="157"/>
      </c>
      <c r="N550" s="427">
        <f t="shared" si="217"/>
      </c>
      <c r="O550" s="427">
        <f t="shared" si="270"/>
      </c>
      <c r="P550" s="428">
        <f t="shared" si="323"/>
      </c>
      <c r="Q550" s="429" t="s">
        <v>777</v>
      </c>
      <c r="R550" s="430" t="s">
        <v>851</v>
      </c>
      <c r="S550" s="436">
        <v>47070</v>
      </c>
      <c r="T550" s="436">
        <v>3993</v>
      </c>
      <c r="U550" s="436">
        <v>4497</v>
      </c>
      <c r="V550" s="436">
        <v>290</v>
      </c>
      <c r="W550" s="435">
        <v>10</v>
      </c>
      <c r="X550" s="435">
        <v>1</v>
      </c>
      <c r="Y550" s="448">
        <v>43</v>
      </c>
      <c r="Z550" s="423"/>
      <c r="AA550" s="423"/>
    </row>
    <row r="551">
      <c r="A551" s="420"/>
      <c r="B551" s="421" t="s">
        <v>775</v>
      </c>
      <c r="C551" s="451" t="s">
        <v>786</v>
      </c>
      <c r="D551" s="421">
        <v>3286.909999999996</v>
      </c>
      <c r="E551" s="423">
        <v>9</v>
      </c>
      <c r="F551" s="423">
        <v>6</v>
      </c>
      <c r="G551" s="462">
        <v>7329.300000000003</v>
      </c>
      <c r="H551" s="424">
        <f t="shared" si="376"/>
      </c>
      <c r="I551" s="424">
        <f t="shared" si="29"/>
      </c>
      <c r="J551" s="424">
        <f t="shared" si="92"/>
      </c>
      <c r="K551" s="425">
        <f t="shared" si="127"/>
      </c>
      <c r="L551" s="426">
        <f t="shared" si="187"/>
      </c>
      <c r="M551" s="427">
        <f t="shared" si="157"/>
      </c>
      <c r="N551" s="427">
        <f t="shared" si="217"/>
      </c>
      <c r="O551" s="427">
        <f t="shared" si="270"/>
      </c>
      <c r="P551" s="428">
        <f t="shared" si="323"/>
      </c>
      <c r="Q551" s="429" t="s">
        <v>777</v>
      </c>
      <c r="R551" s="430" t="s">
        <v>851</v>
      </c>
      <c r="S551" s="436">
        <v>33402</v>
      </c>
      <c r="T551" s="436">
        <v>2503</v>
      </c>
      <c r="U551" s="436">
        <v>2838</v>
      </c>
      <c r="V551" s="436">
        <v>192</v>
      </c>
      <c r="W551" s="435">
        <v>12</v>
      </c>
      <c r="X551" s="435">
        <v>1</v>
      </c>
      <c r="Y551" s="448">
        <v>21</v>
      </c>
      <c r="Z551" s="423"/>
      <c r="AA551" s="423"/>
    </row>
    <row r="552">
      <c r="A552" s="420"/>
      <c r="B552" s="437" t="s">
        <v>774</v>
      </c>
      <c r="C552" s="437"/>
      <c r="D552" s="438">
        <f>SUM(D548:D551)</f>
      </c>
      <c r="E552" s="438">
        <f>SUM(E548:E551)</f>
      </c>
      <c r="F552" s="438">
        <f>SUM(F548:F551)</f>
      </c>
      <c r="G552" s="438">
        <f>SUM(G548:G551)</f>
      </c>
      <c r="H552" s="440">
        <f t="shared" si="376"/>
      </c>
      <c r="I552" s="441">
        <f t="shared" si="29"/>
      </c>
      <c r="J552" s="442">
        <f t="shared" si="92"/>
      </c>
      <c r="K552" s="443">
        <f t="shared" si="127"/>
      </c>
      <c r="L552" s="444">
        <f t="shared" si="187"/>
      </c>
      <c r="M552" s="443">
        <f t="shared" si="157"/>
      </c>
      <c r="N552" s="443">
        <f t="shared" si="217"/>
      </c>
      <c r="O552" s="445">
        <f t="shared" si="270"/>
      </c>
      <c r="P552" s="446">
        <f t="shared" si="323"/>
      </c>
      <c r="Q552" s="444"/>
      <c r="R552" s="444"/>
      <c r="S552" s="447">
        <f>SUM(S548:S551)</f>
      </c>
      <c r="T552" s="447">
        <f>SUM(T548:T551)</f>
      </c>
      <c r="U552" s="447">
        <f>SUM(U548:U551)</f>
      </c>
      <c r="V552" s="447">
        <f>SUM(V548:V551)</f>
      </c>
      <c r="W552" s="447">
        <f>SUM(W548:W551)</f>
      </c>
      <c r="X552" s="447">
        <f>SUM(X548:X551)</f>
      </c>
      <c r="Y552" s="447">
        <f>SUM(Y548:Y551)</f>
      </c>
      <c r="Z552" s="423"/>
      <c r="AA552" s="423"/>
    </row>
    <row r="553">
      <c r="A553" s="420"/>
      <c r="B553" s="452" t="s">
        <v>787</v>
      </c>
      <c r="C553" s="452"/>
      <c r="D553" s="466">
        <f>D537+D542+D552+D547</f>
      </c>
      <c r="E553" s="466">
        <f>E537+E542+E552+E547</f>
      </c>
      <c r="F553" s="466">
        <f>F537+F542+F552+F547</f>
      </c>
      <c r="G553" s="466">
        <f>G537+G542+G552+G547</f>
      </c>
      <c r="H553" s="452">
        <f t="shared" si="376"/>
      </c>
      <c r="I553" s="452">
        <f t="shared" si="29"/>
      </c>
      <c r="J553" s="452">
        <f t="shared" si="92"/>
      </c>
      <c r="K553" s="455">
        <f t="shared" si="127"/>
      </c>
      <c r="L553" s="452">
        <f t="shared" si="187"/>
      </c>
      <c r="M553" s="455">
        <f t="shared" si="157"/>
      </c>
      <c r="N553" s="455">
        <f t="shared" si="217"/>
      </c>
      <c r="O553" s="455">
        <f t="shared" si="270"/>
      </c>
      <c r="P553" s="452">
        <f t="shared" si="323"/>
      </c>
      <c r="Q553" s="456"/>
      <c r="R553" s="456"/>
      <c r="S553" s="454">
        <f>S537+S542+S552+S547</f>
      </c>
      <c r="T553" s="454">
        <f>T537+T542+T552+T547</f>
      </c>
      <c r="U553" s="454">
        <f>U537+U542+U552+U547</f>
      </c>
      <c r="V553" s="454">
        <f>V537+V542+V552+V547</f>
      </c>
      <c r="W553" s="454">
        <f>W537+W542+W552+W547</f>
      </c>
      <c r="X553" s="454">
        <f>X537+X542+X552+X547</f>
      </c>
      <c r="Y553" s="454">
        <f>Y537+Y542+Y552+Y547</f>
      </c>
      <c r="Z553" s="423"/>
      <c r="AA553" s="423"/>
    </row>
    <row r="554">
      <c r="A554" s="405" t="s">
        <v>738</v>
      </c>
      <c r="B554" s="405"/>
      <c r="C554" s="405"/>
      <c r="D554" s="406" t="s">
        <v>739</v>
      </c>
      <c r="E554" s="406"/>
      <c r="F554" s="406"/>
      <c r="G554" s="406"/>
      <c r="H554" s="406"/>
      <c r="I554" s="406"/>
      <c r="J554" s="406"/>
      <c r="K554" s="407" t="s">
        <v>740</v>
      </c>
      <c r="L554" s="407"/>
      <c r="M554" s="407"/>
      <c r="N554" s="407"/>
      <c r="O554" s="407"/>
      <c r="P554" s="407"/>
      <c r="Q554" s="407"/>
      <c r="R554" s="407"/>
      <c r="S554" s="408" t="s">
        <v>741</v>
      </c>
      <c r="T554" s="408"/>
      <c r="U554" s="408"/>
      <c r="V554" s="408"/>
      <c r="W554" s="408"/>
      <c r="X554" s="408"/>
      <c r="Y554" s="408"/>
      <c r="Z554" s="423"/>
      <c r="AA554" s="487" t="s">
        <v>872</v>
      </c>
      <c r="AB554" s="487"/>
      <c r="AC554" s="487"/>
      <c r="AD554" s="487"/>
      <c r="AE554" s="487"/>
      <c r="AF554" s="487"/>
      <c r="AG554" s="487"/>
      <c r="AH554" s="487"/>
      <c r="AI554" s="487"/>
      <c r="AJ554" s="487"/>
      <c r="AK554" s="487"/>
    </row>
    <row r="555">
      <c r="A555" s="409" t="s">
        <v>742</v>
      </c>
      <c r="B555" s="409" t="s">
        <v>743</v>
      </c>
      <c r="C555" s="409" t="s">
        <v>744</v>
      </c>
      <c r="D555" s="410" t="s">
        <v>745</v>
      </c>
      <c r="E555" s="411" t="s">
        <v>746</v>
      </c>
      <c r="F555" s="463" t="s">
        <v>792</v>
      </c>
      <c r="G555" s="410" t="s">
        <v>747</v>
      </c>
      <c r="H555" s="412" t="s">
        <v>748</v>
      </c>
      <c r="I555" s="413" t="s">
        <v>749</v>
      </c>
      <c r="J555" s="410" t="s">
        <v>750</v>
      </c>
      <c r="K555" s="414" t="s">
        <v>751</v>
      </c>
      <c r="L555" s="415" t="s">
        <v>752</v>
      </c>
      <c r="M555" s="414" t="s">
        <v>753</v>
      </c>
      <c r="N555" s="414" t="s">
        <v>754</v>
      </c>
      <c r="O555" s="416" t="s">
        <v>755</v>
      </c>
      <c r="P555" s="416" t="s">
        <v>756</v>
      </c>
      <c r="Q555" s="417" t="s">
        <v>757</v>
      </c>
      <c r="R555" s="417" t="s">
        <v>758</v>
      </c>
      <c r="S555" s="431" t="s">
        <v>759</v>
      </c>
      <c r="T555" s="431" t="s">
        <v>760</v>
      </c>
      <c r="U555" s="431" t="s">
        <v>761</v>
      </c>
      <c r="V555" s="431" t="s">
        <v>762</v>
      </c>
      <c r="W555" s="431" t="s">
        <v>763</v>
      </c>
      <c r="X555" s="431" t="s">
        <v>764</v>
      </c>
      <c r="Y555" s="419" t="s">
        <v>765</v>
      </c>
      <c r="Z555" s="423"/>
      <c r="AA555" s="489" t="s">
        <v>806</v>
      </c>
      <c r="AB555" s="489" t="s">
        <v>807</v>
      </c>
      <c r="AC555" s="489" t="s">
        <v>808</v>
      </c>
      <c r="AD555" s="489" t="s">
        <v>809</v>
      </c>
      <c r="AE555" s="489" t="s">
        <v>810</v>
      </c>
      <c r="AF555" s="489" t="s">
        <v>811</v>
      </c>
      <c r="AG555" s="489" t="s">
        <v>750</v>
      </c>
      <c r="AH555" s="489" t="s">
        <v>812</v>
      </c>
      <c r="AI555" s="489" t="s">
        <v>748</v>
      </c>
      <c r="AJ555" s="489" t="s">
        <v>813</v>
      </c>
      <c r="AK555" s="489"/>
    </row>
    <row r="556">
      <c r="A556" s="420" t="s">
        <v>873</v>
      </c>
      <c r="B556" s="421" t="s">
        <v>782</v>
      </c>
      <c r="C556" s="451" t="s">
        <v>794</v>
      </c>
      <c r="D556" s="421">
        <v>2844.25</v>
      </c>
      <c r="E556" s="423">
        <v>5</v>
      </c>
      <c r="F556" s="423">
        <v>3</v>
      </c>
      <c r="G556" s="467">
        <v>7338.799999999999</v>
      </c>
      <c r="H556" s="424">
        <f t="shared" ref="H556:H576" si="377">G556/D556</f>
      </c>
      <c r="I556" s="424">
        <f>D556/E556</f>
      </c>
      <c r="J556" s="424">
        <f>G556/E556</f>
      </c>
      <c r="K556" s="425">
        <f t="shared" ref="K556:K576" si="128">T556/S556</f>
      </c>
      <c r="L556" s="426">
        <f t="shared" ref="L556:L576" si="188">D556/U556</f>
      </c>
      <c r="M556" s="427">
        <f t="shared" ref="M556:M576" si="158">V556/U556</f>
      </c>
      <c r="N556" s="427">
        <f t="shared" ref="N556:N576" si="218">E556/W556</f>
      </c>
      <c r="O556" s="427">
        <f t="shared" ref="O556:O576" si="271">X556/E556</f>
      </c>
      <c r="P556" s="428">
        <f t="shared" ref="P556:P576" si="324">(Y556*1000)/D556</f>
      </c>
      <c r="Q556" s="429" t="s">
        <v>769</v>
      </c>
      <c r="R556" s="430" t="s">
        <v>869</v>
      </c>
      <c r="S556" s="461">
        <v>19939</v>
      </c>
      <c r="T556" s="461">
        <v>2321</v>
      </c>
      <c r="U556" s="461">
        <v>2598</v>
      </c>
      <c r="V556" s="461">
        <v>154</v>
      </c>
      <c r="W556" s="461">
        <v>5</v>
      </c>
      <c r="X556" s="461">
        <v>0</v>
      </c>
      <c r="Y556" s="461">
        <v>83</v>
      </c>
      <c r="Z556" s="423"/>
      <c r="AA556" s="490" t="s">
        <v>782</v>
      </c>
      <c r="AB556" s="491" t="s">
        <v>814</v>
      </c>
      <c r="AC556" s="492">
        <v>4</v>
      </c>
      <c r="AD556" s="490">
        <v>12590.310000000001</v>
      </c>
      <c r="AE556" s="490">
        <v>32203.199999999997</v>
      </c>
      <c r="AF556" s="490">
        <v>26</v>
      </c>
      <c r="AG556" s="493">
        <f t="shared" ref="AG556:AG559" si="241">AE556/AF556</f>
      </c>
      <c r="AH556" s="493">
        <f t="shared" ref="AH556:AH559" si="294">AD556/AF556</f>
      </c>
      <c r="AI556" s="493">
        <f t="shared" ref="AI556:AI559" si="347">AE556/AD556</f>
      </c>
      <c r="AJ556" s="492">
        <f>AD556/AC556</f>
      </c>
      <c r="AK556" s="492"/>
    </row>
    <row r="557">
      <c r="A557" s="420"/>
      <c r="B557" s="421" t="s">
        <v>782</v>
      </c>
      <c r="C557" s="421" t="s">
        <v>796</v>
      </c>
      <c r="D557" s="421">
        <v>3221.13</v>
      </c>
      <c r="E557" s="423">
        <v>4</v>
      </c>
      <c r="F557" s="423">
        <v>5</v>
      </c>
      <c r="G557" s="467">
        <v>4601.6</v>
      </c>
      <c r="H557" s="424">
        <f t="shared" si="377"/>
      </c>
      <c r="I557" s="424">
        <v>2161</v>
      </c>
      <c r="J557" s="424">
        <v>234</v>
      </c>
      <c r="K557" s="425">
        <f t="shared" si="128"/>
      </c>
      <c r="L557" s="426">
        <f t="shared" si="188"/>
      </c>
      <c r="M557" s="427">
        <f t="shared" si="158"/>
      </c>
      <c r="N557" s="427">
        <f t="shared" si="218"/>
      </c>
      <c r="O557" s="427">
        <f t="shared" si="271"/>
      </c>
      <c r="P557" s="428">
        <f t="shared" si="324"/>
      </c>
      <c r="Q557" s="429" t="s">
        <v>769</v>
      </c>
      <c r="R557" s="430" t="s">
        <v>869</v>
      </c>
      <c r="S557" s="461">
        <v>23011</v>
      </c>
      <c r="T557" s="461">
        <v>1627</v>
      </c>
      <c r="U557" s="461">
        <v>1815</v>
      </c>
      <c r="V557" s="461">
        <v>155</v>
      </c>
      <c r="W557" s="461">
        <v>5</v>
      </c>
      <c r="X557" s="461">
        <v>0</v>
      </c>
      <c r="Y557" s="461">
        <v>110</v>
      </c>
      <c r="Z557" s="423"/>
      <c r="AA557" s="490" t="s">
        <v>775</v>
      </c>
      <c r="AB557" s="491" t="s">
        <v>815</v>
      </c>
      <c r="AC557" s="492">
        <v>4</v>
      </c>
      <c r="AD557" s="490">
        <v>13625.829999999998</v>
      </c>
      <c r="AE557" s="490">
        <v>18266.8</v>
      </c>
      <c r="AF557" s="490">
        <v>17</v>
      </c>
      <c r="AG557" s="493">
        <f t="shared" si="241"/>
      </c>
      <c r="AH557" s="493">
        <f t="shared" si="294"/>
      </c>
      <c r="AI557" s="493">
        <f t="shared" si="347"/>
      </c>
      <c r="AJ557" s="492">
        <f t="shared" ref="AJ557:AJ559" si="58">AD557/4</f>
      </c>
      <c r="AK557" s="492"/>
    </row>
    <row r="558">
      <c r="A558" s="420"/>
      <c r="B558" s="421" t="s">
        <v>782</v>
      </c>
      <c r="C558" s="421" t="s">
        <v>797</v>
      </c>
      <c r="D558" s="421">
        <v>3179.2699999999995</v>
      </c>
      <c r="E558" s="423">
        <v>10</v>
      </c>
      <c r="F558" s="423">
        <v>5</v>
      </c>
      <c r="G558" s="467">
        <v>10567.599999999997</v>
      </c>
      <c r="H558" s="424">
        <f t="shared" si="377"/>
      </c>
      <c r="I558" s="424">
        <f t="shared" ref="I558:I562" si="30">D558/E558</f>
      </c>
      <c r="J558" s="424">
        <f t="shared" ref="J558:J562" si="93">G558/E558</f>
      </c>
      <c r="K558" s="425">
        <f t="shared" si="128"/>
      </c>
      <c r="L558" s="426">
        <f t="shared" si="188"/>
      </c>
      <c r="M558" s="427">
        <f t="shared" si="158"/>
      </c>
      <c r="N558" s="427">
        <f t="shared" si="218"/>
      </c>
      <c r="O558" s="427">
        <f t="shared" si="271"/>
      </c>
      <c r="P558" s="428">
        <f t="shared" si="324"/>
      </c>
      <c r="Q558" s="429" t="s">
        <v>769</v>
      </c>
      <c r="R558" s="430" t="s">
        <v>869</v>
      </c>
      <c r="S558" s="461">
        <v>21244</v>
      </c>
      <c r="T558" s="461">
        <v>1956</v>
      </c>
      <c r="U558" s="461">
        <v>2216</v>
      </c>
      <c r="V558" s="461">
        <v>203</v>
      </c>
      <c r="W558" s="461">
        <v>11</v>
      </c>
      <c r="X558" s="461">
        <v>2</v>
      </c>
      <c r="Y558" s="461">
        <v>92</v>
      </c>
      <c r="Z558" s="423"/>
      <c r="AA558" s="490" t="s">
        <v>767</v>
      </c>
      <c r="AB558" s="491" t="s">
        <v>816</v>
      </c>
      <c r="AC558" s="492">
        <v>4</v>
      </c>
      <c r="AD558" s="490">
        <v>15550.7</v>
      </c>
      <c r="AE558" s="490">
        <v>17666.199999999997</v>
      </c>
      <c r="AF558" s="490">
        <v>14</v>
      </c>
      <c r="AG558" s="493">
        <f t="shared" si="241"/>
      </c>
      <c r="AH558" s="493">
        <f t="shared" si="294"/>
      </c>
      <c r="AI558" s="493">
        <f t="shared" si="347"/>
      </c>
      <c r="AJ558" s="492">
        <f t="shared" si="58"/>
      </c>
      <c r="AK558" s="492"/>
    </row>
    <row r="559">
      <c r="A559" s="420"/>
      <c r="B559" s="421" t="s">
        <v>782</v>
      </c>
      <c r="C559" s="421" t="s">
        <v>798</v>
      </c>
      <c r="D559" s="421">
        <v>3345.6600000000017</v>
      </c>
      <c r="E559" s="423">
        <v>7</v>
      </c>
      <c r="F559" s="423">
        <v>2</v>
      </c>
      <c r="G559" s="462">
        <v>9695.2</v>
      </c>
      <c r="H559" s="424">
        <f t="shared" si="377"/>
      </c>
      <c r="I559" s="424">
        <f t="shared" si="30"/>
      </c>
      <c r="J559" s="424">
        <f t="shared" si="93"/>
      </c>
      <c r="K559" s="425">
        <f t="shared" si="128"/>
      </c>
      <c r="L559" s="426">
        <f t="shared" si="188"/>
      </c>
      <c r="M559" s="427">
        <f t="shared" si="158"/>
      </c>
      <c r="N559" s="427">
        <f t="shared" si="218"/>
      </c>
      <c r="O559" s="427">
        <f t="shared" si="271"/>
      </c>
      <c r="P559" s="428">
        <f t="shared" si="324"/>
      </c>
      <c r="Q559" s="429" t="s">
        <v>769</v>
      </c>
      <c r="R559" s="430" t="s">
        <v>869</v>
      </c>
      <c r="S559" s="461">
        <v>22024</v>
      </c>
      <c r="T559" s="461">
        <v>1839</v>
      </c>
      <c r="U559" s="461">
        <v>2065</v>
      </c>
      <c r="V559" s="461">
        <v>201</v>
      </c>
      <c r="W559" s="461">
        <v>11</v>
      </c>
      <c r="X559" s="435">
        <v>2</v>
      </c>
      <c r="Y559" s="435">
        <v>117</v>
      </c>
      <c r="Z559" s="423"/>
      <c r="AA559" s="490" t="s">
        <v>789</v>
      </c>
      <c r="AB559" s="491" t="s">
        <v>817</v>
      </c>
      <c r="AC559" s="492">
        <v>4</v>
      </c>
      <c r="AD559" s="490">
        <v>13459.490000000005</v>
      </c>
      <c r="AE559" s="490">
        <v>12742.199999999997</v>
      </c>
      <c r="AF559" s="490">
        <v>16</v>
      </c>
      <c r="AG559" s="493">
        <f t="shared" si="241"/>
      </c>
      <c r="AH559" s="493">
        <f t="shared" si="294"/>
      </c>
      <c r="AI559" s="493">
        <f t="shared" si="347"/>
      </c>
      <c r="AJ559" s="492">
        <f t="shared" si="58"/>
      </c>
      <c r="AK559" s="492"/>
    </row>
    <row r="560">
      <c r="A560" s="420"/>
      <c r="B560" s="437" t="s">
        <v>774</v>
      </c>
      <c r="C560" s="437"/>
      <c r="D560" s="438">
        <f>SUM(D556:D559)</f>
      </c>
      <c r="E560" s="439">
        <f>SUM(E556:E559)</f>
      </c>
      <c r="F560" s="439">
        <f>SUM(F556:F559)</f>
      </c>
      <c r="G560" s="438">
        <f>SUM(G556:G559)</f>
      </c>
      <c r="H560" s="440">
        <f t="shared" si="377"/>
      </c>
      <c r="I560" s="441">
        <f t="shared" si="30"/>
      </c>
      <c r="J560" s="442">
        <f t="shared" si="93"/>
      </c>
      <c r="K560" s="443">
        <f t="shared" si="128"/>
      </c>
      <c r="L560" s="444">
        <f t="shared" si="188"/>
      </c>
      <c r="M560" s="443">
        <f t="shared" si="158"/>
      </c>
      <c r="N560" s="443">
        <f t="shared" si="218"/>
      </c>
      <c r="O560" s="445">
        <f t="shared" si="271"/>
      </c>
      <c r="P560" s="446">
        <f t="shared" si="324"/>
      </c>
      <c r="Q560" s="444"/>
      <c r="R560" s="444"/>
      <c r="S560" s="447">
        <f>SUM(S556:S559)</f>
      </c>
      <c r="T560" s="447">
        <f>SUM(T556:T559)</f>
      </c>
      <c r="U560" s="447">
        <f>SUM(U556:U559)</f>
      </c>
      <c r="V560" s="447">
        <f>SUM(V556:V559)</f>
      </c>
      <c r="W560" s="447">
        <f>SUM(W556:W559)</f>
      </c>
      <c r="X560" s="447">
        <f>SUM(X556:X559)</f>
      </c>
      <c r="Y560" s="447">
        <f>SUM(Y556:Y559)</f>
      </c>
      <c r="Z560" s="423"/>
      <c r="AA560" s="495" t="s">
        <v>819</v>
      </c>
      <c r="AB560" s="495"/>
      <c r="AC560" s="495"/>
      <c r="AD560" s="495"/>
      <c r="AE560" s="495"/>
      <c r="AF560" s="495"/>
      <c r="AG560" s="495"/>
      <c r="AH560" s="495"/>
      <c r="AI560" s="495"/>
      <c r="AJ560" s="495"/>
      <c r="AK560" s="495"/>
    </row>
    <row r="561">
      <c r="A561" s="420"/>
      <c r="B561" s="421" t="s">
        <v>775</v>
      </c>
      <c r="C561" s="422" t="s">
        <v>768</v>
      </c>
      <c r="D561" s="421">
        <v>3335.49</v>
      </c>
      <c r="E561" s="423">
        <v>5</v>
      </c>
      <c r="F561" s="423">
        <v>5</v>
      </c>
      <c r="G561" s="467">
        <v>4083.5999999999985</v>
      </c>
      <c r="H561" s="424">
        <f t="shared" si="377"/>
      </c>
      <c r="I561" s="424">
        <f t="shared" si="30"/>
      </c>
      <c r="J561" s="424">
        <f t="shared" si="93"/>
      </c>
      <c r="K561" s="425">
        <f t="shared" si="128"/>
      </c>
      <c r="L561" s="426">
        <f t="shared" si="188"/>
      </c>
      <c r="M561" s="427">
        <f t="shared" si="158"/>
      </c>
      <c r="N561" s="427">
        <f t="shared" si="218"/>
      </c>
      <c r="O561" s="427">
        <f t="shared" si="271"/>
      </c>
      <c r="P561" s="428">
        <f t="shared" si="324"/>
      </c>
      <c r="Q561" s="429" t="s">
        <v>777</v>
      </c>
      <c r="R561" s="430" t="s">
        <v>869</v>
      </c>
      <c r="S561" s="436">
        <v>19285</v>
      </c>
      <c r="T561" s="436">
        <v>2370</v>
      </c>
      <c r="U561" s="436">
        <v>2692</v>
      </c>
      <c r="V561" s="436">
        <v>204</v>
      </c>
      <c r="W561" s="435">
        <v>10</v>
      </c>
      <c r="X561" s="435">
        <v>1</v>
      </c>
      <c r="Y561" s="448">
        <v>106</v>
      </c>
      <c r="Z561" s="423"/>
      <c r="AA561" s="478" t="s">
        <v>809</v>
      </c>
      <c r="AB561" s="478" t="s">
        <v>820</v>
      </c>
      <c r="AC561" s="479" t="s">
        <v>821</v>
      </c>
      <c r="AD561" s="478" t="s">
        <v>822</v>
      </c>
      <c r="AE561" s="478" t="s">
        <v>823</v>
      </c>
      <c r="AF561" s="478" t="s">
        <v>824</v>
      </c>
      <c r="AG561" s="478" t="s">
        <v>825</v>
      </c>
      <c r="AH561" s="480" t="s">
        <v>764</v>
      </c>
      <c r="AI561" s="480" t="s">
        <v>826</v>
      </c>
      <c r="AJ561" s="480" t="s">
        <v>827</v>
      </c>
      <c r="AK561" s="480" t="s">
        <v>808</v>
      </c>
    </row>
    <row r="562">
      <c r="A562" s="420"/>
      <c r="B562" s="421" t="s">
        <v>775</v>
      </c>
      <c r="C562" s="433" t="s">
        <v>771</v>
      </c>
      <c r="D562" s="421">
        <v>2843.2800000000007</v>
      </c>
      <c r="E562" s="423">
        <v>4</v>
      </c>
      <c r="F562" s="423">
        <v>3</v>
      </c>
      <c r="G562" s="467">
        <v>3276.4000000000015</v>
      </c>
      <c r="H562" s="424">
        <f t="shared" si="377"/>
      </c>
      <c r="I562" s="424">
        <f t="shared" si="30"/>
      </c>
      <c r="J562" s="424">
        <f t="shared" si="93"/>
      </c>
      <c r="K562" s="425">
        <f t="shared" si="128"/>
      </c>
      <c r="L562" s="426">
        <f t="shared" si="188"/>
      </c>
      <c r="M562" s="427">
        <f t="shared" si="158"/>
      </c>
      <c r="N562" s="427">
        <f t="shared" si="218"/>
      </c>
      <c r="O562" s="427">
        <f t="shared" si="271"/>
      </c>
      <c r="P562" s="428">
        <f t="shared" si="324"/>
      </c>
      <c r="Q562" s="429" t="s">
        <v>777</v>
      </c>
      <c r="R562" s="430" t="s">
        <v>869</v>
      </c>
      <c r="S562" s="436">
        <v>13596</v>
      </c>
      <c r="T562" s="436">
        <v>1692</v>
      </c>
      <c r="U562" s="436">
        <v>2034</v>
      </c>
      <c r="V562" s="436">
        <v>176</v>
      </c>
      <c r="W562" s="435">
        <v>6</v>
      </c>
      <c r="X562" s="435">
        <v>1</v>
      </c>
      <c r="Y562" s="448">
        <v>62</v>
      </c>
      <c r="Z562" s="423"/>
      <c r="AA562" s="465">
        <f>SUM(AD556:AD559)</f>
      </c>
      <c r="AB562" s="465">
        <f>SUM(AE556:AE559)</f>
      </c>
      <c r="AC562" s="481">
        <f>AB562/((AK562*300)+AA562)</f>
      </c>
      <c r="AD562" s="482">
        <f>AA562/AJ562</f>
      </c>
      <c r="AE562" s="481">
        <f>AB562/AJ562</f>
      </c>
      <c r="AF562" s="483">
        <f>AJ562/AI562</f>
      </c>
      <c r="AG562" s="483">
        <f>AH562/AJ562</f>
      </c>
      <c r="AH562" s="484">
        <v>10</v>
      </c>
      <c r="AI562" s="484">
        <v>114</v>
      </c>
      <c r="AJ562" s="484">
        <v>74</v>
      </c>
      <c r="AK562" s="485">
        <f>SUM(AC556:AC559)</f>
      </c>
    </row>
    <row r="563">
      <c r="A563" s="420"/>
      <c r="B563" s="421" t="s">
        <v>775</v>
      </c>
      <c r="C563" s="433" t="s">
        <v>772</v>
      </c>
      <c r="D563" s="421">
        <v>3882.5</v>
      </c>
      <c r="E563" s="423">
        <v>4</v>
      </c>
      <c r="F563" s="423">
        <v>4</v>
      </c>
      <c r="G563" s="467">
        <v>3994.800000000003</v>
      </c>
      <c r="H563" s="424">
        <f t="shared" si="377"/>
      </c>
      <c r="I563" s="424">
        <v>1323</v>
      </c>
      <c r="J563" s="424">
        <v>145</v>
      </c>
      <c r="K563" s="425">
        <f t="shared" si="128"/>
      </c>
      <c r="L563" s="426">
        <f t="shared" si="188"/>
      </c>
      <c r="M563" s="427">
        <f t="shared" si="158"/>
      </c>
      <c r="N563" s="427">
        <f t="shared" si="218"/>
      </c>
      <c r="O563" s="427">
        <f t="shared" si="271"/>
      </c>
      <c r="P563" s="428">
        <f t="shared" si="324"/>
      </c>
      <c r="Q563" s="429" t="s">
        <v>777</v>
      </c>
      <c r="R563" s="430" t="s">
        <v>869</v>
      </c>
      <c r="S563" s="436">
        <v>20903</v>
      </c>
      <c r="T563" s="436">
        <v>1670</v>
      </c>
      <c r="U563" s="436">
        <v>1972</v>
      </c>
      <c r="V563" s="436">
        <v>172</v>
      </c>
      <c r="W563" s="435">
        <v>6</v>
      </c>
      <c r="X563" s="435">
        <v>0</v>
      </c>
      <c r="Y563" s="448">
        <v>95</v>
      </c>
      <c r="Z563" s="423"/>
      <c r="AA563" s="423"/>
    </row>
    <row r="564">
      <c r="A564" s="420"/>
      <c r="B564" s="421" t="s">
        <v>775</v>
      </c>
      <c r="C564" s="433" t="s">
        <v>773</v>
      </c>
      <c r="D564" s="421">
        <v>3564.5599999999977</v>
      </c>
      <c r="E564" s="423">
        <v>4</v>
      </c>
      <c r="F564" s="423">
        <v>3</v>
      </c>
      <c r="G564" s="462">
        <v>6912</v>
      </c>
      <c r="H564" s="424">
        <f t="shared" si="377"/>
      </c>
      <c r="I564" s="424">
        <f t="shared" ref="I564:I576" si="31">D564/E564</f>
      </c>
      <c r="J564" s="424">
        <f t="shared" ref="J564:J576" si="94">G564/E564</f>
      </c>
      <c r="K564" s="425">
        <f t="shared" si="128"/>
      </c>
      <c r="L564" s="426">
        <f t="shared" si="188"/>
      </c>
      <c r="M564" s="427">
        <f t="shared" si="158"/>
      </c>
      <c r="N564" s="427">
        <f t="shared" si="218"/>
      </c>
      <c r="O564" s="427">
        <f t="shared" si="271"/>
      </c>
      <c r="P564" s="428">
        <f t="shared" si="324"/>
      </c>
      <c r="Q564" s="429" t="s">
        <v>777</v>
      </c>
      <c r="R564" s="430" t="s">
        <v>869</v>
      </c>
      <c r="S564" s="435">
        <v>22115</v>
      </c>
      <c r="T564" s="436">
        <v>1787</v>
      </c>
      <c r="U564" s="436">
        <v>2031</v>
      </c>
      <c r="V564" s="436">
        <v>159</v>
      </c>
      <c r="W564" s="435">
        <v>6</v>
      </c>
      <c r="X564" s="435">
        <v>0</v>
      </c>
      <c r="Y564" s="448">
        <v>61</v>
      </c>
      <c r="Z564" s="423"/>
      <c r="AA564" s="423"/>
    </row>
    <row r="565">
      <c r="A565" s="420"/>
      <c r="B565" s="437" t="s">
        <v>774</v>
      </c>
      <c r="C565" s="437"/>
      <c r="D565" s="438">
        <f>SUM(D561:D564)</f>
      </c>
      <c r="E565" s="439">
        <f>SUM(E561:E564)</f>
      </c>
      <c r="F565" s="439">
        <f>SUM(F561:F564)</f>
      </c>
      <c r="G565" s="438">
        <f>SUM(G561:G564)</f>
      </c>
      <c r="H565" s="440">
        <f t="shared" si="377"/>
      </c>
      <c r="I565" s="441">
        <f t="shared" si="31"/>
      </c>
      <c r="J565" s="442">
        <f t="shared" si="94"/>
      </c>
      <c r="K565" s="443">
        <f t="shared" si="128"/>
      </c>
      <c r="L565" s="444">
        <f t="shared" si="188"/>
      </c>
      <c r="M565" s="443">
        <f t="shared" si="158"/>
      </c>
      <c r="N565" s="443">
        <f t="shared" si="218"/>
      </c>
      <c r="O565" s="445">
        <f t="shared" si="271"/>
      </c>
      <c r="P565" s="446">
        <f t="shared" si="324"/>
      </c>
      <c r="Q565" s="444"/>
      <c r="R565" s="444"/>
      <c r="S565" s="447">
        <f>SUM(S561:S564)</f>
      </c>
      <c r="T565" s="447">
        <f>SUM(T561:T564)</f>
      </c>
      <c r="U565" s="447">
        <f>SUM(U561:U564)</f>
      </c>
      <c r="V565" s="447">
        <f>SUM(V561:V564)</f>
      </c>
      <c r="W565" s="500">
        <f>W561+W562+W563+W564</f>
      </c>
      <c r="X565" s="447">
        <f>SUM(X561:X564)</f>
      </c>
      <c r="Y565" s="447">
        <f>SUM(Y561:Y564)</f>
      </c>
      <c r="Z565" s="423"/>
      <c r="AA565" s="423"/>
    </row>
    <row r="566">
      <c r="A566" s="420"/>
      <c r="B566" s="421" t="s">
        <v>767</v>
      </c>
      <c r="C566" s="433" t="s">
        <v>776</v>
      </c>
      <c r="D566" s="421">
        <v>4147.57</v>
      </c>
      <c r="E566" s="423">
        <v>5</v>
      </c>
      <c r="F566" s="423">
        <v>3</v>
      </c>
      <c r="G566" s="467">
        <v>6919.199999999997</v>
      </c>
      <c r="H566" s="424">
        <f t="shared" si="377"/>
      </c>
      <c r="I566" s="424">
        <f t="shared" si="31"/>
      </c>
      <c r="J566" s="424">
        <f t="shared" si="94"/>
      </c>
      <c r="K566" s="425">
        <f t="shared" si="128"/>
      </c>
      <c r="L566" s="426">
        <f t="shared" si="188"/>
      </c>
      <c r="M566" s="427">
        <f t="shared" si="158"/>
      </c>
      <c r="N566" s="427">
        <f t="shared" si="218"/>
      </c>
      <c r="O566" s="427">
        <f t="shared" si="271"/>
      </c>
      <c r="P566" s="428">
        <f t="shared" si="324"/>
      </c>
      <c r="Q566" s="429" t="s">
        <v>777</v>
      </c>
      <c r="R566" s="430" t="s">
        <v>874</v>
      </c>
      <c r="S566" s="436">
        <v>29403</v>
      </c>
      <c r="T566" s="436">
        <v>2194</v>
      </c>
      <c r="U566" s="436">
        <v>2534</v>
      </c>
      <c r="V566" s="436">
        <v>228</v>
      </c>
      <c r="W566" s="435">
        <v>9</v>
      </c>
      <c r="X566" s="435">
        <v>1</v>
      </c>
      <c r="Y566" s="448">
        <v>137</v>
      </c>
      <c r="Z566" s="423"/>
      <c r="AA566" s="423"/>
    </row>
    <row r="567">
      <c r="A567" s="420"/>
      <c r="B567" s="421" t="s">
        <v>767</v>
      </c>
      <c r="C567" s="422" t="s">
        <v>779</v>
      </c>
      <c r="D567" s="421">
        <v>3163.2999999999956</v>
      </c>
      <c r="E567" s="423">
        <v>1</v>
      </c>
      <c r="F567" s="423">
        <v>2</v>
      </c>
      <c r="G567" s="467">
        <v>402</v>
      </c>
      <c r="H567" s="424">
        <f t="shared" si="377"/>
      </c>
      <c r="I567" s="424">
        <f t="shared" si="31"/>
      </c>
      <c r="J567" s="424">
        <f t="shared" si="94"/>
      </c>
      <c r="K567" s="425">
        <f t="shared" si="128"/>
      </c>
      <c r="L567" s="426">
        <f t="shared" si="188"/>
      </c>
      <c r="M567" s="427">
        <f t="shared" si="158"/>
      </c>
      <c r="N567" s="427">
        <f t="shared" si="218"/>
      </c>
      <c r="O567" s="427">
        <f t="shared" si="271"/>
      </c>
      <c r="P567" s="428">
        <f t="shared" si="324"/>
      </c>
      <c r="Q567" s="429" t="s">
        <v>777</v>
      </c>
      <c r="R567" s="430" t="s">
        <v>874</v>
      </c>
      <c r="S567" s="436">
        <v>24369</v>
      </c>
      <c r="T567" s="436">
        <v>1644</v>
      </c>
      <c r="U567" s="436">
        <v>1866</v>
      </c>
      <c r="V567" s="436">
        <v>187</v>
      </c>
      <c r="W567" s="435">
        <v>1</v>
      </c>
      <c r="X567" s="435">
        <v>0</v>
      </c>
      <c r="Y567" s="448">
        <v>105</v>
      </c>
      <c r="Z567" s="423"/>
      <c r="AA567" s="423"/>
    </row>
    <row r="568">
      <c r="A568" s="420"/>
      <c r="B568" s="421" t="s">
        <v>767</v>
      </c>
      <c r="C568" s="422" t="s">
        <v>780</v>
      </c>
      <c r="D568" s="421">
        <v>3835.7000000000044</v>
      </c>
      <c r="E568" s="423">
        <v>1</v>
      </c>
      <c r="F568" s="423">
        <v>1</v>
      </c>
      <c r="G568" s="467">
        <v>402</v>
      </c>
      <c r="H568" s="424">
        <f t="shared" si="377"/>
      </c>
      <c r="I568" s="424">
        <f t="shared" si="31"/>
      </c>
      <c r="J568" s="424">
        <f t="shared" si="94"/>
      </c>
      <c r="K568" s="425">
        <f t="shared" si="128"/>
      </c>
      <c r="L568" s="426">
        <f t="shared" si="188"/>
      </c>
      <c r="M568" s="427">
        <f t="shared" si="158"/>
      </c>
      <c r="N568" s="427">
        <f t="shared" si="218"/>
      </c>
      <c r="O568" s="427">
        <f t="shared" si="271"/>
      </c>
      <c r="P568" s="428">
        <f t="shared" si="324"/>
      </c>
      <c r="Q568" s="429" t="s">
        <v>777</v>
      </c>
      <c r="R568" s="430" t="s">
        <v>874</v>
      </c>
      <c r="S568" s="436">
        <v>37886</v>
      </c>
      <c r="T568" s="436">
        <v>1760</v>
      </c>
      <c r="U568" s="436">
        <v>2041</v>
      </c>
      <c r="V568" s="436">
        <v>225</v>
      </c>
      <c r="W568" s="435">
        <v>4</v>
      </c>
      <c r="X568" s="435">
        <v>0</v>
      </c>
      <c r="Y568" s="448">
        <v>96</v>
      </c>
      <c r="Z568" s="423"/>
      <c r="AA568" s="423"/>
    </row>
    <row r="569">
      <c r="A569" s="420"/>
      <c r="B569" s="421" t="s">
        <v>767</v>
      </c>
      <c r="C569" s="422" t="s">
        <v>781</v>
      </c>
      <c r="D569" s="421">
        <v>4404.129999999997</v>
      </c>
      <c r="E569" s="423">
        <v>8</v>
      </c>
      <c r="F569" s="423">
        <v>5</v>
      </c>
      <c r="G569" s="462">
        <v>9943</v>
      </c>
      <c r="H569" s="424">
        <f t="shared" si="377"/>
      </c>
      <c r="I569" s="424">
        <f t="shared" si="31"/>
      </c>
      <c r="J569" s="424">
        <f t="shared" si="94"/>
      </c>
      <c r="K569" s="425">
        <f t="shared" si="128"/>
      </c>
      <c r="L569" s="426">
        <f t="shared" si="188"/>
      </c>
      <c r="M569" s="427">
        <f t="shared" si="158"/>
      </c>
      <c r="N569" s="427">
        <f t="shared" si="218"/>
      </c>
      <c r="O569" s="427">
        <f t="shared" si="271"/>
      </c>
      <c r="P569" s="428">
        <f t="shared" si="324"/>
      </c>
      <c r="Q569" s="429" t="s">
        <v>777</v>
      </c>
      <c r="R569" s="430" t="s">
        <v>874</v>
      </c>
      <c r="S569" s="436">
        <v>33972</v>
      </c>
      <c r="T569" s="436">
        <v>1823</v>
      </c>
      <c r="U569" s="436">
        <v>2125</v>
      </c>
      <c r="V569" s="436">
        <v>222</v>
      </c>
      <c r="W569" s="435">
        <v>8</v>
      </c>
      <c r="X569" s="435">
        <v>1</v>
      </c>
      <c r="Y569" s="448">
        <v>119</v>
      </c>
      <c r="Z569" s="423"/>
      <c r="AA569" s="423"/>
    </row>
    <row r="570">
      <c r="A570" s="420"/>
      <c r="B570" s="437" t="s">
        <v>774</v>
      </c>
      <c r="C570" s="437"/>
      <c r="D570" s="438">
        <f>SUM(D566:D569)</f>
      </c>
      <c r="E570" s="439">
        <f>SUM(E566:E569)</f>
      </c>
      <c r="F570" s="439">
        <f>SUM(F566:F569)</f>
      </c>
      <c r="G570" s="438">
        <f>SUM(G566:G569)</f>
      </c>
      <c r="H570" s="440">
        <f t="shared" si="377"/>
      </c>
      <c r="I570" s="441">
        <f t="shared" si="31"/>
      </c>
      <c r="J570" s="442">
        <f t="shared" si="94"/>
      </c>
      <c r="K570" s="443">
        <f t="shared" si="128"/>
      </c>
      <c r="L570" s="444">
        <f t="shared" si="188"/>
      </c>
      <c r="M570" s="443">
        <f t="shared" si="158"/>
      </c>
      <c r="N570" s="443">
        <f t="shared" si="218"/>
      </c>
      <c r="O570" s="445">
        <f t="shared" si="271"/>
      </c>
      <c r="P570" s="446">
        <f t="shared" si="324"/>
      </c>
      <c r="Q570" s="444"/>
      <c r="R570" s="444"/>
      <c r="S570" s="447">
        <f>SUM(S566:S569)</f>
      </c>
      <c r="T570" s="447">
        <f>SUM(T566:T569)</f>
      </c>
      <c r="U570" s="447">
        <f>SUM(U566:U569)</f>
      </c>
      <c r="V570" s="447">
        <f>SUM(V566:V569)</f>
      </c>
      <c r="W570" s="447">
        <f>SUM(W566:W569)</f>
      </c>
      <c r="X570" s="447">
        <f>SUM(X566:X569)</f>
      </c>
      <c r="Y570" s="447">
        <f>SUM(Y566:Y569)</f>
      </c>
      <c r="Z570" s="423"/>
      <c r="AA570" s="423"/>
    </row>
    <row r="571">
      <c r="A571" s="420"/>
      <c r="B571" s="421" t="s">
        <v>789</v>
      </c>
      <c r="C571" s="422" t="s">
        <v>783</v>
      </c>
      <c r="D571" s="421">
        <v>3142.9100000000035</v>
      </c>
      <c r="E571" s="423">
        <v>6</v>
      </c>
      <c r="F571" s="423">
        <v>5</v>
      </c>
      <c r="G571" s="467">
        <v>4695</v>
      </c>
      <c r="H571" s="424">
        <f t="shared" si="377"/>
      </c>
      <c r="I571" s="424">
        <f t="shared" si="31"/>
      </c>
      <c r="J571" s="424">
        <f t="shared" si="94"/>
      </c>
      <c r="K571" s="425">
        <f t="shared" si="128"/>
      </c>
      <c r="L571" s="426">
        <f t="shared" si="188"/>
      </c>
      <c r="M571" s="427">
        <f t="shared" si="158"/>
      </c>
      <c r="N571" s="427">
        <f t="shared" si="218"/>
      </c>
      <c r="O571" s="427">
        <f t="shared" si="271"/>
      </c>
      <c r="P571" s="428">
        <f t="shared" si="324"/>
      </c>
      <c r="Q571" s="429" t="s">
        <v>777</v>
      </c>
      <c r="R571" s="430" t="s">
        <v>874</v>
      </c>
      <c r="S571" s="436">
        <v>25994</v>
      </c>
      <c r="T571" s="436">
        <v>1335</v>
      </c>
      <c r="U571" s="436">
        <v>1564</v>
      </c>
      <c r="V571" s="436">
        <v>155</v>
      </c>
      <c r="W571" s="435">
        <v>10</v>
      </c>
      <c r="X571" s="435">
        <v>1</v>
      </c>
      <c r="Y571" s="448">
        <v>62</v>
      </c>
      <c r="Z571" s="423"/>
      <c r="AA571" s="423"/>
    </row>
    <row r="572">
      <c r="A572" s="420"/>
      <c r="B572" s="421" t="s">
        <v>789</v>
      </c>
      <c r="C572" s="451" t="s">
        <v>784</v>
      </c>
      <c r="D572" s="421">
        <v>3555.800000000003</v>
      </c>
      <c r="E572" s="423">
        <v>4</v>
      </c>
      <c r="F572" s="423">
        <v>4</v>
      </c>
      <c r="G572" s="467">
        <v>3601.199999999997</v>
      </c>
      <c r="H572" s="424">
        <f t="shared" si="377"/>
      </c>
      <c r="I572" s="424">
        <f t="shared" si="31"/>
      </c>
      <c r="J572" s="424">
        <f t="shared" si="94"/>
      </c>
      <c r="K572" s="425">
        <f t="shared" si="128"/>
      </c>
      <c r="L572" s="426">
        <f t="shared" si="188"/>
      </c>
      <c r="M572" s="427">
        <f t="shared" si="158"/>
      </c>
      <c r="N572" s="427">
        <f t="shared" si="218"/>
      </c>
      <c r="O572" s="427">
        <f t="shared" si="271"/>
      </c>
      <c r="P572" s="428">
        <f t="shared" si="324"/>
      </c>
      <c r="Q572" s="429" t="s">
        <v>777</v>
      </c>
      <c r="R572" s="430" t="s">
        <v>874</v>
      </c>
      <c r="S572" s="436">
        <v>23479</v>
      </c>
      <c r="T572" s="436">
        <v>1704</v>
      </c>
      <c r="U572" s="436">
        <v>1920</v>
      </c>
      <c r="V572" s="436">
        <v>216</v>
      </c>
      <c r="W572" s="435">
        <v>6</v>
      </c>
      <c r="X572" s="435">
        <v>0</v>
      </c>
      <c r="Y572" s="448">
        <v>73</v>
      </c>
      <c r="Z572" s="423"/>
      <c r="AA572" s="423"/>
    </row>
    <row r="573">
      <c r="A573" s="420"/>
      <c r="B573" s="421" t="s">
        <v>789</v>
      </c>
      <c r="C573" s="451" t="s">
        <v>785</v>
      </c>
      <c r="D573" s="421">
        <v>4184.629999999997</v>
      </c>
      <c r="E573" s="423">
        <v>3</v>
      </c>
      <c r="F573" s="423">
        <v>3</v>
      </c>
      <c r="G573" s="467">
        <v>1456.800000000003</v>
      </c>
      <c r="H573" s="424">
        <f t="shared" si="377"/>
      </c>
      <c r="I573" s="424">
        <f t="shared" si="31"/>
      </c>
      <c r="J573" s="424">
        <f t="shared" si="94"/>
      </c>
      <c r="K573" s="425">
        <f t="shared" si="128"/>
      </c>
      <c r="L573" s="426">
        <f t="shared" si="188"/>
      </c>
      <c r="M573" s="427">
        <f t="shared" si="158"/>
      </c>
      <c r="N573" s="427">
        <f t="shared" si="218"/>
      </c>
      <c r="O573" s="427">
        <f t="shared" si="271"/>
      </c>
      <c r="P573" s="428">
        <f t="shared" si="324"/>
      </c>
      <c r="Q573" s="429" t="s">
        <v>777</v>
      </c>
      <c r="R573" s="430" t="s">
        <v>874</v>
      </c>
      <c r="S573" s="436">
        <v>22153</v>
      </c>
      <c r="T573" s="436">
        <v>1431</v>
      </c>
      <c r="U573" s="436">
        <v>1593</v>
      </c>
      <c r="V573" s="436">
        <v>144</v>
      </c>
      <c r="W573" s="435">
        <v>4</v>
      </c>
      <c r="X573" s="435">
        <v>0</v>
      </c>
      <c r="Y573" s="448">
        <v>61</v>
      </c>
      <c r="Z573" s="423"/>
      <c r="AA573" s="423"/>
    </row>
    <row r="574">
      <c r="A574" s="420"/>
      <c r="B574" s="421" t="s">
        <v>789</v>
      </c>
      <c r="C574" s="451" t="s">
        <v>786</v>
      </c>
      <c r="D574" s="421">
        <v>2576.1500000000015</v>
      </c>
      <c r="E574" s="423">
        <v>3</v>
      </c>
      <c r="F574" s="423">
        <v>2</v>
      </c>
      <c r="G574" s="462">
        <v>2989.199999999997</v>
      </c>
      <c r="H574" s="424">
        <f t="shared" si="377"/>
      </c>
      <c r="I574" s="424">
        <f t="shared" si="31"/>
      </c>
      <c r="J574" s="424">
        <f t="shared" si="94"/>
      </c>
      <c r="K574" s="425">
        <f t="shared" si="128"/>
      </c>
      <c r="L574" s="426">
        <f t="shared" si="188"/>
      </c>
      <c r="M574" s="427">
        <f t="shared" si="158"/>
      </c>
      <c r="N574" s="427">
        <f t="shared" si="218"/>
      </c>
      <c r="O574" s="427">
        <f t="shared" si="271"/>
      </c>
      <c r="P574" s="428">
        <f t="shared" si="324"/>
      </c>
      <c r="Q574" s="429" t="s">
        <v>777</v>
      </c>
      <c r="R574" s="430" t="s">
        <v>874</v>
      </c>
      <c r="S574" s="436">
        <v>14849</v>
      </c>
      <c r="T574" s="436">
        <v>1200</v>
      </c>
      <c r="U574" s="436">
        <v>1438</v>
      </c>
      <c r="V574" s="436">
        <v>126</v>
      </c>
      <c r="W574" s="435">
        <v>3</v>
      </c>
      <c r="X574" s="435">
        <v>1</v>
      </c>
      <c r="Y574" s="448">
        <v>34</v>
      </c>
      <c r="Z574" s="423"/>
      <c r="AA574" s="423"/>
    </row>
    <row r="575">
      <c r="A575" s="420"/>
      <c r="B575" s="437" t="s">
        <v>774</v>
      </c>
      <c r="C575" s="437"/>
      <c r="D575" s="438">
        <f>SUM(D571:D574)</f>
      </c>
      <c r="E575" s="438">
        <f>SUM(E571:E574)</f>
      </c>
      <c r="F575" s="438">
        <f>SUM(F571:F574)</f>
      </c>
      <c r="G575" s="438">
        <f>SUM(G571:G574)</f>
      </c>
      <c r="H575" s="440">
        <f t="shared" si="377"/>
      </c>
      <c r="I575" s="441">
        <f t="shared" si="31"/>
      </c>
      <c r="J575" s="442">
        <f t="shared" si="94"/>
      </c>
      <c r="K575" s="443">
        <f t="shared" si="128"/>
      </c>
      <c r="L575" s="444">
        <f t="shared" si="188"/>
      </c>
      <c r="M575" s="443">
        <f t="shared" si="158"/>
      </c>
      <c r="N575" s="443">
        <f t="shared" si="218"/>
      </c>
      <c r="O575" s="445">
        <f t="shared" si="271"/>
      </c>
      <c r="P575" s="446">
        <f t="shared" si="324"/>
      </c>
      <c r="Q575" s="444"/>
      <c r="R575" s="444"/>
      <c r="S575" s="447">
        <f>SUM(S571:S574)</f>
      </c>
      <c r="T575" s="447">
        <f>SUM(T571:T574)</f>
      </c>
      <c r="U575" s="447">
        <f>SUM(U571:U574)</f>
      </c>
      <c r="V575" s="447">
        <f>SUM(V571:V574)</f>
      </c>
      <c r="W575" s="447">
        <f>SUM(W571:W574)</f>
      </c>
      <c r="X575" s="447">
        <f>SUM(X571:X574)</f>
      </c>
      <c r="Y575" s="447">
        <f>SUM(Y571:Y574)</f>
      </c>
      <c r="Z575" s="423"/>
      <c r="AA575" s="423"/>
    </row>
    <row r="576">
      <c r="A576" s="420"/>
      <c r="B576" s="452" t="s">
        <v>787</v>
      </c>
      <c r="C576" s="452"/>
      <c r="D576" s="466">
        <f>D560+D565+D575+D570</f>
      </c>
      <c r="E576" s="466">
        <f>E560+E565+E575+E570</f>
      </c>
      <c r="F576" s="466">
        <f>F560+F565+F575+F570</f>
      </c>
      <c r="G576" s="466">
        <f>G560+G565+G575+G570</f>
      </c>
      <c r="H576" s="452">
        <f t="shared" si="377"/>
      </c>
      <c r="I576" s="452">
        <f t="shared" si="31"/>
      </c>
      <c r="J576" s="452">
        <f t="shared" si="94"/>
      </c>
      <c r="K576" s="455">
        <f t="shared" si="128"/>
      </c>
      <c r="L576" s="452">
        <f t="shared" si="188"/>
      </c>
      <c r="M576" s="455">
        <f t="shared" si="158"/>
      </c>
      <c r="N576" s="455">
        <f t="shared" si="218"/>
      </c>
      <c r="O576" s="455">
        <f t="shared" si="271"/>
      </c>
      <c r="P576" s="452">
        <f t="shared" si="324"/>
      </c>
      <c r="Q576" s="456"/>
      <c r="R576" s="456"/>
      <c r="S576" s="454">
        <f>S560+S565+S575+S570</f>
      </c>
      <c r="T576" s="454">
        <f>T560+T565+T575+T570</f>
      </c>
      <c r="U576" s="454">
        <f>U560+U565+U575+U570</f>
      </c>
      <c r="V576" s="454">
        <f>V560+V565+V575+V570</f>
      </c>
      <c r="W576" s="454">
        <f>W560+W565+W575+W570</f>
      </c>
      <c r="X576" s="454">
        <f>X560+X565+X575+X570</f>
      </c>
      <c r="Y576" s="454">
        <f>Y560+Y565+Y575+Y570</f>
      </c>
      <c r="Z576" s="423"/>
      <c r="AA576" s="487" t="s">
        <v>875</v>
      </c>
      <c r="AB576" s="487"/>
      <c r="AC576" s="487"/>
      <c r="AD576" s="487"/>
      <c r="AE576" s="487"/>
      <c r="AF576" s="487"/>
      <c r="AG576" s="487"/>
      <c r="AH576" s="487"/>
      <c r="AI576" s="487"/>
      <c r="AJ576" s="487"/>
      <c r="AK576" s="487"/>
    </row>
    <row customHeight="true" ht="20.238095238095237" r="577">
      <c r="A577" s="405" t="s">
        <v>738</v>
      </c>
      <c r="B577" s="405"/>
      <c r="C577" s="405"/>
      <c r="D577" s="406" t="s">
        <v>739</v>
      </c>
      <c r="E577" s="406"/>
      <c r="F577" s="406"/>
      <c r="G577" s="406"/>
      <c r="H577" s="406"/>
      <c r="I577" s="406"/>
      <c r="J577" s="406"/>
      <c r="K577" s="407" t="s">
        <v>740</v>
      </c>
      <c r="L577" s="407"/>
      <c r="M577" s="407"/>
      <c r="N577" s="407"/>
      <c r="O577" s="407"/>
      <c r="P577" s="407"/>
      <c r="Q577" s="407"/>
      <c r="R577" s="407"/>
      <c r="S577" s="408" t="s">
        <v>741</v>
      </c>
      <c r="T577" s="408"/>
      <c r="U577" s="408"/>
      <c r="V577" s="408"/>
      <c r="W577" s="408"/>
      <c r="X577" s="408"/>
      <c r="Y577" s="408"/>
      <c r="Z577" s="423"/>
      <c r="AA577" s="489"/>
      <c r="AB577" s="489"/>
      <c r="AC577" s="489"/>
      <c r="AD577" s="489"/>
      <c r="AE577" s="489"/>
      <c r="AF577" s="489"/>
      <c r="AG577" s="489"/>
      <c r="AH577" s="489"/>
      <c r="AI577" s="489"/>
      <c r="AJ577" s="489"/>
      <c r="AK577" s="489"/>
    </row>
    <row customHeight="true" ht="20.238095238095237" r="578">
      <c r="A578" s="409" t="s">
        <v>742</v>
      </c>
      <c r="B578" s="409" t="s">
        <v>743</v>
      </c>
      <c r="C578" s="409" t="s">
        <v>744</v>
      </c>
      <c r="D578" s="410" t="s">
        <v>745</v>
      </c>
      <c r="E578" s="411" t="s">
        <v>746</v>
      </c>
      <c r="F578" s="463" t="s">
        <v>792</v>
      </c>
      <c r="G578" s="410" t="s">
        <v>747</v>
      </c>
      <c r="H578" s="412" t="s">
        <v>748</v>
      </c>
      <c r="I578" s="413" t="s">
        <v>749</v>
      </c>
      <c r="J578" s="410" t="s">
        <v>750</v>
      </c>
      <c r="K578" s="414" t="s">
        <v>751</v>
      </c>
      <c r="L578" s="415" t="s">
        <v>752</v>
      </c>
      <c r="M578" s="414" t="s">
        <v>753</v>
      </c>
      <c r="N578" s="414" t="s">
        <v>754</v>
      </c>
      <c r="O578" s="416" t="s">
        <v>755</v>
      </c>
      <c r="P578" s="416" t="s">
        <v>756</v>
      </c>
      <c r="Q578" s="417" t="s">
        <v>757</v>
      </c>
      <c r="R578" s="417" t="s">
        <v>758</v>
      </c>
      <c r="S578" s="431" t="s">
        <v>759</v>
      </c>
      <c r="T578" s="431" t="s">
        <v>760</v>
      </c>
      <c r="U578" s="431" t="s">
        <v>761</v>
      </c>
      <c r="V578" s="431" t="s">
        <v>762</v>
      </c>
      <c r="W578" s="431" t="s">
        <v>763</v>
      </c>
      <c r="X578" s="431" t="s">
        <v>764</v>
      </c>
      <c r="Y578" s="419" t="s">
        <v>765</v>
      </c>
      <c r="Z578" s="423"/>
      <c r="AA578" s="489"/>
      <c r="AB578" s="489"/>
      <c r="AC578" s="489"/>
      <c r="AD578" s="489"/>
      <c r="AE578" s="489"/>
      <c r="AF578" s="489"/>
      <c r="AG578" s="489"/>
      <c r="AH578" s="489"/>
      <c r="AI578" s="489"/>
      <c r="AJ578" s="489"/>
      <c r="AK578" s="489"/>
    </row>
    <row r="579">
      <c r="A579" s="420" t="s">
        <v>876</v>
      </c>
      <c r="B579" s="421" t="s">
        <v>767</v>
      </c>
      <c r="C579" s="451" t="s">
        <v>794</v>
      </c>
      <c r="D579" s="421">
        <v>4829.91</v>
      </c>
      <c r="E579" s="423">
        <v>7</v>
      </c>
      <c r="F579" s="423">
        <v>3</v>
      </c>
      <c r="G579" s="467">
        <v>9011.400000000001</v>
      </c>
      <c r="H579" s="424">
        <f t="shared" ref="H579:H599" si="378">G579/D579</f>
      </c>
      <c r="I579" s="424">
        <f>D579/E579</f>
      </c>
      <c r="J579" s="424">
        <f>G579/E579</f>
      </c>
      <c r="K579" s="425">
        <f t="shared" ref="K579:K599" si="129">T579/S579</f>
      </c>
      <c r="L579" s="426">
        <f t="shared" ref="L579:L599" si="189">D579/U579</f>
      </c>
      <c r="M579" s="427">
        <f t="shared" ref="M579:M599" si="159">V579/U579</f>
      </c>
      <c r="N579" s="427">
        <f t="shared" ref="N579:N599" si="219">E579/W579</f>
      </c>
      <c r="O579" s="427">
        <f t="shared" ref="O579:O599" si="272">X579/E579</f>
      </c>
      <c r="P579" s="428">
        <f t="shared" ref="P579:P599" si="325">(Y579*1000)/D579</f>
      </c>
      <c r="Q579" s="429" t="s">
        <v>769</v>
      </c>
      <c r="R579" s="430" t="s">
        <v>869</v>
      </c>
      <c r="S579" s="461">
        <v>23969</v>
      </c>
      <c r="T579" s="461">
        <v>2186</v>
      </c>
      <c r="U579" s="461">
        <v>2417</v>
      </c>
      <c r="V579" s="461">
        <v>193</v>
      </c>
      <c r="W579" s="461">
        <v>8</v>
      </c>
      <c r="X579" s="461">
        <v>1</v>
      </c>
      <c r="Y579" s="461">
        <v>111</v>
      </c>
      <c r="Z579" s="423"/>
      <c r="AA579" s="489" t="s">
        <v>806</v>
      </c>
      <c r="AB579" s="489" t="s">
        <v>807</v>
      </c>
      <c r="AC579" s="489" t="s">
        <v>808</v>
      </c>
      <c r="AD579" s="489" t="s">
        <v>809</v>
      </c>
      <c r="AE579" s="489" t="s">
        <v>810</v>
      </c>
      <c r="AF579" s="489" t="s">
        <v>811</v>
      </c>
      <c r="AG579" s="489" t="s">
        <v>750</v>
      </c>
      <c r="AH579" s="489" t="s">
        <v>812</v>
      </c>
      <c r="AI579" s="489" t="s">
        <v>748</v>
      </c>
      <c r="AJ579" s="489" t="s">
        <v>813</v>
      </c>
      <c r="AK579" s="489"/>
    </row>
    <row r="580">
      <c r="A580" s="420"/>
      <c r="B580" s="421" t="s">
        <v>767</v>
      </c>
      <c r="C580" s="421" t="s">
        <v>796</v>
      </c>
      <c r="D580" s="421">
        <v>3444.959999999999</v>
      </c>
      <c r="E580" s="423">
        <v>4</v>
      </c>
      <c r="F580" s="423">
        <v>4</v>
      </c>
      <c r="G580" s="467">
        <v>2090.399999999998</v>
      </c>
      <c r="H580" s="424">
        <f t="shared" si="378"/>
      </c>
      <c r="I580" s="424">
        <v>2161</v>
      </c>
      <c r="J580" s="424">
        <v>234</v>
      </c>
      <c r="K580" s="425">
        <f t="shared" si="129"/>
      </c>
      <c r="L580" s="426">
        <f t="shared" si="189"/>
      </c>
      <c r="M580" s="427">
        <f t="shared" si="159"/>
      </c>
      <c r="N580" s="427">
        <f t="shared" si="219"/>
      </c>
      <c r="O580" s="427">
        <f t="shared" si="272"/>
      </c>
      <c r="P580" s="428">
        <f t="shared" si="325"/>
      </c>
      <c r="Q580" s="429" t="s">
        <v>769</v>
      </c>
      <c r="R580" s="430" t="s">
        <v>869</v>
      </c>
      <c r="S580" s="461">
        <v>15630</v>
      </c>
      <c r="T580" s="461">
        <v>1985</v>
      </c>
      <c r="U580" s="461">
        <v>2200</v>
      </c>
      <c r="V580" s="461">
        <v>173</v>
      </c>
      <c r="W580" s="461">
        <v>6</v>
      </c>
      <c r="X580" s="461">
        <v>1</v>
      </c>
      <c r="Y580" s="461">
        <v>97</v>
      </c>
      <c r="Z580" s="423"/>
      <c r="AA580" s="490" t="s">
        <v>767</v>
      </c>
      <c r="AB580" s="491" t="s">
        <v>814</v>
      </c>
      <c r="AC580" s="492">
        <v>4</v>
      </c>
      <c r="AD580" s="490">
        <v>14996.32</v>
      </c>
      <c r="AE580" s="490">
        <v>21530.3</v>
      </c>
      <c r="AF580" s="490">
        <v>21</v>
      </c>
      <c r="AG580" s="493">
        <f t="shared" ref="AG580:AG583" si="242">AE580/AF580</f>
      </c>
      <c r="AH580" s="493">
        <f t="shared" ref="AH580:AH583" si="295">AD580/AF580</f>
      </c>
      <c r="AI580" s="493">
        <f t="shared" ref="AI580:AI583" si="348">AE580/AD580</f>
      </c>
      <c r="AJ580" s="492">
        <f>AD580/AC580</f>
      </c>
      <c r="AK580" s="492"/>
    </row>
    <row r="581">
      <c r="A581" s="420"/>
      <c r="B581" s="421" t="s">
        <v>767</v>
      </c>
      <c r="C581" s="421" t="s">
        <v>797</v>
      </c>
      <c r="D581" s="421">
        <v>2724.920000000002</v>
      </c>
      <c r="E581" s="423">
        <v>3</v>
      </c>
      <c r="F581" s="423">
        <v>1</v>
      </c>
      <c r="G581" s="467">
        <v>2252.399999999998</v>
      </c>
      <c r="H581" s="424">
        <f t="shared" si="378"/>
      </c>
      <c r="I581" s="424">
        <f t="shared" ref="I581:I585" si="32">D581/E581</f>
      </c>
      <c r="J581" s="424">
        <f t="shared" ref="J581:J585" si="95">G581/E581</f>
      </c>
      <c r="K581" s="425">
        <f t="shared" si="129"/>
      </c>
      <c r="L581" s="426">
        <f t="shared" si="189"/>
      </c>
      <c r="M581" s="427">
        <f t="shared" si="159"/>
      </c>
      <c r="N581" s="427">
        <f t="shared" si="219"/>
      </c>
      <c r="O581" s="427">
        <f t="shared" si="272"/>
      </c>
      <c r="P581" s="428">
        <f t="shared" si="325"/>
      </c>
      <c r="Q581" s="429" t="s">
        <v>769</v>
      </c>
      <c r="R581" s="430" t="s">
        <v>869</v>
      </c>
      <c r="S581" s="461">
        <v>8913</v>
      </c>
      <c r="T581" s="461">
        <v>583</v>
      </c>
      <c r="U581" s="461">
        <v>653</v>
      </c>
      <c r="V581" s="461">
        <v>91</v>
      </c>
      <c r="W581" s="461">
        <v>5</v>
      </c>
      <c r="X581" s="461">
        <v>0</v>
      </c>
      <c r="Y581" s="461">
        <v>60</v>
      </c>
      <c r="Z581" s="423"/>
      <c r="AA581" s="490" t="s">
        <v>775</v>
      </c>
      <c r="AB581" s="491" t="s">
        <v>815</v>
      </c>
      <c r="AC581" s="492">
        <v>4</v>
      </c>
      <c r="AD581" s="490">
        <v>11630.04</v>
      </c>
      <c r="AE581" s="490">
        <v>14389.2</v>
      </c>
      <c r="AF581" s="490">
        <v>12</v>
      </c>
      <c r="AG581" s="493">
        <f t="shared" si="242"/>
      </c>
      <c r="AH581" s="493">
        <f t="shared" si="295"/>
      </c>
      <c r="AI581" s="493">
        <f t="shared" si="348"/>
      </c>
      <c r="AJ581" s="492">
        <f t="shared" ref="AJ581:AJ583" si="59">AD581/4</f>
      </c>
      <c r="AK581" s="492"/>
    </row>
    <row r="582">
      <c r="A582" s="420"/>
      <c r="B582" s="421" t="s">
        <v>767</v>
      </c>
      <c r="C582" s="421" t="s">
        <v>798</v>
      </c>
      <c r="D582" s="421">
        <v>3996.529999999999</v>
      </c>
      <c r="E582" s="423">
        <v>7</v>
      </c>
      <c r="F582" s="423">
        <v>4</v>
      </c>
      <c r="G582" s="462">
        <v>8176.100000000002</v>
      </c>
      <c r="H582" s="424">
        <f t="shared" si="378"/>
      </c>
      <c r="I582" s="424">
        <f t="shared" si="32"/>
      </c>
      <c r="J582" s="424">
        <f t="shared" si="95"/>
      </c>
      <c r="K582" s="425">
        <f t="shared" si="129"/>
      </c>
      <c r="L582" s="426">
        <f t="shared" si="189"/>
      </c>
      <c r="M582" s="427">
        <f t="shared" si="159"/>
      </c>
      <c r="N582" s="427">
        <f t="shared" si="219"/>
      </c>
      <c r="O582" s="427">
        <f t="shared" si="272"/>
      </c>
      <c r="P582" s="428">
        <f t="shared" si="325"/>
      </c>
      <c r="Q582" s="429" t="s">
        <v>769</v>
      </c>
      <c r="R582" s="430" t="s">
        <v>869</v>
      </c>
      <c r="S582" s="461">
        <v>15349</v>
      </c>
      <c r="T582" s="461">
        <v>1606</v>
      </c>
      <c r="U582" s="461">
        <v>1851</v>
      </c>
      <c r="V582" s="461">
        <v>186</v>
      </c>
      <c r="W582" s="461">
        <v>8</v>
      </c>
      <c r="X582" s="435">
        <v>1</v>
      </c>
      <c r="Y582" s="435">
        <v>100</v>
      </c>
      <c r="Z582" s="423"/>
      <c r="AA582" s="490" t="s">
        <v>789</v>
      </c>
      <c r="AB582" s="491" t="s">
        <v>816</v>
      </c>
      <c r="AC582" s="492">
        <v>4</v>
      </c>
      <c r="AD582" s="490">
        <v>10945.489999999994</v>
      </c>
      <c r="AE582" s="490">
        <v>9109.199999999997</v>
      </c>
      <c r="AF582" s="490">
        <v>8</v>
      </c>
      <c r="AG582" s="493">
        <f t="shared" si="242"/>
      </c>
      <c r="AH582" s="493">
        <f t="shared" si="295"/>
      </c>
      <c r="AI582" s="493">
        <f t="shared" si="348"/>
      </c>
      <c r="AJ582" s="492">
        <f t="shared" si="59"/>
      </c>
      <c r="AK582" s="492"/>
    </row>
    <row r="583">
      <c r="A583" s="420"/>
      <c r="B583" s="437" t="s">
        <v>774</v>
      </c>
      <c r="C583" s="437"/>
      <c r="D583" s="438">
        <f>SUM(D579:D582)</f>
      </c>
      <c r="E583" s="439">
        <f>SUM(E579:E582)</f>
      </c>
      <c r="F583" s="439">
        <f>SUM(F579:F582)</f>
      </c>
      <c r="G583" s="438">
        <f>SUM(G579:G582)</f>
      </c>
      <c r="H583" s="440">
        <f t="shared" si="378"/>
      </c>
      <c r="I583" s="441">
        <f t="shared" si="32"/>
      </c>
      <c r="J583" s="442">
        <f t="shared" si="95"/>
      </c>
      <c r="K583" s="443">
        <f t="shared" si="129"/>
      </c>
      <c r="L583" s="444">
        <f t="shared" si="189"/>
      </c>
      <c r="M583" s="443">
        <f t="shared" si="159"/>
      </c>
      <c r="N583" s="443">
        <f t="shared" si="219"/>
      </c>
      <c r="O583" s="445">
        <f t="shared" si="272"/>
      </c>
      <c r="P583" s="446">
        <f t="shared" si="325"/>
      </c>
      <c r="Q583" s="444"/>
      <c r="R583" s="444"/>
      <c r="S583" s="447">
        <f>SUM(S579:S582)</f>
      </c>
      <c r="T583" s="447">
        <f>SUM(T579:T582)</f>
      </c>
      <c r="U583" s="447">
        <f>SUM(U579:U582)</f>
      </c>
      <c r="V583" s="447">
        <f>SUM(V579:V582)</f>
      </c>
      <c r="W583" s="447">
        <f>SUM(W579:W582)</f>
      </c>
      <c r="X583" s="447">
        <f>SUM(X579:X582)</f>
      </c>
      <c r="Y583" s="447">
        <f>SUM(Y579:Y582)</f>
      </c>
      <c r="Z583" s="423"/>
      <c r="AA583" s="490" t="s">
        <v>782</v>
      </c>
      <c r="AB583" s="491" t="s">
        <v>817</v>
      </c>
      <c r="AC583" s="492">
        <v>4</v>
      </c>
      <c r="AD583" s="490">
        <v>10792.93000000001</v>
      </c>
      <c r="AE583" s="490">
        <v>17148.5</v>
      </c>
      <c r="AF583" s="490">
        <v>12</v>
      </c>
      <c r="AG583" s="493">
        <f t="shared" si="242"/>
      </c>
      <c r="AH583" s="493">
        <f t="shared" si="295"/>
      </c>
      <c r="AI583" s="493">
        <f t="shared" si="348"/>
      </c>
      <c r="AJ583" s="492">
        <f t="shared" si="59"/>
      </c>
      <c r="AK583" s="492"/>
    </row>
    <row r="584">
      <c r="A584" s="420"/>
      <c r="B584" s="421" t="s">
        <v>775</v>
      </c>
      <c r="C584" s="422" t="s">
        <v>768</v>
      </c>
      <c r="D584" s="421">
        <v>3508.779999999999</v>
      </c>
      <c r="E584" s="423">
        <v>1</v>
      </c>
      <c r="F584" s="423">
        <v>2</v>
      </c>
      <c r="G584" s="467">
        <v>2698</v>
      </c>
      <c r="H584" s="424">
        <f t="shared" si="378"/>
      </c>
      <c r="I584" s="424">
        <f t="shared" si="32"/>
      </c>
      <c r="J584" s="424">
        <f t="shared" si="95"/>
      </c>
      <c r="K584" s="425">
        <f t="shared" si="129"/>
      </c>
      <c r="L584" s="426">
        <f t="shared" si="189"/>
      </c>
      <c r="M584" s="427">
        <f t="shared" si="159"/>
      </c>
      <c r="N584" s="427">
        <f t="shared" si="219"/>
      </c>
      <c r="O584" s="427">
        <f t="shared" si="272"/>
      </c>
      <c r="P584" s="428">
        <f t="shared" si="325"/>
      </c>
      <c r="Q584" s="429" t="s">
        <v>777</v>
      </c>
      <c r="R584" s="430" t="s">
        <v>869</v>
      </c>
      <c r="S584" s="436">
        <v>16617</v>
      </c>
      <c r="T584" s="436">
        <v>1814</v>
      </c>
      <c r="U584" s="436">
        <v>2043</v>
      </c>
      <c r="V584" s="436">
        <v>186</v>
      </c>
      <c r="W584" s="435">
        <v>1</v>
      </c>
      <c r="X584" s="435">
        <v>0</v>
      </c>
      <c r="Y584" s="448">
        <v>100</v>
      </c>
      <c r="Z584" s="423"/>
      <c r="AA584" s="495" t="s">
        <v>819</v>
      </c>
      <c r="AB584" s="495"/>
      <c r="AC584" s="495"/>
      <c r="AD584" s="495"/>
      <c r="AE584" s="495"/>
      <c r="AF584" s="495"/>
      <c r="AG584" s="495"/>
      <c r="AH584" s="495"/>
      <c r="AI584" s="495"/>
      <c r="AJ584" s="495"/>
      <c r="AK584" s="495"/>
    </row>
    <row r="585">
      <c r="A585" s="420"/>
      <c r="B585" s="421" t="s">
        <v>775</v>
      </c>
      <c r="C585" s="433" t="s">
        <v>771</v>
      </c>
      <c r="D585" s="421">
        <v>2768.9000000000015</v>
      </c>
      <c r="E585" s="423">
        <v>2</v>
      </c>
      <c r="F585" s="423">
        <v>2</v>
      </c>
      <c r="G585" s="467">
        <v>730.4000000000015</v>
      </c>
      <c r="H585" s="424">
        <f t="shared" si="378"/>
      </c>
      <c r="I585" s="424">
        <f t="shared" si="32"/>
      </c>
      <c r="J585" s="424">
        <f t="shared" si="95"/>
      </c>
      <c r="K585" s="425">
        <f t="shared" si="129"/>
      </c>
      <c r="L585" s="426">
        <f t="shared" si="189"/>
      </c>
      <c r="M585" s="427">
        <f t="shared" si="159"/>
      </c>
      <c r="N585" s="427">
        <f t="shared" si="219"/>
      </c>
      <c r="O585" s="427">
        <f t="shared" si="272"/>
      </c>
      <c r="P585" s="428">
        <f t="shared" si="325"/>
      </c>
      <c r="Q585" s="429" t="s">
        <v>777</v>
      </c>
      <c r="R585" s="430" t="s">
        <v>869</v>
      </c>
      <c r="S585" s="436">
        <v>13606</v>
      </c>
      <c r="T585" s="436">
        <v>1328</v>
      </c>
      <c r="U585" s="436">
        <v>1547</v>
      </c>
      <c r="V585" s="436">
        <v>151</v>
      </c>
      <c r="W585" s="435">
        <v>3</v>
      </c>
      <c r="X585" s="435">
        <v>0</v>
      </c>
      <c r="Y585" s="448">
        <v>61</v>
      </c>
      <c r="Z585" s="423"/>
      <c r="AA585" s="478" t="s">
        <v>809</v>
      </c>
      <c r="AB585" s="478" t="s">
        <v>820</v>
      </c>
      <c r="AC585" s="479" t="s">
        <v>821</v>
      </c>
      <c r="AD585" s="478" t="s">
        <v>822</v>
      </c>
      <c r="AE585" s="478" t="s">
        <v>823</v>
      </c>
      <c r="AF585" s="478" t="s">
        <v>824</v>
      </c>
      <c r="AG585" s="478" t="s">
        <v>825</v>
      </c>
      <c r="AH585" s="480" t="s">
        <v>764</v>
      </c>
      <c r="AI585" s="480" t="s">
        <v>826</v>
      </c>
      <c r="AJ585" s="480" t="s">
        <v>827</v>
      </c>
      <c r="AK585" s="480" t="s">
        <v>808</v>
      </c>
    </row>
    <row r="586">
      <c r="A586" s="420"/>
      <c r="B586" s="421" t="s">
        <v>775</v>
      </c>
      <c r="C586" s="433" t="s">
        <v>772</v>
      </c>
      <c r="D586" s="421">
        <v>3050.4300000000003</v>
      </c>
      <c r="E586" s="423">
        <v>3</v>
      </c>
      <c r="F586" s="423">
        <v>2</v>
      </c>
      <c r="G586" s="467">
        <v>1367.9999999999964</v>
      </c>
      <c r="H586" s="424">
        <f t="shared" si="378"/>
      </c>
      <c r="I586" s="424">
        <v>1323</v>
      </c>
      <c r="J586" s="424">
        <v>145</v>
      </c>
      <c r="K586" s="425">
        <f t="shared" si="129"/>
      </c>
      <c r="L586" s="426">
        <f t="shared" si="189"/>
      </c>
      <c r="M586" s="427">
        <f t="shared" si="159"/>
      </c>
      <c r="N586" s="427">
        <f t="shared" si="219"/>
      </c>
      <c r="O586" s="427">
        <f t="shared" si="272"/>
      </c>
      <c r="P586" s="428">
        <f t="shared" si="325"/>
      </c>
      <c r="Q586" s="429" t="s">
        <v>777</v>
      </c>
      <c r="R586" s="430" t="s">
        <v>869</v>
      </c>
      <c r="S586" s="436">
        <v>12265</v>
      </c>
      <c r="T586" s="436">
        <v>1113</v>
      </c>
      <c r="U586" s="436">
        <v>1293</v>
      </c>
      <c r="V586" s="436">
        <v>133</v>
      </c>
      <c r="W586" s="435">
        <v>6</v>
      </c>
      <c r="X586" s="435">
        <v>0</v>
      </c>
      <c r="Y586" s="448">
        <v>47</v>
      </c>
      <c r="Z586" s="423"/>
      <c r="AA586" s="465">
        <f>SUM(AD580:AD583)</f>
      </c>
      <c r="AB586" s="465">
        <f>SUM(AE580:AE583)</f>
      </c>
      <c r="AC586" s="481">
        <f>AB586/((AK586*300)+AA586)</f>
      </c>
      <c r="AD586" s="482">
        <f>AA586/AJ586</f>
      </c>
      <c r="AE586" s="481">
        <f>AB586/AJ586</f>
      </c>
      <c r="AF586" s="483">
        <f>AJ586/AI586</f>
      </c>
      <c r="AG586" s="483">
        <f>AH586/AJ586</f>
      </c>
      <c r="AH586" s="484">
        <v>9</v>
      </c>
      <c r="AI586" s="484">
        <v>88</v>
      </c>
      <c r="AJ586" s="484">
        <v>53</v>
      </c>
      <c r="AK586" s="485">
        <f>SUM(AC580:AC583)</f>
      </c>
    </row>
    <row r="587">
      <c r="A587" s="420"/>
      <c r="B587" s="421" t="s">
        <v>775</v>
      </c>
      <c r="C587" s="433" t="s">
        <v>773</v>
      </c>
      <c r="D587" s="421">
        <v>2301.9300000000003</v>
      </c>
      <c r="E587" s="423">
        <v>6</v>
      </c>
      <c r="F587" s="423">
        <v>4</v>
      </c>
      <c r="G587" s="462">
        <v>9592.800000000003</v>
      </c>
      <c r="H587" s="424">
        <f t="shared" si="378"/>
      </c>
      <c r="I587" s="424">
        <f t="shared" ref="I587:I599" si="33">D587/E587</f>
      </c>
      <c r="J587" s="424">
        <f t="shared" ref="J587:J599" si="96">G587/E587</f>
      </c>
      <c r="K587" s="425">
        <f t="shared" si="129"/>
      </c>
      <c r="L587" s="426">
        <f t="shared" si="189"/>
      </c>
      <c r="M587" s="427">
        <f t="shared" si="159"/>
      </c>
      <c r="N587" s="427">
        <f t="shared" si="219"/>
      </c>
      <c r="O587" s="427">
        <f t="shared" si="272"/>
      </c>
      <c r="P587" s="428">
        <f t="shared" si="325"/>
      </c>
      <c r="Q587" s="429" t="s">
        <v>777</v>
      </c>
      <c r="R587" s="430" t="s">
        <v>869</v>
      </c>
      <c r="S587" s="435">
        <v>11696</v>
      </c>
      <c r="T587" s="436">
        <v>864</v>
      </c>
      <c r="U587" s="436">
        <v>1025</v>
      </c>
      <c r="V587" s="436">
        <v>113</v>
      </c>
      <c r="W587" s="435">
        <v>7</v>
      </c>
      <c r="X587" s="435">
        <v>1</v>
      </c>
      <c r="Y587" s="448">
        <v>47</v>
      </c>
      <c r="Z587" s="423"/>
      <c r="AA587" s="423"/>
    </row>
    <row r="588">
      <c r="A588" s="420"/>
      <c r="B588" s="437" t="s">
        <v>774</v>
      </c>
      <c r="C588" s="437"/>
      <c r="D588" s="438">
        <f>SUM(D584:D587)</f>
      </c>
      <c r="E588" s="439">
        <f>SUM(E584:E587)</f>
      </c>
      <c r="F588" s="439">
        <f>SUM(F584:F587)</f>
      </c>
      <c r="G588" s="438">
        <f>SUM(G584:G587)</f>
      </c>
      <c r="H588" s="440">
        <f t="shared" si="378"/>
      </c>
      <c r="I588" s="441">
        <f t="shared" si="33"/>
      </c>
      <c r="J588" s="442">
        <f t="shared" si="96"/>
      </c>
      <c r="K588" s="443">
        <f t="shared" si="129"/>
      </c>
      <c r="L588" s="444">
        <f t="shared" si="189"/>
      </c>
      <c r="M588" s="443">
        <f t="shared" si="159"/>
      </c>
      <c r="N588" s="443">
        <f t="shared" si="219"/>
      </c>
      <c r="O588" s="445">
        <f t="shared" si="272"/>
      </c>
      <c r="P588" s="446">
        <f t="shared" si="325"/>
      </c>
      <c r="Q588" s="444"/>
      <c r="R588" s="444"/>
      <c r="S588" s="447">
        <f>SUM(S584:S587)</f>
      </c>
      <c r="T588" s="447">
        <f>SUM(T584:T587)</f>
      </c>
      <c r="U588" s="447">
        <f>SUM(U584:U587)</f>
      </c>
      <c r="V588" s="447">
        <f>SUM(V584:V587)</f>
      </c>
      <c r="W588" s="500">
        <f>W584+W585+W586+W587</f>
      </c>
      <c r="X588" s="447">
        <f>SUM(X584:X587)</f>
      </c>
      <c r="Y588" s="447">
        <f>SUM(Y584:Y587)</f>
      </c>
      <c r="Z588" s="423"/>
      <c r="AA588" s="423"/>
    </row>
    <row r="589">
      <c r="A589" s="420"/>
      <c r="B589" s="421" t="s">
        <v>789</v>
      </c>
      <c r="C589" s="433" t="s">
        <v>776</v>
      </c>
      <c r="D589" s="421">
        <v>2629.5</v>
      </c>
      <c r="E589" s="423">
        <v>2</v>
      </c>
      <c r="F589" s="423">
        <v>3</v>
      </c>
      <c r="G589" s="467">
        <v>3596.4000000000015</v>
      </c>
      <c r="H589" s="424">
        <f t="shared" si="378"/>
      </c>
      <c r="I589" s="424">
        <f t="shared" si="33"/>
      </c>
      <c r="J589" s="424">
        <f t="shared" si="96"/>
      </c>
      <c r="K589" s="425">
        <f t="shared" si="129"/>
      </c>
      <c r="L589" s="426">
        <f t="shared" si="189"/>
      </c>
      <c r="M589" s="427">
        <f t="shared" si="159"/>
      </c>
      <c r="N589" s="427">
        <f t="shared" si="219"/>
      </c>
      <c r="O589" s="427">
        <f t="shared" si="272"/>
      </c>
      <c r="P589" s="428">
        <f t="shared" si="325"/>
      </c>
      <c r="Q589" s="429" t="s">
        <v>777</v>
      </c>
      <c r="R589" s="430" t="s">
        <v>874</v>
      </c>
      <c r="S589" s="436">
        <v>14526</v>
      </c>
      <c r="T589" s="436">
        <v>937</v>
      </c>
      <c r="U589" s="436">
        <v>1149</v>
      </c>
      <c r="V589" s="436">
        <v>121</v>
      </c>
      <c r="W589" s="435">
        <v>2</v>
      </c>
      <c r="X589" s="435">
        <v>0</v>
      </c>
      <c r="Y589" s="448">
        <v>58</v>
      </c>
      <c r="Z589" s="423"/>
      <c r="AA589" s="423"/>
    </row>
    <row r="590">
      <c r="A590" s="420"/>
      <c r="B590" s="421" t="s">
        <v>789</v>
      </c>
      <c r="C590" s="422" t="s">
        <v>779</v>
      </c>
      <c r="D590" s="421">
        <v>2781.33</v>
      </c>
      <c r="E590" s="423">
        <v>2</v>
      </c>
      <c r="F590" s="423">
        <v>1</v>
      </c>
      <c r="G590" s="467">
        <v>1021.1999999999971</v>
      </c>
      <c r="H590" s="424">
        <f t="shared" si="378"/>
      </c>
      <c r="I590" s="424">
        <f t="shared" si="33"/>
      </c>
      <c r="J590" s="424">
        <f t="shared" si="96"/>
      </c>
      <c r="K590" s="425">
        <f t="shared" si="129"/>
      </c>
      <c r="L590" s="426">
        <f t="shared" si="189"/>
      </c>
      <c r="M590" s="427">
        <f t="shared" si="159"/>
      </c>
      <c r="N590" s="427">
        <f t="shared" si="219"/>
      </c>
      <c r="O590" s="427">
        <f t="shared" si="272"/>
      </c>
      <c r="P590" s="428">
        <f t="shared" si="325"/>
      </c>
      <c r="Q590" s="429" t="s">
        <v>777</v>
      </c>
      <c r="R590" s="430" t="s">
        <v>874</v>
      </c>
      <c r="S590" s="436">
        <v>14420</v>
      </c>
      <c r="T590" s="436">
        <v>1119</v>
      </c>
      <c r="U590" s="436">
        <v>1285</v>
      </c>
      <c r="V590" s="436">
        <v>138</v>
      </c>
      <c r="W590" s="435">
        <v>5</v>
      </c>
      <c r="X590" s="435">
        <v>1</v>
      </c>
      <c r="Y590" s="448">
        <v>63</v>
      </c>
      <c r="Z590" s="423"/>
      <c r="AA590" s="423"/>
    </row>
    <row r="591">
      <c r="A591" s="420"/>
      <c r="B591" s="421" t="s">
        <v>789</v>
      </c>
      <c r="C591" s="422" t="s">
        <v>780</v>
      </c>
      <c r="D591" s="421">
        <v>3026.05</v>
      </c>
      <c r="E591" s="423">
        <v>2</v>
      </c>
      <c r="F591" s="423">
        <v>2</v>
      </c>
      <c r="G591" s="467">
        <v>2295.5999999999985</v>
      </c>
      <c r="H591" s="424">
        <f t="shared" si="378"/>
      </c>
      <c r="I591" s="424">
        <f t="shared" si="33"/>
      </c>
      <c r="J591" s="424">
        <f t="shared" si="96"/>
      </c>
      <c r="K591" s="425">
        <f t="shared" si="129"/>
      </c>
      <c r="L591" s="426">
        <f t="shared" si="189"/>
      </c>
      <c r="M591" s="427">
        <f t="shared" si="159"/>
      </c>
      <c r="N591" s="427">
        <f t="shared" si="219"/>
      </c>
      <c r="O591" s="427">
        <f t="shared" si="272"/>
      </c>
      <c r="P591" s="428">
        <f t="shared" si="325"/>
      </c>
      <c r="Q591" s="429" t="s">
        <v>777</v>
      </c>
      <c r="R591" s="430" t="s">
        <v>874</v>
      </c>
      <c r="S591" s="436">
        <v>16442</v>
      </c>
      <c r="T591" s="436">
        <v>1316</v>
      </c>
      <c r="U591" s="436">
        <v>1501</v>
      </c>
      <c r="V591" s="436">
        <v>121</v>
      </c>
      <c r="W591" s="435">
        <v>3</v>
      </c>
      <c r="X591" s="435">
        <v>0</v>
      </c>
      <c r="Y591" s="448">
        <v>51</v>
      </c>
      <c r="Z591" s="423"/>
      <c r="AA591" s="423"/>
    </row>
    <row r="592">
      <c r="A592" s="420"/>
      <c r="B592" s="421" t="s">
        <v>789</v>
      </c>
      <c r="C592" s="422" t="s">
        <v>781</v>
      </c>
      <c r="D592" s="421">
        <v>2508.6099999999933</v>
      </c>
      <c r="E592" s="423">
        <v>2</v>
      </c>
      <c r="F592" s="423">
        <v>2</v>
      </c>
      <c r="G592" s="462">
        <v>2196</v>
      </c>
      <c r="H592" s="424">
        <f t="shared" si="378"/>
      </c>
      <c r="I592" s="424">
        <f t="shared" si="33"/>
      </c>
      <c r="J592" s="424">
        <f t="shared" si="96"/>
      </c>
      <c r="K592" s="425">
        <f t="shared" si="129"/>
      </c>
      <c r="L592" s="426">
        <f t="shared" si="189"/>
      </c>
      <c r="M592" s="427">
        <f t="shared" si="159"/>
      </c>
      <c r="N592" s="427">
        <f t="shared" si="219"/>
      </c>
      <c r="O592" s="427">
        <f t="shared" si="272"/>
      </c>
      <c r="P592" s="428">
        <f t="shared" si="325"/>
      </c>
      <c r="Q592" s="429" t="s">
        <v>777</v>
      </c>
      <c r="R592" s="430" t="s">
        <v>874</v>
      </c>
      <c r="S592" s="436">
        <v>12836</v>
      </c>
      <c r="T592" s="436">
        <v>1081</v>
      </c>
      <c r="U592" s="436">
        <v>1264</v>
      </c>
      <c r="V592" s="436">
        <v>89</v>
      </c>
      <c r="W592" s="435">
        <v>4</v>
      </c>
      <c r="X592" s="435">
        <v>0</v>
      </c>
      <c r="Y592" s="448">
        <v>30</v>
      </c>
      <c r="Z592" s="423"/>
      <c r="AA592" s="423"/>
    </row>
    <row r="593">
      <c r="A593" s="420"/>
      <c r="B593" s="437" t="s">
        <v>774</v>
      </c>
      <c r="C593" s="437"/>
      <c r="D593" s="438">
        <f>SUM(D589:D592)</f>
      </c>
      <c r="E593" s="439">
        <f>SUM(E589:E592)</f>
      </c>
      <c r="F593" s="439">
        <f>SUM(F589:F592)</f>
      </c>
      <c r="G593" s="438">
        <f>SUM(G589:G592)</f>
      </c>
      <c r="H593" s="440">
        <f t="shared" si="378"/>
      </c>
      <c r="I593" s="441">
        <f t="shared" si="33"/>
      </c>
      <c r="J593" s="442">
        <f t="shared" si="96"/>
      </c>
      <c r="K593" s="443">
        <f t="shared" si="129"/>
      </c>
      <c r="L593" s="444">
        <f t="shared" si="189"/>
      </c>
      <c r="M593" s="443">
        <f t="shared" si="159"/>
      </c>
      <c r="N593" s="443">
        <f t="shared" si="219"/>
      </c>
      <c r="O593" s="445">
        <f t="shared" si="272"/>
      </c>
      <c r="P593" s="446">
        <f t="shared" si="325"/>
      </c>
      <c r="Q593" s="444"/>
      <c r="R593" s="444"/>
      <c r="S593" s="447">
        <f>SUM(S589:S592)</f>
      </c>
      <c r="T593" s="447">
        <f>SUM(T589:T592)</f>
      </c>
      <c r="U593" s="447">
        <f>SUM(U589:U592)</f>
      </c>
      <c r="V593" s="447">
        <f>SUM(V589:V592)</f>
      </c>
      <c r="W593" s="447">
        <f>SUM(W589:W592)</f>
      </c>
      <c r="X593" s="447">
        <f>SUM(X589:X592)</f>
      </c>
      <c r="Y593" s="447">
        <f>SUM(Y589:Y592)</f>
      </c>
      <c r="Z593" s="423"/>
      <c r="AA593" s="423"/>
    </row>
    <row r="594">
      <c r="A594" s="420"/>
      <c r="B594" s="421" t="s">
        <v>782</v>
      </c>
      <c r="C594" s="422" t="s">
        <v>783</v>
      </c>
      <c r="D594" s="421">
        <v>2834.55000000001</v>
      </c>
      <c r="E594" s="423">
        <v>0</v>
      </c>
      <c r="F594" s="423">
        <v>0</v>
      </c>
      <c r="G594" s="467">
        <v>0</v>
      </c>
      <c r="H594" s="424">
        <f t="shared" si="378"/>
      </c>
      <c r="I594" s="424">
        <f t="shared" si="33"/>
      </c>
      <c r="J594" s="424">
        <f t="shared" si="96"/>
      </c>
      <c r="K594" s="425">
        <f t="shared" si="129"/>
      </c>
      <c r="L594" s="426">
        <f t="shared" si="189"/>
      </c>
      <c r="M594" s="427">
        <f t="shared" si="159"/>
      </c>
      <c r="N594" s="427">
        <f t="shared" si="219"/>
      </c>
      <c r="O594" s="427">
        <f t="shared" si="272"/>
      </c>
      <c r="P594" s="428">
        <f t="shared" si="325"/>
      </c>
      <c r="Q594" s="429" t="s">
        <v>777</v>
      </c>
      <c r="R594" s="430" t="s">
        <v>874</v>
      </c>
      <c r="S594" s="436">
        <v>10925</v>
      </c>
      <c r="T594" s="436">
        <v>1391</v>
      </c>
      <c r="U594" s="436">
        <v>1616</v>
      </c>
      <c r="V594" s="436">
        <v>112</v>
      </c>
      <c r="W594" s="435">
        <v>1</v>
      </c>
      <c r="X594" s="435">
        <v>0</v>
      </c>
      <c r="Y594" s="448">
        <v>64</v>
      </c>
      <c r="Z594" s="423"/>
      <c r="AA594" s="423"/>
    </row>
    <row r="595">
      <c r="A595" s="420"/>
      <c r="B595" s="421" t="s">
        <v>782</v>
      </c>
      <c r="C595" s="451" t="s">
        <v>784</v>
      </c>
      <c r="D595" s="421">
        <v>2777.5899999999892</v>
      </c>
      <c r="E595" s="423">
        <v>2</v>
      </c>
      <c r="F595" s="423">
        <v>1</v>
      </c>
      <c r="G595" s="467">
        <v>5261.199999999997</v>
      </c>
      <c r="H595" s="424">
        <f t="shared" si="378"/>
      </c>
      <c r="I595" s="424">
        <f t="shared" si="33"/>
      </c>
      <c r="J595" s="424">
        <f t="shared" si="96"/>
      </c>
      <c r="K595" s="425">
        <f t="shared" si="129"/>
      </c>
      <c r="L595" s="426">
        <f t="shared" si="189"/>
      </c>
      <c r="M595" s="427">
        <f t="shared" si="159"/>
      </c>
      <c r="N595" s="427">
        <f t="shared" si="219"/>
      </c>
      <c r="O595" s="427">
        <f t="shared" si="272"/>
      </c>
      <c r="P595" s="428">
        <f t="shared" si="325"/>
      </c>
      <c r="Q595" s="429" t="s">
        <v>777</v>
      </c>
      <c r="R595" s="430" t="s">
        <v>874</v>
      </c>
      <c r="S595" s="436">
        <v>10280</v>
      </c>
      <c r="T595" s="436">
        <v>1344</v>
      </c>
      <c r="U595" s="436">
        <v>1534</v>
      </c>
      <c r="V595" s="436">
        <v>89</v>
      </c>
      <c r="W595" s="435">
        <v>3</v>
      </c>
      <c r="X595" s="435">
        <v>1</v>
      </c>
      <c r="Y595" s="448">
        <v>51</v>
      </c>
      <c r="Z595" s="423"/>
      <c r="AA595" s="423"/>
    </row>
    <row r="596">
      <c r="A596" s="420"/>
      <c r="B596" s="421" t="s">
        <v>782</v>
      </c>
      <c r="C596" s="451" t="s">
        <v>785</v>
      </c>
      <c r="D596" s="421">
        <v>3136.12000000001</v>
      </c>
      <c r="E596" s="423">
        <v>5</v>
      </c>
      <c r="F596" s="423">
        <v>3</v>
      </c>
      <c r="G596" s="467">
        <v>5701.200000000012</v>
      </c>
      <c r="H596" s="424">
        <f t="shared" si="378"/>
      </c>
      <c r="I596" s="424">
        <f t="shared" si="33"/>
      </c>
      <c r="J596" s="424">
        <f t="shared" si="96"/>
      </c>
      <c r="K596" s="425">
        <f t="shared" si="129"/>
      </c>
      <c r="L596" s="426">
        <f t="shared" si="189"/>
      </c>
      <c r="M596" s="427">
        <f t="shared" si="159"/>
      </c>
      <c r="N596" s="427">
        <f t="shared" si="219"/>
      </c>
      <c r="O596" s="427">
        <f t="shared" si="272"/>
      </c>
      <c r="P596" s="428">
        <f t="shared" si="325"/>
      </c>
      <c r="Q596" s="429" t="s">
        <v>777</v>
      </c>
      <c r="R596" s="430" t="s">
        <v>874</v>
      </c>
      <c r="S596" s="436">
        <v>15857</v>
      </c>
      <c r="T596" s="436">
        <v>1620</v>
      </c>
      <c r="U596" s="436">
        <v>1809</v>
      </c>
      <c r="V596" s="436">
        <v>123</v>
      </c>
      <c r="W596" s="435">
        <v>4</v>
      </c>
      <c r="X596" s="435">
        <v>0</v>
      </c>
      <c r="Y596" s="448">
        <v>66</v>
      </c>
      <c r="Z596" s="423"/>
      <c r="AA596" s="423"/>
    </row>
    <row r="597">
      <c r="A597" s="420"/>
      <c r="B597" s="421" t="s">
        <v>782</v>
      </c>
      <c r="C597" s="451" t="s">
        <v>786</v>
      </c>
      <c r="D597" s="421">
        <v>2044.67</v>
      </c>
      <c r="E597" s="423">
        <v>5</v>
      </c>
      <c r="F597" s="423">
        <v>0</v>
      </c>
      <c r="G597" s="462">
        <v>6186.099999999991</v>
      </c>
      <c r="H597" s="424">
        <f t="shared" si="378"/>
      </c>
      <c r="I597" s="424">
        <f t="shared" si="33"/>
      </c>
      <c r="J597" s="424">
        <f t="shared" si="96"/>
      </c>
      <c r="K597" s="425">
        <f t="shared" si="129"/>
      </c>
      <c r="L597" s="426">
        <f t="shared" si="189"/>
      </c>
      <c r="M597" s="427">
        <f t="shared" si="159"/>
      </c>
      <c r="N597" s="427">
        <f t="shared" si="219"/>
      </c>
      <c r="O597" s="427">
        <f t="shared" si="272"/>
      </c>
      <c r="P597" s="428">
        <f t="shared" si="325"/>
      </c>
      <c r="Q597" s="429" t="s">
        <v>777</v>
      </c>
      <c r="R597" s="430" t="s">
        <v>874</v>
      </c>
      <c r="S597" s="436">
        <v>15454</v>
      </c>
      <c r="T597" s="436">
        <v>1408</v>
      </c>
      <c r="U597" s="436">
        <v>1598</v>
      </c>
      <c r="V597" s="436">
        <v>93</v>
      </c>
      <c r="W597" s="435">
        <v>2</v>
      </c>
      <c r="X597" s="435">
        <v>3</v>
      </c>
      <c r="Y597" s="448">
        <v>48</v>
      </c>
      <c r="Z597" s="423"/>
      <c r="AA597" s="423"/>
    </row>
    <row r="598">
      <c r="A598" s="420"/>
      <c r="B598" s="437" t="s">
        <v>774</v>
      </c>
      <c r="C598" s="437"/>
      <c r="D598" s="438">
        <f>SUM(D594:D597)</f>
      </c>
      <c r="E598" s="438">
        <f>SUM(E594:E597)</f>
      </c>
      <c r="F598" s="438">
        <f>SUM(F594:F597)</f>
      </c>
      <c r="G598" s="438">
        <f>SUM(G594:G597)</f>
      </c>
      <c r="H598" s="440">
        <f t="shared" si="378"/>
      </c>
      <c r="I598" s="441">
        <f t="shared" si="33"/>
      </c>
      <c r="J598" s="442">
        <f t="shared" si="96"/>
      </c>
      <c r="K598" s="443">
        <f t="shared" si="129"/>
      </c>
      <c r="L598" s="444">
        <f t="shared" si="189"/>
      </c>
      <c r="M598" s="443">
        <f t="shared" si="159"/>
      </c>
      <c r="N598" s="443">
        <f t="shared" si="219"/>
      </c>
      <c r="O598" s="445">
        <f t="shared" si="272"/>
      </c>
      <c r="P598" s="446">
        <f t="shared" si="325"/>
      </c>
      <c r="Q598" s="444"/>
      <c r="R598" s="444"/>
      <c r="S598" s="447">
        <f>SUM(S594:S597)</f>
      </c>
      <c r="T598" s="447">
        <f>SUM(T594:T597)</f>
      </c>
      <c r="U598" s="447">
        <f>SUM(U594:U597)</f>
      </c>
      <c r="V598" s="447">
        <f>SUM(V594:V597)</f>
      </c>
      <c r="W598" s="447">
        <f>SUM(W594:W597)</f>
      </c>
      <c r="X598" s="447">
        <f>SUM(X594:X597)</f>
      </c>
      <c r="Y598" s="447">
        <f>SUM(Y594:Y597)</f>
      </c>
      <c r="Z598" s="423"/>
      <c r="AA598" s="423"/>
    </row>
    <row r="599">
      <c r="A599" s="420"/>
      <c r="B599" s="452" t="s">
        <v>787</v>
      </c>
      <c r="C599" s="452"/>
      <c r="D599" s="466">
        <f>D583+D588+D598+D593</f>
      </c>
      <c r="E599" s="466">
        <f>E583+E588+E598+E593</f>
      </c>
      <c r="F599" s="466">
        <f>F583+F588+F598+F593</f>
      </c>
      <c r="G599" s="466">
        <f>G583+G588+G598+G593</f>
      </c>
      <c r="H599" s="452">
        <f t="shared" si="378"/>
      </c>
      <c r="I599" s="452">
        <f t="shared" si="33"/>
      </c>
      <c r="J599" s="452">
        <f t="shared" si="96"/>
      </c>
      <c r="K599" s="455">
        <f t="shared" si="129"/>
      </c>
      <c r="L599" s="452">
        <f t="shared" si="189"/>
      </c>
      <c r="M599" s="455">
        <f t="shared" si="159"/>
      </c>
      <c r="N599" s="455">
        <f t="shared" si="219"/>
      </c>
      <c r="O599" s="455">
        <f t="shared" si="272"/>
      </c>
      <c r="P599" s="452">
        <f t="shared" si="325"/>
      </c>
      <c r="Q599" s="456"/>
      <c r="R599" s="456"/>
      <c r="S599" s="454">
        <f>S583+S588+S598+S593</f>
      </c>
      <c r="T599" s="454">
        <f>T583+T588+T598+T593</f>
      </c>
      <c r="U599" s="454">
        <f>U583+U588+U598+U593</f>
      </c>
      <c r="V599" s="454">
        <f>V583+V588+V598+V593</f>
      </c>
      <c r="W599" s="454">
        <f>W583+W588+W598+W593</f>
      </c>
      <c r="X599" s="454">
        <f>X583+X588+X598+X593</f>
      </c>
      <c r="Y599" s="454">
        <f>Y583+Y588+Y598+Y593</f>
      </c>
      <c r="Z599" s="423"/>
      <c r="AA599" s="423"/>
    </row>
    <row r="600">
      <c r="A600" s="405" t="s">
        <v>738</v>
      </c>
      <c r="B600" s="405"/>
      <c r="C600" s="405"/>
      <c r="D600" s="406" t="s">
        <v>739</v>
      </c>
      <c r="E600" s="406"/>
      <c r="F600" s="406"/>
      <c r="G600" s="406"/>
      <c r="H600" s="406"/>
      <c r="I600" s="406"/>
      <c r="J600" s="406"/>
      <c r="K600" s="407" t="s">
        <v>740</v>
      </c>
      <c r="L600" s="407"/>
      <c r="M600" s="407"/>
      <c r="N600" s="407"/>
      <c r="O600" s="407"/>
      <c r="P600" s="407"/>
      <c r="Q600" s="407"/>
      <c r="R600" s="407"/>
      <c r="S600" s="408" t="s">
        <v>741</v>
      </c>
      <c r="T600" s="408"/>
      <c r="U600" s="408"/>
      <c r="V600" s="408"/>
      <c r="W600" s="408"/>
      <c r="X600" s="408"/>
      <c r="Y600" s="408"/>
      <c r="Z600" s="423"/>
      <c r="AA600" s="501" t="s">
        <v>877</v>
      </c>
      <c r="AB600" s="501"/>
      <c r="AC600" s="501"/>
      <c r="AD600" s="501"/>
      <c r="AE600" s="501"/>
      <c r="AF600" s="501"/>
      <c r="AG600" s="501"/>
      <c r="AH600" s="501"/>
      <c r="AI600" s="501"/>
      <c r="AJ600" s="501"/>
      <c r="AK600" s="501"/>
    </row>
    <row r="601">
      <c r="A601" s="409" t="s">
        <v>742</v>
      </c>
      <c r="B601" s="409" t="s">
        <v>743</v>
      </c>
      <c r="C601" s="409" t="s">
        <v>744</v>
      </c>
      <c r="D601" s="410" t="s">
        <v>745</v>
      </c>
      <c r="E601" s="411" t="s">
        <v>746</v>
      </c>
      <c r="F601" s="463" t="s">
        <v>792</v>
      </c>
      <c r="G601" s="410" t="s">
        <v>747</v>
      </c>
      <c r="H601" s="412" t="s">
        <v>748</v>
      </c>
      <c r="I601" s="413" t="s">
        <v>749</v>
      </c>
      <c r="J601" s="410" t="s">
        <v>750</v>
      </c>
      <c r="K601" s="414" t="s">
        <v>751</v>
      </c>
      <c r="L601" s="415" t="s">
        <v>752</v>
      </c>
      <c r="M601" s="414" t="s">
        <v>753</v>
      </c>
      <c r="N601" s="414" t="s">
        <v>754</v>
      </c>
      <c r="O601" s="416" t="s">
        <v>755</v>
      </c>
      <c r="P601" s="416" t="s">
        <v>756</v>
      </c>
      <c r="Q601" s="417" t="s">
        <v>757</v>
      </c>
      <c r="R601" s="417" t="s">
        <v>758</v>
      </c>
      <c r="S601" s="431" t="s">
        <v>759</v>
      </c>
      <c r="T601" s="431" t="s">
        <v>760</v>
      </c>
      <c r="U601" s="431" t="s">
        <v>761</v>
      </c>
      <c r="V601" s="431" t="s">
        <v>762</v>
      </c>
      <c r="W601" s="431" t="s">
        <v>763</v>
      </c>
      <c r="X601" s="431" t="s">
        <v>764</v>
      </c>
      <c r="Y601" s="419" t="s">
        <v>765</v>
      </c>
      <c r="Z601" s="423"/>
      <c r="AA601" s="502" t="s">
        <v>806</v>
      </c>
      <c r="AB601" s="502" t="s">
        <v>807</v>
      </c>
      <c r="AC601" s="502" t="s">
        <v>808</v>
      </c>
      <c r="AD601" s="502" t="s">
        <v>809</v>
      </c>
      <c r="AE601" s="502" t="s">
        <v>810</v>
      </c>
      <c r="AF601" s="502" t="s">
        <v>811</v>
      </c>
      <c r="AG601" s="502" t="s">
        <v>750</v>
      </c>
      <c r="AH601" s="502" t="s">
        <v>812</v>
      </c>
      <c r="AI601" s="502" t="s">
        <v>748</v>
      </c>
      <c r="AJ601" s="502" t="s">
        <v>813</v>
      </c>
      <c r="AK601" s="502"/>
    </row>
    <row r="602">
      <c r="A602" s="420" t="s">
        <v>878</v>
      </c>
      <c r="B602" s="421" t="s">
        <v>775</v>
      </c>
      <c r="C602" s="451" t="s">
        <v>794</v>
      </c>
      <c r="D602" s="421">
        <v>2918.38</v>
      </c>
      <c r="E602" s="423">
        <v>4</v>
      </c>
      <c r="F602" s="423">
        <v>3</v>
      </c>
      <c r="G602" s="467">
        <v>2786.3999999999996</v>
      </c>
      <c r="H602" s="424">
        <f t="shared" ref="H602:H621" si="379">G602/D602</f>
      </c>
      <c r="I602" s="424">
        <f>D602/E602</f>
      </c>
      <c r="J602" s="424">
        <f>G602/E602</f>
      </c>
      <c r="K602" s="425">
        <f t="shared" ref="K602:K621" si="130">T602/S602</f>
      </c>
      <c r="L602" s="426">
        <f t="shared" ref="L602:L621" si="190">D602/U602</f>
      </c>
      <c r="M602" s="427">
        <f t="shared" ref="M602:M621" si="160">V602/U602</f>
      </c>
      <c r="N602" s="427">
        <f t="shared" ref="N602:N621" si="220">E602/W602</f>
      </c>
      <c r="O602" s="427">
        <f t="shared" ref="O602:O621" si="273">X602/E602</f>
      </c>
      <c r="P602" s="428">
        <f t="shared" ref="P602:P621" si="326">(Y602*1000)/D602</f>
      </c>
      <c r="Q602" s="429" t="s">
        <v>769</v>
      </c>
      <c r="R602" s="430" t="s">
        <v>869</v>
      </c>
      <c r="S602" s="461">
        <v>13120</v>
      </c>
      <c r="T602" s="461">
        <v>1573</v>
      </c>
      <c r="U602" s="461">
        <v>1766</v>
      </c>
      <c r="V602" s="461">
        <v>152</v>
      </c>
      <c r="W602" s="461">
        <v>5</v>
      </c>
      <c r="X602" s="461">
        <v>1</v>
      </c>
      <c r="Y602" s="461">
        <v>85</v>
      </c>
      <c r="Z602" s="423"/>
      <c r="AA602" s="474" t="s">
        <v>775</v>
      </c>
      <c r="AB602" s="503" t="s">
        <v>845</v>
      </c>
      <c r="AC602" s="472">
        <v>5</v>
      </c>
      <c r="AD602" s="474">
        <v>11985.560000000001</v>
      </c>
      <c r="AE602" s="474">
        <v>15327.599999999999</v>
      </c>
      <c r="AF602" s="472">
        <v>11</v>
      </c>
      <c r="AG602" s="475">
        <f t="shared" ref="AG602:AG604" si="243">AE602/AF602</f>
      </c>
      <c r="AH602" s="475">
        <f t="shared" ref="AH602:AH604" si="296">AD602/AF602</f>
      </c>
      <c r="AI602" s="475">
        <f t="shared" ref="AI602:AI604" si="349">AE602/AD602</f>
      </c>
      <c r="AJ602" s="474">
        <f>AD602/AC602</f>
      </c>
      <c r="AK602" s="474"/>
    </row>
    <row r="603">
      <c r="A603" s="420"/>
      <c r="B603" s="421" t="s">
        <v>775</v>
      </c>
      <c r="C603" s="421" t="s">
        <v>796</v>
      </c>
      <c r="D603" s="421">
        <v>2380.3500000000004</v>
      </c>
      <c r="E603" s="423">
        <v>1</v>
      </c>
      <c r="F603" s="423">
        <v>0</v>
      </c>
      <c r="G603" s="467">
        <v>362.4000000000001</v>
      </c>
      <c r="H603" s="424">
        <f t="shared" si="379"/>
      </c>
      <c r="I603" s="424">
        <v>2161</v>
      </c>
      <c r="J603" s="424">
        <v>234</v>
      </c>
      <c r="K603" s="425">
        <f t="shared" si="130"/>
      </c>
      <c r="L603" s="426">
        <f t="shared" si="190"/>
      </c>
      <c r="M603" s="427">
        <f t="shared" si="160"/>
      </c>
      <c r="N603" s="427">
        <f t="shared" si="220"/>
      </c>
      <c r="O603" s="427">
        <f t="shared" si="273"/>
      </c>
      <c r="P603" s="428">
        <f t="shared" si="326"/>
      </c>
      <c r="Q603" s="429" t="s">
        <v>769</v>
      </c>
      <c r="R603" s="430" t="s">
        <v>869</v>
      </c>
      <c r="S603" s="461">
        <v>9443</v>
      </c>
      <c r="T603" s="461">
        <v>746</v>
      </c>
      <c r="U603" s="461">
        <v>845</v>
      </c>
      <c r="V603" s="461">
        <v>108</v>
      </c>
      <c r="W603" s="461">
        <v>2</v>
      </c>
      <c r="X603" s="461">
        <v>0</v>
      </c>
      <c r="Y603" s="461">
        <v>87</v>
      </c>
      <c r="Z603" s="423"/>
      <c r="AA603" s="472" t="s">
        <v>789</v>
      </c>
      <c r="AB603" s="503" t="s">
        <v>846</v>
      </c>
      <c r="AC603" s="472">
        <v>5</v>
      </c>
      <c r="AD603" s="474">
        <v>11429.710000000003</v>
      </c>
      <c r="AE603" s="474">
        <v>4504.800000000001</v>
      </c>
      <c r="AF603" s="472">
        <v>6</v>
      </c>
      <c r="AG603" s="475">
        <f t="shared" si="243"/>
      </c>
      <c r="AH603" s="475">
        <f t="shared" si="296"/>
      </c>
      <c r="AI603" s="475">
        <f t="shared" si="349"/>
      </c>
      <c r="AJ603" s="474">
        <f t="shared" ref="AJ603:AJ604" si="60">AD603/4</f>
      </c>
      <c r="AK603" s="474"/>
    </row>
    <row r="604">
      <c r="A604" s="420"/>
      <c r="B604" s="421" t="s">
        <v>775</v>
      </c>
      <c r="C604" s="421" t="s">
        <v>797</v>
      </c>
      <c r="D604" s="421">
        <v>1629.88</v>
      </c>
      <c r="E604" s="423">
        <v>1</v>
      </c>
      <c r="F604" s="423">
        <v>1</v>
      </c>
      <c r="G604" s="467">
        <v>1197.6</v>
      </c>
      <c r="H604" s="424">
        <f t="shared" si="379"/>
      </c>
      <c r="I604" s="424">
        <f t="shared" ref="I604:I609" si="34">D604/E604</f>
      </c>
      <c r="J604" s="424">
        <f t="shared" ref="J604:J609" si="97">G604/E604</f>
      </c>
      <c r="K604" s="425">
        <f t="shared" si="130"/>
      </c>
      <c r="L604" s="426">
        <f t="shared" si="190"/>
      </c>
      <c r="M604" s="427">
        <f t="shared" si="160"/>
      </c>
      <c r="N604" s="427">
        <f t="shared" si="220"/>
      </c>
      <c r="O604" s="427">
        <f t="shared" si="273"/>
      </c>
      <c r="P604" s="428">
        <f t="shared" si="326"/>
      </c>
      <c r="Q604" s="429" t="s">
        <v>769</v>
      </c>
      <c r="R604" s="430" t="s">
        <v>869</v>
      </c>
      <c r="S604" s="461">
        <v>7415</v>
      </c>
      <c r="T604" s="461">
        <v>741</v>
      </c>
      <c r="U604" s="461">
        <v>900</v>
      </c>
      <c r="V604" s="461">
        <v>96</v>
      </c>
      <c r="W604" s="461">
        <v>2</v>
      </c>
      <c r="X604" s="461">
        <v>0</v>
      </c>
      <c r="Y604" s="461">
        <v>35</v>
      </c>
      <c r="Z604" s="423"/>
      <c r="AA604" s="474" t="s">
        <v>767</v>
      </c>
      <c r="AB604" s="503" t="s">
        <v>847</v>
      </c>
      <c r="AC604" s="472">
        <v>6</v>
      </c>
      <c r="AD604" s="474">
        <v>16459.530000000006</v>
      </c>
      <c r="AE604" s="474">
        <v>26311.999999999996</v>
      </c>
      <c r="AF604" s="472">
        <v>19</v>
      </c>
      <c r="AG604" s="475">
        <f t="shared" si="243"/>
      </c>
      <c r="AH604" s="475">
        <f t="shared" si="296"/>
      </c>
      <c r="AI604" s="475">
        <f t="shared" si="349"/>
      </c>
      <c r="AJ604" s="474">
        <f t="shared" si="60"/>
      </c>
      <c r="AK604" s="474"/>
    </row>
    <row r="605">
      <c r="A605" s="420"/>
      <c r="B605" s="421" t="s">
        <v>775</v>
      </c>
      <c r="C605" s="421" t="s">
        <v>798</v>
      </c>
      <c r="D605" s="421">
        <v>2562.51</v>
      </c>
      <c r="E605" s="423">
        <v>2</v>
      </c>
      <c r="F605" s="423">
        <v>2</v>
      </c>
      <c r="G605" s="462">
        <v>5642.4000000000015</v>
      </c>
      <c r="H605" s="424">
        <f t="shared" si="379"/>
      </c>
      <c r="I605" s="424">
        <f t="shared" si="34"/>
      </c>
      <c r="J605" s="424">
        <f t="shared" si="97"/>
      </c>
      <c r="K605" s="425">
        <f t="shared" si="130"/>
      </c>
      <c r="L605" s="426">
        <f t="shared" si="190"/>
      </c>
      <c r="M605" s="427">
        <f t="shared" si="160"/>
      </c>
      <c r="N605" s="427">
        <f t="shared" si="220"/>
      </c>
      <c r="O605" s="427">
        <f t="shared" si="273"/>
      </c>
      <c r="P605" s="428">
        <f t="shared" si="326"/>
      </c>
      <c r="Q605" s="429" t="s">
        <v>769</v>
      </c>
      <c r="R605" s="430" t="s">
        <v>869</v>
      </c>
      <c r="S605" s="461">
        <v>9568</v>
      </c>
      <c r="T605" s="461">
        <v>815</v>
      </c>
      <c r="U605" s="461">
        <v>966</v>
      </c>
      <c r="V605" s="461">
        <v>98</v>
      </c>
      <c r="W605" s="461">
        <v>3</v>
      </c>
      <c r="X605" s="435">
        <v>0</v>
      </c>
      <c r="Y605" s="435">
        <v>73</v>
      </c>
      <c r="Z605" s="423"/>
      <c r="AA605" s="504" t="s">
        <v>819</v>
      </c>
      <c r="AB605" s="504"/>
      <c r="AC605" s="504"/>
      <c r="AD605" s="504"/>
      <c r="AE605" s="504"/>
      <c r="AF605" s="504"/>
      <c r="AG605" s="504"/>
      <c r="AH605" s="504"/>
      <c r="AI605" s="504"/>
      <c r="AJ605" s="504"/>
      <c r="AK605" s="504"/>
    </row>
    <row customHeight="true" ht="16.666666666666668" r="606">
      <c r="A606" s="420"/>
      <c r="B606" s="421" t="s">
        <v>775</v>
      </c>
      <c r="C606" s="422" t="s">
        <v>768</v>
      </c>
      <c r="D606" s="421">
        <v>2494.4400000000005</v>
      </c>
      <c r="E606" s="423">
        <v>3</v>
      </c>
      <c r="F606" s="423">
        <v>3</v>
      </c>
      <c r="G606" s="462">
        <v>5338.799999999997</v>
      </c>
      <c r="H606" s="424">
        <f t="shared" si="379"/>
      </c>
      <c r="I606" s="424">
        <f t="shared" si="34"/>
      </c>
      <c r="J606" s="424">
        <f t="shared" si="97"/>
      </c>
      <c r="K606" s="425">
        <f t="shared" si="130"/>
      </c>
      <c r="L606" s="426">
        <f t="shared" si="190"/>
      </c>
      <c r="M606" s="427">
        <f t="shared" si="160"/>
      </c>
      <c r="N606" s="427">
        <f t="shared" si="220"/>
      </c>
      <c r="O606" s="427">
        <f t="shared" si="273"/>
      </c>
      <c r="P606" s="428">
        <f t="shared" si="326"/>
      </c>
      <c r="Q606" s="429" t="s">
        <v>769</v>
      </c>
      <c r="R606" s="430" t="s">
        <v>869</v>
      </c>
      <c r="S606" s="461">
        <v>11567</v>
      </c>
      <c r="T606" s="461">
        <v>958</v>
      </c>
      <c r="U606" s="461">
        <v>1037</v>
      </c>
      <c r="V606" s="461">
        <v>105</v>
      </c>
      <c r="W606" s="461">
        <v>4</v>
      </c>
      <c r="X606" s="435">
        <v>0</v>
      </c>
      <c r="Y606" s="435">
        <v>60</v>
      </c>
      <c r="Z606" s="423"/>
      <c r="AA606" s="505" t="s">
        <v>809</v>
      </c>
      <c r="AB606" s="505" t="s">
        <v>820</v>
      </c>
      <c r="AC606" s="505" t="s">
        <v>821</v>
      </c>
      <c r="AD606" s="505" t="s">
        <v>822</v>
      </c>
      <c r="AE606" s="505" t="s">
        <v>823</v>
      </c>
      <c r="AF606" s="505" t="s">
        <v>824</v>
      </c>
      <c r="AG606" s="505" t="s">
        <v>825</v>
      </c>
      <c r="AH606" s="506" t="s">
        <v>764</v>
      </c>
      <c r="AI606" s="506" t="s">
        <v>826</v>
      </c>
      <c r="AJ606" s="506" t="s">
        <v>827</v>
      </c>
      <c r="AK606" s="506" t="s">
        <v>808</v>
      </c>
    </row>
    <row r="607">
      <c r="A607" s="420"/>
      <c r="B607" s="437" t="s">
        <v>774</v>
      </c>
      <c r="C607" s="437"/>
      <c r="D607" s="438">
        <f>SUM(D602:D606)</f>
      </c>
      <c r="E607" s="438">
        <f>SUM(E602:E606)</f>
      </c>
      <c r="F607" s="438">
        <f>SUM(F602:F606)</f>
      </c>
      <c r="G607" s="438">
        <f>SUM(G602:G606)</f>
      </c>
      <c r="H607" s="440">
        <f t="shared" si="379"/>
      </c>
      <c r="I607" s="441">
        <f t="shared" si="34"/>
      </c>
      <c r="J607" s="442">
        <f t="shared" si="97"/>
      </c>
      <c r="K607" s="443">
        <f t="shared" si="130"/>
      </c>
      <c r="L607" s="444">
        <f t="shared" si="190"/>
      </c>
      <c r="M607" s="443">
        <f t="shared" si="160"/>
      </c>
      <c r="N607" s="443">
        <f t="shared" si="220"/>
      </c>
      <c r="O607" s="445">
        <f t="shared" si="273"/>
      </c>
      <c r="P607" s="446">
        <f t="shared" si="326"/>
      </c>
      <c r="Q607" s="444"/>
      <c r="R607" s="444"/>
      <c r="S607" s="447">
        <f>SUM(S602:S606)</f>
      </c>
      <c r="T607" s="447">
        <f>SUM(T602:T606)</f>
      </c>
      <c r="U607" s="447">
        <f>SUM(U602:U606)</f>
      </c>
      <c r="V607" s="447">
        <f>SUM(V602:V606)</f>
      </c>
      <c r="W607" s="447">
        <f>SUM(W602:W606)</f>
      </c>
      <c r="X607" s="447">
        <f>SUM(X602:X606)</f>
      </c>
      <c r="Y607" s="447">
        <f>SUM(Y602:Y606)</f>
      </c>
      <c r="Z607" s="423">
        <v>133</v>
      </c>
      <c r="AA607" s="465">
        <f>SUM(AD602:AD604)</f>
      </c>
      <c r="AB607" s="465">
        <f>SUM(AE602:AE604)</f>
      </c>
      <c r="AC607" s="481">
        <f>AB607/((AK607*300)+AA607)</f>
      </c>
      <c r="AD607" s="482">
        <f>AA607/AJ607</f>
      </c>
      <c r="AE607" s="481">
        <f>AB607/AJ607</f>
      </c>
      <c r="AF607" s="483">
        <f>AJ607/AI607</f>
      </c>
      <c r="AG607" s="483">
        <f>AH607/AJ607</f>
      </c>
      <c r="AH607" s="484">
        <v>2</v>
      </c>
      <c r="AI607" s="484">
        <v>68</v>
      </c>
      <c r="AJ607" s="484">
        <v>36</v>
      </c>
      <c r="AK607" s="485">
        <f>SUM(AC602:AC604)</f>
      </c>
    </row>
    <row r="608">
      <c r="A608" s="420"/>
      <c r="B608" s="421" t="s">
        <v>789</v>
      </c>
      <c r="C608" s="433" t="s">
        <v>771</v>
      </c>
      <c r="D608" s="421">
        <v>2920.380000000001</v>
      </c>
      <c r="E608" s="423">
        <v>1</v>
      </c>
      <c r="F608" s="423">
        <v>1</v>
      </c>
      <c r="G608" s="467">
        <v>1197.6</v>
      </c>
      <c r="H608" s="424">
        <f t="shared" si="379"/>
      </c>
      <c r="I608" s="424">
        <f t="shared" si="34"/>
      </c>
      <c r="J608" s="424">
        <f t="shared" si="97"/>
      </c>
      <c r="K608" s="425">
        <f t="shared" si="130"/>
      </c>
      <c r="L608" s="426">
        <f t="shared" si="190"/>
      </c>
      <c r="M608" s="427">
        <f t="shared" si="160"/>
      </c>
      <c r="N608" s="427">
        <f t="shared" si="220"/>
      </c>
      <c r="O608" s="427">
        <f t="shared" si="273"/>
      </c>
      <c r="P608" s="428">
        <f t="shared" si="326"/>
      </c>
      <c r="Q608" s="429" t="s">
        <v>777</v>
      </c>
      <c r="R608" s="430" t="s">
        <v>869</v>
      </c>
      <c r="S608" s="436">
        <v>10120</v>
      </c>
      <c r="T608" s="436">
        <v>1097</v>
      </c>
      <c r="U608" s="436">
        <v>1245</v>
      </c>
      <c r="V608" s="436">
        <v>128</v>
      </c>
      <c r="W608" s="435">
        <v>2</v>
      </c>
      <c r="X608" s="435">
        <v>0</v>
      </c>
      <c r="Y608" s="448">
        <v>73</v>
      </c>
      <c r="Z608" s="423">
        <f>206-Z607</f>
      </c>
      <c r="AA608" s="423"/>
    </row>
    <row r="609">
      <c r="A609" s="420"/>
      <c r="B609" s="421" t="s">
        <v>789</v>
      </c>
      <c r="C609" s="433" t="s">
        <v>772</v>
      </c>
      <c r="D609" s="421">
        <v>2414.209999999999</v>
      </c>
      <c r="E609" s="423">
        <v>1</v>
      </c>
      <c r="F609" s="423">
        <v>1</v>
      </c>
      <c r="G609" s="467">
        <v>402</v>
      </c>
      <c r="H609" s="424">
        <f t="shared" si="379"/>
      </c>
      <c r="I609" s="424">
        <f t="shared" si="34"/>
      </c>
      <c r="J609" s="424">
        <f t="shared" si="97"/>
      </c>
      <c r="K609" s="425">
        <f t="shared" si="130"/>
      </c>
      <c r="L609" s="426">
        <f t="shared" si="190"/>
      </c>
      <c r="M609" s="427">
        <f t="shared" si="160"/>
      </c>
      <c r="N609" s="427">
        <f t="shared" si="220"/>
      </c>
      <c r="O609" s="427">
        <f t="shared" si="273"/>
      </c>
      <c r="P609" s="428">
        <f t="shared" si="326"/>
      </c>
      <c r="Q609" s="429" t="s">
        <v>777</v>
      </c>
      <c r="R609" s="430" t="s">
        <v>869</v>
      </c>
      <c r="S609" s="436">
        <v>12242</v>
      </c>
      <c r="T609" s="436">
        <v>1174</v>
      </c>
      <c r="U609" s="436">
        <v>1358</v>
      </c>
      <c r="V609" s="436">
        <v>111</v>
      </c>
      <c r="W609" s="435">
        <v>5</v>
      </c>
      <c r="X609" s="435">
        <v>0</v>
      </c>
      <c r="Y609" s="448">
        <v>54</v>
      </c>
      <c r="Z609" s="423">
        <f>260-Z608-Z607</f>
      </c>
      <c r="AA609" s="423"/>
    </row>
    <row r="610">
      <c r="A610" s="420"/>
      <c r="B610" s="421" t="s">
        <v>789</v>
      </c>
      <c r="C610" s="433" t="s">
        <v>773</v>
      </c>
      <c r="D610" s="421">
        <v>1569.1800000000003</v>
      </c>
      <c r="E610" s="423">
        <v>1</v>
      </c>
      <c r="F610" s="423">
        <v>1</v>
      </c>
      <c r="G610" s="467">
        <v>652.8000000000029</v>
      </c>
      <c r="H610" s="424">
        <f t="shared" si="379"/>
      </c>
      <c r="I610" s="424">
        <v>1323</v>
      </c>
      <c r="J610" s="424">
        <v>145</v>
      </c>
      <c r="K610" s="425">
        <f t="shared" si="130"/>
      </c>
      <c r="L610" s="426">
        <f t="shared" si="190"/>
      </c>
      <c r="M610" s="427">
        <f t="shared" si="160"/>
      </c>
      <c r="N610" s="427">
        <f t="shared" si="220"/>
      </c>
      <c r="O610" s="427">
        <f t="shared" si="273"/>
      </c>
      <c r="P610" s="428">
        <f t="shared" si="326"/>
      </c>
      <c r="Q610" s="429" t="s">
        <v>777</v>
      </c>
      <c r="R610" s="430" t="s">
        <v>869</v>
      </c>
      <c r="S610" s="436">
        <v>6590</v>
      </c>
      <c r="T610" s="436">
        <v>762</v>
      </c>
      <c r="U610" s="436">
        <v>973</v>
      </c>
      <c r="V610" s="436">
        <v>58</v>
      </c>
      <c r="W610" s="435">
        <v>1</v>
      </c>
      <c r="X610" s="435">
        <v>0</v>
      </c>
      <c r="Y610" s="448">
        <v>26</v>
      </c>
      <c r="Z610" s="423"/>
      <c r="AA610" s="423"/>
    </row>
    <row r="611">
      <c r="A611" s="420"/>
      <c r="B611" s="421" t="s">
        <v>789</v>
      </c>
      <c r="C611" s="433" t="s">
        <v>776</v>
      </c>
      <c r="D611" s="421">
        <v>1925.0699999999997</v>
      </c>
      <c r="E611" s="423">
        <v>1</v>
      </c>
      <c r="F611" s="423">
        <v>1</v>
      </c>
      <c r="G611" s="462">
        <v>402</v>
      </c>
      <c r="H611" s="424">
        <f t="shared" si="379"/>
      </c>
      <c r="I611" s="424">
        <f t="shared" ref="I611:I621" si="35">D611/E611</f>
      </c>
      <c r="J611" s="424">
        <f t="shared" ref="J611:J621" si="98">G611/E611</f>
      </c>
      <c r="K611" s="425">
        <f t="shared" si="130"/>
      </c>
      <c r="L611" s="426">
        <f t="shared" si="190"/>
      </c>
      <c r="M611" s="427">
        <f t="shared" si="160"/>
      </c>
      <c r="N611" s="427">
        <f t="shared" si="220"/>
      </c>
      <c r="O611" s="427">
        <f t="shared" si="273"/>
      </c>
      <c r="P611" s="428">
        <f t="shared" si="326"/>
      </c>
      <c r="Q611" s="429" t="s">
        <v>777</v>
      </c>
      <c r="R611" s="430" t="s">
        <v>869</v>
      </c>
      <c r="S611" s="435">
        <v>9659</v>
      </c>
      <c r="T611" s="436">
        <v>824</v>
      </c>
      <c r="U611" s="436">
        <v>976</v>
      </c>
      <c r="V611" s="436">
        <v>85</v>
      </c>
      <c r="W611" s="435">
        <v>1</v>
      </c>
      <c r="X611" s="435">
        <v>0</v>
      </c>
      <c r="Y611" s="448">
        <v>72</v>
      </c>
      <c r="Z611" s="423"/>
      <c r="AA611" s="423"/>
    </row>
    <row customHeight="true" ht="16.666666666666668" r="612">
      <c r="A612" s="420"/>
      <c r="B612" s="421" t="s">
        <v>789</v>
      </c>
      <c r="C612" s="422" t="s">
        <v>779</v>
      </c>
      <c r="D612" s="421">
        <v>2600.8700000000026</v>
      </c>
      <c r="E612" s="423">
        <v>2</v>
      </c>
      <c r="F612" s="423">
        <v>2</v>
      </c>
      <c r="G612" s="462">
        <v>1850.3999999999978</v>
      </c>
      <c r="H612" s="424">
        <f t="shared" si="379"/>
      </c>
      <c r="I612" s="424">
        <f t="shared" si="35"/>
      </c>
      <c r="J612" s="424">
        <f t="shared" si="98"/>
      </c>
      <c r="K612" s="425">
        <f t="shared" si="130"/>
      </c>
      <c r="L612" s="426">
        <f t="shared" si="190"/>
      </c>
      <c r="M612" s="427">
        <f t="shared" si="160"/>
      </c>
      <c r="N612" s="427">
        <f t="shared" si="220"/>
      </c>
      <c r="O612" s="427">
        <f t="shared" si="273"/>
      </c>
      <c r="P612" s="428">
        <f t="shared" si="326"/>
      </c>
      <c r="Q612" s="429" t="s">
        <v>777</v>
      </c>
      <c r="R612" s="430" t="s">
        <v>869</v>
      </c>
      <c r="S612" s="435">
        <v>15346</v>
      </c>
      <c r="T612" s="436">
        <v>1060</v>
      </c>
      <c r="U612" s="436">
        <v>1217</v>
      </c>
      <c r="V612" s="436">
        <v>122</v>
      </c>
      <c r="W612" s="435">
        <v>2</v>
      </c>
      <c r="X612" s="435">
        <v>0</v>
      </c>
      <c r="Y612" s="448">
        <v>99</v>
      </c>
      <c r="Z612" s="423"/>
      <c r="AA612" s="423"/>
    </row>
    <row r="613">
      <c r="A613" s="420"/>
      <c r="B613" s="437" t="s">
        <v>774</v>
      </c>
      <c r="C613" s="437"/>
      <c r="D613" s="438">
        <f>SUM(D608:D612)</f>
      </c>
      <c r="E613" s="438">
        <f>SUM(E608:E612)</f>
      </c>
      <c r="F613" s="438">
        <f>SUM(F608:F612)</f>
      </c>
      <c r="G613" s="438">
        <f>SUM(G608:G612)</f>
      </c>
      <c r="H613" s="440">
        <f t="shared" si="379"/>
      </c>
      <c r="I613" s="441">
        <f t="shared" si="35"/>
      </c>
      <c r="J613" s="442">
        <f t="shared" si="98"/>
      </c>
      <c r="K613" s="443">
        <f t="shared" si="130"/>
      </c>
      <c r="L613" s="444">
        <f t="shared" si="190"/>
      </c>
      <c r="M613" s="443">
        <f t="shared" si="160"/>
      </c>
      <c r="N613" s="443">
        <f t="shared" si="220"/>
      </c>
      <c r="O613" s="445">
        <f t="shared" si="273"/>
      </c>
      <c r="P613" s="446">
        <f t="shared" si="326"/>
      </c>
      <c r="Q613" s="444"/>
      <c r="R613" s="444"/>
      <c r="S613" s="447">
        <f>SUM(S608:S612)</f>
      </c>
      <c r="T613" s="447">
        <f>SUM(T608:T612)</f>
      </c>
      <c r="U613" s="447">
        <f>SUM(U608:U612)</f>
      </c>
      <c r="V613" s="447">
        <f>SUM(V608:V612)</f>
      </c>
      <c r="W613" s="447">
        <f>SUM(W608:W612)</f>
      </c>
      <c r="X613" s="447">
        <f>SUM(X608:X612)</f>
      </c>
      <c r="Y613" s="447">
        <f>SUM(Y608:Y612)</f>
      </c>
      <c r="Z613" s="423"/>
      <c r="AA613" s="423"/>
    </row>
    <row r="614">
      <c r="A614" s="420"/>
      <c r="B614" s="421" t="s">
        <v>767</v>
      </c>
      <c r="C614" s="422" t="s">
        <v>780</v>
      </c>
      <c r="D614" s="421">
        <v>2954.540000000001</v>
      </c>
      <c r="E614" s="423">
        <v>3</v>
      </c>
      <c r="F614" s="423">
        <v>1</v>
      </c>
      <c r="G614" s="467">
        <v>5338.799999999999</v>
      </c>
      <c r="H614" s="424">
        <f t="shared" si="379"/>
      </c>
      <c r="I614" s="424">
        <f t="shared" si="35"/>
      </c>
      <c r="J614" s="424">
        <f t="shared" si="98"/>
      </c>
      <c r="K614" s="425">
        <f t="shared" si="130"/>
      </c>
      <c r="L614" s="426">
        <f t="shared" si="190"/>
      </c>
      <c r="M614" s="427">
        <f t="shared" si="160"/>
      </c>
      <c r="N614" s="427">
        <f t="shared" si="220"/>
      </c>
      <c r="O614" s="427">
        <f t="shared" si="273"/>
      </c>
      <c r="P614" s="428">
        <f t="shared" si="326"/>
      </c>
      <c r="Q614" s="429" t="s">
        <v>777</v>
      </c>
      <c r="R614" s="430" t="s">
        <v>874</v>
      </c>
      <c r="S614" s="436">
        <v>16959</v>
      </c>
      <c r="T614" s="436">
        <v>1038</v>
      </c>
      <c r="U614" s="436">
        <v>1232</v>
      </c>
      <c r="V614" s="436">
        <v>138</v>
      </c>
      <c r="W614" s="435">
        <v>3</v>
      </c>
      <c r="X614" s="435">
        <v>0</v>
      </c>
      <c r="Y614" s="448">
        <v>66</v>
      </c>
      <c r="Z614" s="423"/>
      <c r="AA614" s="423"/>
    </row>
    <row r="615">
      <c r="A615" s="420"/>
      <c r="B615" s="421" t="s">
        <v>767</v>
      </c>
      <c r="C615" s="422" t="s">
        <v>781</v>
      </c>
      <c r="D615" s="421">
        <v>3285.239999999998</v>
      </c>
      <c r="E615" s="423">
        <v>1</v>
      </c>
      <c r="F615" s="423">
        <v>2</v>
      </c>
      <c r="G615" s="467">
        <v>1632</v>
      </c>
      <c r="H615" s="424">
        <f t="shared" si="379"/>
      </c>
      <c r="I615" s="424">
        <f t="shared" si="35"/>
      </c>
      <c r="J615" s="424">
        <f t="shared" si="98"/>
      </c>
      <c r="K615" s="425">
        <f t="shared" si="130"/>
      </c>
      <c r="L615" s="426">
        <f t="shared" si="190"/>
      </c>
      <c r="M615" s="427">
        <f t="shared" si="160"/>
      </c>
      <c r="N615" s="427">
        <f t="shared" si="220"/>
      </c>
      <c r="O615" s="427">
        <f t="shared" si="273"/>
      </c>
      <c r="P615" s="428">
        <f t="shared" si="326"/>
      </c>
      <c r="Q615" s="429" t="s">
        <v>777</v>
      </c>
      <c r="R615" s="430" t="s">
        <v>874</v>
      </c>
      <c r="S615" s="436">
        <v>22195</v>
      </c>
      <c r="T615" s="436">
        <v>1019</v>
      </c>
      <c r="U615" s="436">
        <v>1166</v>
      </c>
      <c r="V615" s="436">
        <v>109</v>
      </c>
      <c r="W615" s="435">
        <v>5</v>
      </c>
      <c r="X615" s="435">
        <v>0</v>
      </c>
      <c r="Y615" s="448">
        <v>55</v>
      </c>
      <c r="Z615" s="423"/>
      <c r="AA615" s="423"/>
    </row>
    <row r="616">
      <c r="A616" s="420"/>
      <c r="B616" s="421" t="s">
        <v>767</v>
      </c>
      <c r="C616" s="422" t="s">
        <v>783</v>
      </c>
      <c r="D616" s="421">
        <v>2155.13</v>
      </c>
      <c r="E616" s="423">
        <v>1</v>
      </c>
      <c r="F616" s="423">
        <v>1</v>
      </c>
      <c r="G616" s="467">
        <v>1197.6000000000022</v>
      </c>
      <c r="H616" s="424">
        <f t="shared" si="379"/>
      </c>
      <c r="I616" s="424">
        <f t="shared" si="35"/>
      </c>
      <c r="J616" s="424">
        <f t="shared" si="98"/>
      </c>
      <c r="K616" s="425">
        <f t="shared" si="130"/>
      </c>
      <c r="L616" s="426">
        <f t="shared" si="190"/>
      </c>
      <c r="M616" s="427">
        <f t="shared" si="160"/>
      </c>
      <c r="N616" s="427">
        <f t="shared" si="220"/>
      </c>
      <c r="O616" s="427">
        <f t="shared" si="273"/>
      </c>
      <c r="P616" s="428">
        <f t="shared" si="326"/>
      </c>
      <c r="Q616" s="429" t="s">
        <v>777</v>
      </c>
      <c r="R616" s="430" t="s">
        <v>874</v>
      </c>
      <c r="S616" s="436">
        <v>14690</v>
      </c>
      <c r="T616" s="436">
        <v>718</v>
      </c>
      <c r="U616" s="436">
        <v>874</v>
      </c>
      <c r="V616" s="436">
        <v>65</v>
      </c>
      <c r="W616" s="435">
        <v>2</v>
      </c>
      <c r="X616" s="435">
        <v>0</v>
      </c>
      <c r="Y616" s="448">
        <v>40</v>
      </c>
      <c r="Z616" s="423"/>
      <c r="AA616" s="423"/>
    </row>
    <row r="617">
      <c r="A617" s="420"/>
      <c r="B617" s="421" t="s">
        <v>767</v>
      </c>
      <c r="C617" s="451" t="s">
        <v>784</v>
      </c>
      <c r="D617" s="421">
        <v>3038.82</v>
      </c>
      <c r="E617" s="423">
        <v>3</v>
      </c>
      <c r="F617" s="423">
        <v>3</v>
      </c>
      <c r="G617" s="462">
        <v>3998.399999999998</v>
      </c>
      <c r="H617" s="424">
        <f t="shared" si="379"/>
      </c>
      <c r="I617" s="424">
        <f t="shared" si="35"/>
      </c>
      <c r="J617" s="424">
        <f t="shared" si="98"/>
      </c>
      <c r="K617" s="425">
        <f t="shared" si="130"/>
      </c>
      <c r="L617" s="426">
        <f t="shared" si="190"/>
      </c>
      <c r="M617" s="427">
        <f t="shared" si="160"/>
      </c>
      <c r="N617" s="427">
        <f t="shared" si="220"/>
      </c>
      <c r="O617" s="427">
        <f t="shared" si="273"/>
      </c>
      <c r="P617" s="428">
        <f t="shared" si="326"/>
      </c>
      <c r="Q617" s="429" t="s">
        <v>777</v>
      </c>
      <c r="R617" s="430" t="s">
        <v>874</v>
      </c>
      <c r="S617" s="436">
        <v>16632</v>
      </c>
      <c r="T617" s="436">
        <v>1167</v>
      </c>
      <c r="U617" s="436">
        <v>1375</v>
      </c>
      <c r="V617" s="436">
        <v>130</v>
      </c>
      <c r="W617" s="435">
        <v>7</v>
      </c>
      <c r="X617" s="435">
        <v>0</v>
      </c>
      <c r="Y617" s="448">
        <v>78</v>
      </c>
      <c r="Z617" s="423"/>
      <c r="AA617" s="423"/>
    </row>
    <row customHeight="true" ht="16.666666666666668" r="618">
      <c r="A618" s="420"/>
      <c r="B618" s="421" t="s">
        <v>767</v>
      </c>
      <c r="C618" s="451" t="s">
        <v>785</v>
      </c>
      <c r="D618" s="421">
        <v>3124.820000000007</v>
      </c>
      <c r="E618" s="423">
        <v>7</v>
      </c>
      <c r="F618" s="423">
        <v>4</v>
      </c>
      <c r="G618" s="462">
        <v>6692.400000000009</v>
      </c>
      <c r="H618" s="424">
        <f t="shared" si="379"/>
      </c>
      <c r="I618" s="424">
        <f t="shared" si="35"/>
      </c>
      <c r="J618" s="424">
        <f t="shared" si="98"/>
      </c>
      <c r="K618" s="425">
        <f t="shared" si="130"/>
      </c>
      <c r="L618" s="426">
        <f t="shared" si="190"/>
      </c>
      <c r="M618" s="427">
        <f t="shared" si="160"/>
      </c>
      <c r="N618" s="427">
        <f t="shared" si="220"/>
      </c>
      <c r="O618" s="427">
        <f t="shared" si="273"/>
      </c>
      <c r="P618" s="428">
        <f t="shared" si="326"/>
      </c>
      <c r="Q618" s="429" t="s">
        <v>777</v>
      </c>
      <c r="R618" s="430" t="s">
        <v>874</v>
      </c>
      <c r="S618" s="436">
        <v>12901</v>
      </c>
      <c r="T618" s="436">
        <v>1218</v>
      </c>
      <c r="U618" s="436">
        <v>1426</v>
      </c>
      <c r="V618" s="436">
        <v>101</v>
      </c>
      <c r="W618" s="435">
        <v>3</v>
      </c>
      <c r="X618" s="435">
        <v>1</v>
      </c>
      <c r="Y618" s="448">
        <v>63</v>
      </c>
      <c r="Z618" s="423"/>
      <c r="AA618" s="423"/>
    </row>
    <row customHeight="true" ht="16.666666666666668" r="619">
      <c r="A619" s="420"/>
      <c r="B619" s="421" t="s">
        <v>767</v>
      </c>
      <c r="C619" s="451" t="s">
        <v>786</v>
      </c>
      <c r="D619" s="421">
        <v>1900.98</v>
      </c>
      <c r="E619" s="423">
        <v>4</v>
      </c>
      <c r="F619" s="423">
        <v>3</v>
      </c>
      <c r="G619" s="462">
        <v>7452.799999999988</v>
      </c>
      <c r="H619" s="424">
        <f t="shared" si="379"/>
      </c>
      <c r="I619" s="424">
        <f t="shared" si="35"/>
      </c>
      <c r="J619" s="424">
        <f t="shared" si="98"/>
      </c>
      <c r="K619" s="425">
        <f t="shared" si="130"/>
      </c>
      <c r="L619" s="426">
        <f t="shared" si="190"/>
      </c>
      <c r="M619" s="427">
        <f t="shared" si="160"/>
      </c>
      <c r="N619" s="427">
        <f t="shared" si="220"/>
      </c>
      <c r="O619" s="427">
        <f t="shared" si="273"/>
      </c>
      <c r="P619" s="428">
        <f t="shared" si="326"/>
      </c>
      <c r="Q619" s="429" t="s">
        <v>777</v>
      </c>
      <c r="R619" s="430" t="s">
        <v>874</v>
      </c>
      <c r="S619" s="435">
        <v>9815</v>
      </c>
      <c r="T619" s="435">
        <v>1044</v>
      </c>
      <c r="U619" s="436">
        <v>1206</v>
      </c>
      <c r="V619" s="436">
        <v>80</v>
      </c>
      <c r="W619" s="435">
        <v>3</v>
      </c>
      <c r="X619" s="435">
        <v>0</v>
      </c>
      <c r="Y619" s="448">
        <v>33</v>
      </c>
      <c r="Z619" s="423"/>
      <c r="AA619" s="423"/>
    </row>
    <row r="620">
      <c r="A620" s="420"/>
      <c r="B620" s="437" t="s">
        <v>774</v>
      </c>
      <c r="C620" s="437"/>
      <c r="D620" s="438">
        <f>SUM(D614:D619)</f>
      </c>
      <c r="E620" s="438">
        <f>SUM(E614:E619)</f>
      </c>
      <c r="F620" s="438">
        <f>SUM(F614:F619)</f>
      </c>
      <c r="G620" s="438">
        <f>SUM(G614:G619)</f>
      </c>
      <c r="H620" s="440">
        <f t="shared" si="379"/>
      </c>
      <c r="I620" s="441">
        <f t="shared" si="35"/>
      </c>
      <c r="J620" s="442">
        <f t="shared" si="98"/>
      </c>
      <c r="K620" s="443">
        <f t="shared" si="130"/>
      </c>
      <c r="L620" s="444">
        <f t="shared" si="190"/>
      </c>
      <c r="M620" s="443">
        <f t="shared" si="160"/>
      </c>
      <c r="N620" s="443">
        <f t="shared" si="220"/>
      </c>
      <c r="O620" s="445">
        <f t="shared" si="273"/>
      </c>
      <c r="P620" s="446">
        <f t="shared" si="326"/>
      </c>
      <c r="Q620" s="444"/>
      <c r="R620" s="444"/>
      <c r="S620" s="447">
        <f>SUM(S614:S619)</f>
      </c>
      <c r="T620" s="447">
        <f>SUM(T614:T619)</f>
      </c>
      <c r="U620" s="447">
        <f>SUM(U614:U619)</f>
      </c>
      <c r="V620" s="447">
        <f>SUM(V614:V619)</f>
      </c>
      <c r="W620" s="447">
        <f>SUM(W614:W619)</f>
      </c>
      <c r="X620" s="447">
        <f>SUM(X614:X619)</f>
      </c>
      <c r="Y620" s="447">
        <f>SUM(Y614:Y619)</f>
      </c>
      <c r="Z620" s="423"/>
      <c r="AA620" s="423"/>
    </row>
    <row r="621">
      <c r="A621" s="420"/>
      <c r="B621" s="452" t="s">
        <v>787</v>
      </c>
      <c r="C621" s="452"/>
      <c r="D621" s="466">
        <f>D607+D613+D620</f>
      </c>
      <c r="E621" s="466">
        <f>E607+E613+E620</f>
      </c>
      <c r="F621" s="466">
        <f>F607+F613+F620</f>
      </c>
      <c r="G621" s="466">
        <f>G607+G613+G620</f>
      </c>
      <c r="H621" s="452">
        <f t="shared" si="379"/>
      </c>
      <c r="I621" s="452">
        <f t="shared" si="35"/>
      </c>
      <c r="J621" s="452">
        <f t="shared" si="98"/>
      </c>
      <c r="K621" s="455">
        <f t="shared" si="130"/>
      </c>
      <c r="L621" s="452">
        <f t="shared" si="190"/>
      </c>
      <c r="M621" s="455">
        <f t="shared" si="160"/>
      </c>
      <c r="N621" s="455">
        <f t="shared" si="220"/>
      </c>
      <c r="O621" s="455">
        <f t="shared" si="273"/>
      </c>
      <c r="P621" s="452">
        <f t="shared" si="326"/>
      </c>
      <c r="Q621" s="456"/>
      <c r="R621" s="456"/>
      <c r="S621" s="454">
        <f>S607+S613+S620</f>
      </c>
      <c r="T621" s="454">
        <f>T607+T613+T620</f>
      </c>
      <c r="U621" s="454">
        <f>U607+U613+U620</f>
      </c>
      <c r="V621" s="454">
        <f>V607+V613+V620</f>
      </c>
      <c r="W621" s="454">
        <f>W607+W613+W620</f>
      </c>
      <c r="X621" s="454">
        <f>X607+X613+X620</f>
      </c>
      <c r="Y621" s="454">
        <f>Y607+Y613+Y620</f>
      </c>
      <c r="Z621" s="423"/>
      <c r="AA621" s="423"/>
    </row>
    <row r="622">
      <c r="A622" s="405" t="s">
        <v>738</v>
      </c>
      <c r="B622" s="405"/>
      <c r="C622" s="405"/>
      <c r="D622" s="406" t="s">
        <v>739</v>
      </c>
      <c r="E622" s="406"/>
      <c r="F622" s="406"/>
      <c r="G622" s="406"/>
      <c r="H622" s="406"/>
      <c r="I622" s="406"/>
      <c r="J622" s="406"/>
      <c r="K622" s="407" t="s">
        <v>740</v>
      </c>
      <c r="L622" s="407"/>
      <c r="M622" s="407"/>
      <c r="N622" s="407"/>
      <c r="O622" s="407"/>
      <c r="P622" s="407"/>
      <c r="Q622" s="407"/>
      <c r="R622" s="407"/>
      <c r="S622" s="408" t="s">
        <v>741</v>
      </c>
      <c r="T622" s="408"/>
      <c r="U622" s="408"/>
      <c r="V622" s="408"/>
      <c r="W622" s="408"/>
      <c r="X622" s="408"/>
      <c r="Y622" s="408"/>
      <c r="Z622" s="423"/>
      <c r="AA622" s="423"/>
    </row>
    <row r="623">
      <c r="A623" s="409" t="s">
        <v>742</v>
      </c>
      <c r="B623" s="409" t="s">
        <v>743</v>
      </c>
      <c r="C623" s="409" t="s">
        <v>744</v>
      </c>
      <c r="D623" s="410" t="s">
        <v>745</v>
      </c>
      <c r="E623" s="411" t="s">
        <v>746</v>
      </c>
      <c r="F623" s="463" t="s">
        <v>792</v>
      </c>
      <c r="G623" s="410" t="s">
        <v>747</v>
      </c>
      <c r="H623" s="412" t="s">
        <v>748</v>
      </c>
      <c r="I623" s="413" t="s">
        <v>749</v>
      </c>
      <c r="J623" s="410" t="s">
        <v>750</v>
      </c>
      <c r="K623" s="414" t="s">
        <v>751</v>
      </c>
      <c r="L623" s="415" t="s">
        <v>752</v>
      </c>
      <c r="M623" s="414" t="s">
        <v>753</v>
      </c>
      <c r="N623" s="414" t="s">
        <v>754</v>
      </c>
      <c r="O623" s="416" t="s">
        <v>755</v>
      </c>
      <c r="P623" s="416" t="s">
        <v>756</v>
      </c>
      <c r="Q623" s="417" t="s">
        <v>757</v>
      </c>
      <c r="R623" s="417" t="s">
        <v>758</v>
      </c>
      <c r="S623" s="431" t="s">
        <v>759</v>
      </c>
      <c r="T623" s="431" t="s">
        <v>760</v>
      </c>
      <c r="U623" s="431" t="s">
        <v>761</v>
      </c>
      <c r="V623" s="431" t="s">
        <v>762</v>
      </c>
      <c r="W623" s="431" t="s">
        <v>763</v>
      </c>
      <c r="X623" s="431" t="s">
        <v>764</v>
      </c>
      <c r="Y623" s="419" t="s">
        <v>765</v>
      </c>
      <c r="Z623" s="423"/>
      <c r="AA623" s="486"/>
      <c r="AB623" s="486"/>
      <c r="AC623" s="486"/>
      <c r="AD623" s="486"/>
      <c r="AE623" s="486"/>
      <c r="AF623" s="486"/>
      <c r="AG623" s="486"/>
      <c r="AH623" s="486"/>
      <c r="AI623" s="486"/>
      <c r="AJ623" s="486"/>
      <c r="AK623" s="486"/>
    </row>
    <row r="624">
      <c r="A624" s="420" t="s">
        <v>879</v>
      </c>
      <c r="B624" s="421" t="s">
        <v>782</v>
      </c>
      <c r="C624" s="451" t="s">
        <v>794</v>
      </c>
      <c r="D624" s="421">
        <v>3520.08</v>
      </c>
      <c r="E624" s="423">
        <v>1</v>
      </c>
      <c r="F624" s="423">
        <v>1</v>
      </c>
      <c r="G624" s="467">
        <v>2943.6</v>
      </c>
      <c r="H624" s="424">
        <f t="shared" ref="H624:H644" si="380">G624/D624</f>
      </c>
      <c r="I624" s="424">
        <f>D624/E624</f>
      </c>
      <c r="J624" s="424">
        <f>G624/E624</f>
      </c>
      <c r="K624" s="425">
        <f t="shared" ref="K624:K644" si="131">T624/S624</f>
      </c>
      <c r="L624" s="426">
        <f t="shared" ref="L624:L644" si="191">D624/U624</f>
      </c>
      <c r="M624" s="427">
        <f t="shared" ref="M624:M644" si="161">V624/U624</f>
      </c>
      <c r="N624" s="427">
        <f t="shared" ref="N624:N644" si="221">E624/W624</f>
      </c>
      <c r="O624" s="427">
        <f t="shared" ref="O624:O644" si="274">X624/E624</f>
      </c>
      <c r="P624" s="428">
        <f t="shared" ref="P624:P644" si="327">(Y624*1000)/D624</f>
      </c>
      <c r="Q624" s="429" t="s">
        <v>769</v>
      </c>
      <c r="R624" s="430" t="s">
        <v>802</v>
      </c>
      <c r="S624" s="461">
        <v>17387</v>
      </c>
      <c r="T624" s="461">
        <v>1991</v>
      </c>
      <c r="U624" s="461">
        <v>2230</v>
      </c>
      <c r="V624" s="461">
        <v>144</v>
      </c>
      <c r="W624" s="461">
        <v>1</v>
      </c>
      <c r="X624" s="461">
        <v>0</v>
      </c>
      <c r="Y624" s="461">
        <v>62</v>
      </c>
      <c r="AA624" s="486"/>
      <c r="AB624" s="486"/>
      <c r="AC624" s="486"/>
      <c r="AD624" s="486"/>
      <c r="AE624" s="486"/>
      <c r="AF624" s="486"/>
      <c r="AG624" s="486"/>
      <c r="AH624" s="486"/>
      <c r="AI624" s="486"/>
      <c r="AJ624" s="486"/>
      <c r="AK624" s="486"/>
    </row>
    <row r="625">
      <c r="A625" s="420"/>
      <c r="B625" s="421" t="s">
        <v>782</v>
      </c>
      <c r="C625" s="421" t="s">
        <v>796</v>
      </c>
      <c r="D625" s="421">
        <v>2220.51</v>
      </c>
      <c r="E625" s="423">
        <v>2</v>
      </c>
      <c r="F625" s="423">
        <v>2</v>
      </c>
      <c r="G625" s="467">
        <v>3596.4</v>
      </c>
      <c r="H625" s="424">
        <f t="shared" si="380"/>
      </c>
      <c r="I625" s="424">
        <v>2161</v>
      </c>
      <c r="J625" s="424">
        <v>234</v>
      </c>
      <c r="K625" s="425">
        <f t="shared" si="131"/>
      </c>
      <c r="L625" s="426">
        <f t="shared" si="191"/>
      </c>
      <c r="M625" s="427">
        <f t="shared" si="161"/>
      </c>
      <c r="N625" s="427">
        <f t="shared" si="221"/>
      </c>
      <c r="O625" s="427">
        <f t="shared" si="274"/>
      </c>
      <c r="P625" s="428">
        <f t="shared" si="327"/>
      </c>
      <c r="Q625" s="429" t="s">
        <v>769</v>
      </c>
      <c r="R625" s="430" t="s">
        <v>802</v>
      </c>
      <c r="S625" s="461">
        <v>10777</v>
      </c>
      <c r="T625" s="461">
        <v>1173</v>
      </c>
      <c r="U625" s="461">
        <v>1335</v>
      </c>
      <c r="V625" s="461">
        <v>129</v>
      </c>
      <c r="W625" s="461">
        <v>2</v>
      </c>
      <c r="X625" s="461">
        <v>0</v>
      </c>
      <c r="Y625" s="461">
        <v>53</v>
      </c>
      <c r="AA625" s="486"/>
      <c r="AB625" s="486"/>
      <c r="AC625" s="486"/>
      <c r="AD625" s="486"/>
      <c r="AE625" s="486"/>
      <c r="AF625" s="486"/>
      <c r="AG625" s="486"/>
      <c r="AH625" s="486"/>
      <c r="AI625" s="486"/>
      <c r="AJ625" s="486"/>
      <c r="AK625" s="486"/>
    </row>
    <row r="626">
      <c r="A626" s="420"/>
      <c r="B626" s="421" t="s">
        <v>782</v>
      </c>
      <c r="C626" s="421" t="s">
        <v>797</v>
      </c>
      <c r="D626" s="421">
        <v>2430.59</v>
      </c>
      <c r="E626" s="423">
        <v>4</v>
      </c>
      <c r="F626" s="423">
        <v>3</v>
      </c>
      <c r="G626" s="467">
        <v>4546.8</v>
      </c>
      <c r="H626" s="424">
        <f t="shared" si="380"/>
      </c>
      <c r="I626" s="424">
        <f t="shared" ref="I626:I630" si="36">D626/E626</f>
      </c>
      <c r="J626" s="424">
        <f t="shared" ref="J626:J630" si="99">G626/E626</f>
      </c>
      <c r="K626" s="425">
        <f t="shared" si="131"/>
      </c>
      <c r="L626" s="426">
        <f t="shared" si="191"/>
      </c>
      <c r="M626" s="427">
        <f t="shared" si="161"/>
      </c>
      <c r="N626" s="427">
        <f t="shared" si="221"/>
      </c>
      <c r="O626" s="427">
        <f t="shared" si="274"/>
      </c>
      <c r="P626" s="428">
        <f t="shared" si="327"/>
      </c>
      <c r="Q626" s="429" t="s">
        <v>769</v>
      </c>
      <c r="R626" s="430" t="s">
        <v>802</v>
      </c>
      <c r="S626" s="461">
        <v>11659</v>
      </c>
      <c r="T626" s="461">
        <v>962</v>
      </c>
      <c r="U626" s="461">
        <v>1125</v>
      </c>
      <c r="V626" s="461">
        <v>116</v>
      </c>
      <c r="W626" s="461">
        <v>6</v>
      </c>
      <c r="X626" s="461">
        <v>1</v>
      </c>
      <c r="Y626" s="461">
        <v>49</v>
      </c>
      <c r="AA626" s="486"/>
      <c r="AB626" s="486"/>
      <c r="AC626" s="486"/>
      <c r="AD626" s="486"/>
      <c r="AE626" s="486"/>
      <c r="AF626" s="486"/>
      <c r="AG626" s="486"/>
      <c r="AH626" s="486"/>
      <c r="AI626" s="486"/>
      <c r="AJ626" s="486"/>
      <c r="AK626" s="486"/>
    </row>
    <row r="627">
      <c r="A627" s="420"/>
      <c r="B627" s="421" t="s">
        <v>782</v>
      </c>
      <c r="C627" s="421" t="s">
        <v>798</v>
      </c>
      <c r="D627" s="421">
        <v>2218.18</v>
      </c>
      <c r="E627" s="423">
        <v>8</v>
      </c>
      <c r="F627" s="423">
        <v>4</v>
      </c>
      <c r="G627" s="462">
        <v>8619.4</v>
      </c>
      <c r="H627" s="424">
        <f t="shared" si="380"/>
      </c>
      <c r="I627" s="424">
        <f t="shared" si="36"/>
      </c>
      <c r="J627" s="424">
        <f t="shared" si="99"/>
      </c>
      <c r="K627" s="425">
        <f t="shared" si="131"/>
      </c>
      <c r="L627" s="426">
        <f t="shared" si="191"/>
      </c>
      <c r="M627" s="427">
        <f t="shared" si="161"/>
      </c>
      <c r="N627" s="427">
        <f t="shared" si="221"/>
      </c>
      <c r="O627" s="427">
        <f t="shared" si="274"/>
      </c>
      <c r="P627" s="428">
        <f t="shared" si="327"/>
      </c>
      <c r="Q627" s="429" t="s">
        <v>769</v>
      </c>
      <c r="R627" s="430" t="s">
        <v>802</v>
      </c>
      <c r="S627" s="461">
        <v>8326</v>
      </c>
      <c r="T627" s="461">
        <v>852</v>
      </c>
      <c r="U627" s="461">
        <v>1015</v>
      </c>
      <c r="V627" s="461">
        <v>96</v>
      </c>
      <c r="W627" s="461">
        <v>7</v>
      </c>
      <c r="X627" s="435">
        <v>2</v>
      </c>
      <c r="Y627" s="435">
        <v>44</v>
      </c>
      <c r="AA627" s="487" t="s">
        <v>875</v>
      </c>
      <c r="AB627" s="487"/>
      <c r="AC627" s="487"/>
      <c r="AD627" s="487"/>
      <c r="AE627" s="487"/>
      <c r="AF627" s="487"/>
      <c r="AG627" s="487"/>
      <c r="AH627" s="487"/>
      <c r="AI627" s="487"/>
      <c r="AJ627" s="487"/>
      <c r="AK627" s="487"/>
    </row>
    <row r="628">
      <c r="A628" s="420"/>
      <c r="B628" s="437" t="s">
        <v>774</v>
      </c>
      <c r="C628" s="437"/>
      <c r="D628" s="438">
        <f>SUM(D624:D627)</f>
      </c>
      <c r="E628" s="439">
        <f>SUM(E624:E627)</f>
      </c>
      <c r="F628" s="439">
        <f>SUM(F624:F627)</f>
      </c>
      <c r="G628" s="438">
        <f>SUM(G624:G627)</f>
      </c>
      <c r="H628" s="440">
        <f t="shared" si="380"/>
      </c>
      <c r="I628" s="441">
        <f t="shared" si="36"/>
      </c>
      <c r="J628" s="442">
        <f t="shared" si="99"/>
      </c>
      <c r="K628" s="443">
        <f t="shared" si="131"/>
      </c>
      <c r="L628" s="444">
        <f t="shared" si="191"/>
      </c>
      <c r="M628" s="443">
        <f t="shared" si="161"/>
      </c>
      <c r="N628" s="443">
        <f t="shared" si="221"/>
      </c>
      <c r="O628" s="445">
        <f t="shared" si="274"/>
      </c>
      <c r="P628" s="446">
        <f t="shared" si="327"/>
      </c>
      <c r="Q628" s="444"/>
      <c r="R628" s="444"/>
      <c r="S628" s="447">
        <f>SUM(S624:S627)</f>
      </c>
      <c r="T628" s="447">
        <f>SUM(T624:T627)</f>
      </c>
      <c r="U628" s="447">
        <f>SUM(U624:U627)</f>
      </c>
      <c r="V628" s="447">
        <f>SUM(V624:V627)</f>
      </c>
      <c r="W628" s="447">
        <f>SUM(W624:W627)</f>
      </c>
      <c r="X628" s="447">
        <f>SUM(X624:X627)</f>
      </c>
      <c r="Y628" s="447">
        <f>SUM(Y624:Y627)</f>
      </c>
      <c r="AA628" s="489"/>
      <c r="AB628" s="489"/>
      <c r="AC628" s="489"/>
      <c r="AD628" s="489"/>
      <c r="AE628" s="489"/>
      <c r="AF628" s="489"/>
      <c r="AG628" s="489"/>
      <c r="AH628" s="489"/>
      <c r="AI628" s="489"/>
      <c r="AJ628" s="489"/>
      <c r="AK628" s="489"/>
    </row>
    <row r="629">
      <c r="A629" s="420"/>
      <c r="B629" s="421" t="s">
        <v>767</v>
      </c>
      <c r="C629" s="422" t="s">
        <v>768</v>
      </c>
      <c r="D629" s="421">
        <v>3090.14</v>
      </c>
      <c r="E629" s="423">
        <v>2</v>
      </c>
      <c r="F629" s="423">
        <v>1</v>
      </c>
      <c r="G629" s="467">
        <v>3661.2</v>
      </c>
      <c r="H629" s="424">
        <f t="shared" si="380"/>
      </c>
      <c r="I629" s="424">
        <f t="shared" si="36"/>
      </c>
      <c r="J629" s="424">
        <f t="shared" si="99"/>
      </c>
      <c r="K629" s="425">
        <f t="shared" si="131"/>
      </c>
      <c r="L629" s="426">
        <f t="shared" si="191"/>
      </c>
      <c r="M629" s="427">
        <f t="shared" si="161"/>
      </c>
      <c r="N629" s="427">
        <f t="shared" si="221"/>
      </c>
      <c r="O629" s="427">
        <f t="shared" si="274"/>
      </c>
      <c r="P629" s="428">
        <f t="shared" si="327"/>
      </c>
      <c r="Q629" s="429" t="s">
        <v>777</v>
      </c>
      <c r="R629" s="430" t="s">
        <v>802</v>
      </c>
      <c r="S629" s="436">
        <v>15746</v>
      </c>
      <c r="T629" s="436">
        <v>972</v>
      </c>
      <c r="U629" s="436">
        <v>1137</v>
      </c>
      <c r="V629" s="436">
        <v>137</v>
      </c>
      <c r="W629" s="435">
        <v>5</v>
      </c>
      <c r="X629" s="435">
        <v>1</v>
      </c>
      <c r="Y629" s="448">
        <v>44</v>
      </c>
      <c r="AA629" s="489"/>
      <c r="AB629" s="489"/>
      <c r="AC629" s="489"/>
      <c r="AD629" s="489"/>
      <c r="AE629" s="489"/>
      <c r="AF629" s="489"/>
      <c r="AG629" s="489"/>
      <c r="AH629" s="489"/>
      <c r="AI629" s="489"/>
      <c r="AJ629" s="489"/>
      <c r="AK629" s="489"/>
    </row>
    <row r="630">
      <c r="A630" s="420"/>
      <c r="B630" s="421" t="s">
        <v>767</v>
      </c>
      <c r="C630" s="433" t="s">
        <v>771</v>
      </c>
      <c r="D630" s="421">
        <v>2649.55</v>
      </c>
      <c r="E630" s="423">
        <v>1</v>
      </c>
      <c r="F630" s="423">
        <v>1</v>
      </c>
      <c r="G630" s="467">
        <v>1197.6</v>
      </c>
      <c r="H630" s="424">
        <f t="shared" si="380"/>
      </c>
      <c r="I630" s="424">
        <f t="shared" si="36"/>
      </c>
      <c r="J630" s="424">
        <f t="shared" si="99"/>
      </c>
      <c r="K630" s="425">
        <f t="shared" si="131"/>
      </c>
      <c r="L630" s="426">
        <f t="shared" si="191"/>
      </c>
      <c r="M630" s="427">
        <f t="shared" si="161"/>
      </c>
      <c r="N630" s="427">
        <f t="shared" si="221"/>
      </c>
      <c r="O630" s="427">
        <f t="shared" si="274"/>
      </c>
      <c r="P630" s="428">
        <f t="shared" si="327"/>
      </c>
      <c r="Q630" s="429" t="s">
        <v>777</v>
      </c>
      <c r="R630" s="430" t="s">
        <v>802</v>
      </c>
      <c r="S630" s="436">
        <v>8507</v>
      </c>
      <c r="T630" s="436">
        <v>853</v>
      </c>
      <c r="U630" s="436">
        <v>1020</v>
      </c>
      <c r="V630" s="436">
        <v>106</v>
      </c>
      <c r="W630" s="435">
        <v>4</v>
      </c>
      <c r="X630" s="435">
        <v>0</v>
      </c>
      <c r="Y630" s="448">
        <v>50</v>
      </c>
      <c r="AA630" s="489" t="s">
        <v>806</v>
      </c>
      <c r="AB630" s="489" t="s">
        <v>807</v>
      </c>
      <c r="AC630" s="489" t="s">
        <v>808</v>
      </c>
      <c r="AD630" s="489" t="s">
        <v>809</v>
      </c>
      <c r="AE630" s="489" t="s">
        <v>810</v>
      </c>
      <c r="AF630" s="489" t="s">
        <v>811</v>
      </c>
      <c r="AG630" s="489" t="s">
        <v>750</v>
      </c>
      <c r="AH630" s="489" t="s">
        <v>812</v>
      </c>
      <c r="AI630" s="489" t="s">
        <v>748</v>
      </c>
      <c r="AJ630" s="489" t="s">
        <v>813</v>
      </c>
      <c r="AK630" s="489"/>
    </row>
    <row r="631">
      <c r="A631" s="420"/>
      <c r="B631" s="421" t="s">
        <v>767</v>
      </c>
      <c r="C631" s="433" t="s">
        <v>772</v>
      </c>
      <c r="D631" s="421">
        <v>2796.91</v>
      </c>
      <c r="E631" s="423">
        <v>2</v>
      </c>
      <c r="F631" s="423">
        <v>2</v>
      </c>
      <c r="G631" s="467">
        <v>3596.4</v>
      </c>
      <c r="H631" s="424">
        <f t="shared" si="380"/>
      </c>
      <c r="I631" s="424">
        <v>1323</v>
      </c>
      <c r="J631" s="424">
        <v>145</v>
      </c>
      <c r="K631" s="425">
        <f t="shared" si="131"/>
      </c>
      <c r="L631" s="426">
        <f t="shared" si="191"/>
      </c>
      <c r="M631" s="427">
        <f t="shared" si="161"/>
      </c>
      <c r="N631" s="427">
        <f t="shared" si="221"/>
      </c>
      <c r="O631" s="427">
        <f t="shared" si="274"/>
      </c>
      <c r="P631" s="428">
        <f t="shared" si="327"/>
      </c>
      <c r="Q631" s="429" t="s">
        <v>777</v>
      </c>
      <c r="R631" s="430" t="s">
        <v>802</v>
      </c>
      <c r="S631" s="436">
        <v>13336</v>
      </c>
      <c r="T631" s="436">
        <v>745</v>
      </c>
      <c r="U631" s="436">
        <v>848</v>
      </c>
      <c r="V631" s="436">
        <v>88</v>
      </c>
      <c r="W631" s="435">
        <v>3</v>
      </c>
      <c r="X631" s="435">
        <v>0</v>
      </c>
      <c r="Y631" s="448">
        <v>69</v>
      </c>
      <c r="AA631" s="490" t="s">
        <v>782</v>
      </c>
      <c r="AB631" s="491" t="s">
        <v>814</v>
      </c>
      <c r="AC631" s="492">
        <v>4</v>
      </c>
      <c r="AD631" s="490">
        <v>10389.36</v>
      </c>
      <c r="AE631" s="490">
        <v>19706.2</v>
      </c>
      <c r="AF631" s="490">
        <v>15</v>
      </c>
      <c r="AG631" s="493">
        <f t="shared" ref="AG631:AG634" si="244">AE631/AF631</f>
      </c>
      <c r="AH631" s="493">
        <f t="shared" ref="AH631:AH634" si="297">AD631/AF631</f>
      </c>
      <c r="AI631" s="493">
        <f t="shared" ref="AI631:AI634" si="350">AE631/AD631</f>
      </c>
      <c r="AJ631" s="492">
        <f>AD631/AC631</f>
      </c>
      <c r="AK631" s="492"/>
    </row>
    <row r="632">
      <c r="A632" s="420"/>
      <c r="B632" s="421" t="s">
        <v>767</v>
      </c>
      <c r="C632" s="433" t="s">
        <v>773</v>
      </c>
      <c r="D632" s="421">
        <v>3362.84</v>
      </c>
      <c r="E632" s="423">
        <v>3</v>
      </c>
      <c r="F632" s="423">
        <v>3</v>
      </c>
      <c r="G632" s="462">
        <v>4249.2</v>
      </c>
      <c r="H632" s="424">
        <f t="shared" si="380"/>
      </c>
      <c r="I632" s="424">
        <f t="shared" ref="I632:I644" si="37">D632/E632</f>
      </c>
      <c r="J632" s="424">
        <f t="shared" ref="J632:J644" si="100">G632/E632</f>
      </c>
      <c r="K632" s="425">
        <f t="shared" si="131"/>
      </c>
      <c r="L632" s="426">
        <f t="shared" si="191"/>
      </c>
      <c r="M632" s="427">
        <f t="shared" si="161"/>
      </c>
      <c r="N632" s="427">
        <f t="shared" si="221"/>
      </c>
      <c r="O632" s="427">
        <f t="shared" si="274"/>
      </c>
      <c r="P632" s="428">
        <f t="shared" si="327"/>
      </c>
      <c r="Q632" s="429" t="s">
        <v>777</v>
      </c>
      <c r="R632" s="430" t="s">
        <v>802</v>
      </c>
      <c r="S632" s="435">
        <v>24230</v>
      </c>
      <c r="T632" s="436">
        <v>773</v>
      </c>
      <c r="U632" s="436">
        <v>893</v>
      </c>
      <c r="V632" s="436">
        <v>92</v>
      </c>
      <c r="W632" s="435">
        <v>4</v>
      </c>
      <c r="X632" s="435">
        <v>0</v>
      </c>
      <c r="Y632" s="448">
        <v>70</v>
      </c>
      <c r="AA632" s="490" t="s">
        <v>767</v>
      </c>
      <c r="AB632" s="491" t="s">
        <v>815</v>
      </c>
      <c r="AC632" s="492">
        <v>4</v>
      </c>
      <c r="AD632" s="490">
        <v>11899.44</v>
      </c>
      <c r="AE632" s="490">
        <v>12704.4</v>
      </c>
      <c r="AF632" s="490">
        <v>8</v>
      </c>
      <c r="AG632" s="493">
        <f t="shared" si="244"/>
      </c>
      <c r="AH632" s="493">
        <f t="shared" si="297"/>
      </c>
      <c r="AI632" s="493">
        <f t="shared" si="350"/>
      </c>
      <c r="AJ632" s="492">
        <f t="shared" ref="AJ632:AJ634" si="61">AD632/4</f>
      </c>
      <c r="AK632" s="492"/>
    </row>
    <row r="633">
      <c r="A633" s="420"/>
      <c r="B633" s="437" t="s">
        <v>774</v>
      </c>
      <c r="C633" s="437"/>
      <c r="D633" s="438">
        <f>SUM(D629:D632)</f>
      </c>
      <c r="E633" s="439">
        <f>SUM(E629:E632)</f>
      </c>
      <c r="F633" s="439">
        <f>SUM(F629:F632)</f>
      </c>
      <c r="G633" s="438">
        <f>SUM(G629:G632)</f>
      </c>
      <c r="H633" s="440">
        <f t="shared" si="380"/>
      </c>
      <c r="I633" s="441">
        <f t="shared" si="37"/>
      </c>
      <c r="J633" s="442">
        <f t="shared" si="100"/>
      </c>
      <c r="K633" s="443">
        <f t="shared" si="131"/>
      </c>
      <c r="L633" s="444">
        <f t="shared" si="191"/>
      </c>
      <c r="M633" s="443">
        <f t="shared" si="161"/>
      </c>
      <c r="N633" s="443">
        <f t="shared" si="221"/>
      </c>
      <c r="O633" s="445">
        <f t="shared" si="274"/>
      </c>
      <c r="P633" s="446">
        <f t="shared" si="327"/>
      </c>
      <c r="Q633" s="444"/>
      <c r="R633" s="444"/>
      <c r="S633" s="447">
        <f>SUM(S629:S632)</f>
      </c>
      <c r="T633" s="447">
        <f>SUM(T629:T632)</f>
      </c>
      <c r="U633" s="447">
        <f>SUM(U629:U632)</f>
      </c>
      <c r="V633" s="447">
        <f>SUM(V629:V632)</f>
      </c>
      <c r="W633" s="500">
        <f>SUM(W629:W632)</f>
      </c>
      <c r="X633" s="447">
        <f>SUM(X629:X632)</f>
      </c>
      <c r="Y633" s="447">
        <f>SUM(Y629:Y632)</f>
      </c>
      <c r="AA633" s="490" t="s">
        <v>789</v>
      </c>
      <c r="AB633" s="491" t="s">
        <v>816</v>
      </c>
      <c r="AC633" s="492">
        <v>4</v>
      </c>
      <c r="AD633" s="490">
        <v>12082.41</v>
      </c>
      <c r="AE633" s="490">
        <v>14317.599999999999</v>
      </c>
      <c r="AF633" s="490">
        <v>18</v>
      </c>
      <c r="AG633" s="493">
        <f t="shared" si="244"/>
      </c>
      <c r="AH633" s="493">
        <f t="shared" si="297"/>
      </c>
      <c r="AI633" s="493">
        <f t="shared" si="350"/>
      </c>
      <c r="AJ633" s="492">
        <f t="shared" si="61"/>
      </c>
      <c r="AK633" s="492"/>
    </row>
    <row r="634">
      <c r="A634" s="420"/>
      <c r="B634" s="421" t="s">
        <v>789</v>
      </c>
      <c r="C634" s="433" t="s">
        <v>776</v>
      </c>
      <c r="D634" s="421">
        <v>2627.41</v>
      </c>
      <c r="E634" s="423">
        <v>1</v>
      </c>
      <c r="F634" s="423">
        <v>2</v>
      </c>
      <c r="G634" s="467">
        <v>402</v>
      </c>
      <c r="H634" s="424">
        <f t="shared" si="380"/>
      </c>
      <c r="I634" s="424">
        <f t="shared" si="37"/>
      </c>
      <c r="J634" s="424">
        <f t="shared" si="100"/>
      </c>
      <c r="K634" s="425">
        <f t="shared" si="131"/>
      </c>
      <c r="L634" s="426">
        <f t="shared" si="191"/>
      </c>
      <c r="M634" s="427">
        <f t="shared" si="161"/>
      </c>
      <c r="N634" s="427">
        <f t="shared" si="221"/>
      </c>
      <c r="O634" s="427">
        <f t="shared" si="274"/>
      </c>
      <c r="P634" s="428">
        <f t="shared" si="327"/>
      </c>
      <c r="Q634" s="429" t="s">
        <v>777</v>
      </c>
      <c r="R634" s="430" t="s">
        <v>874</v>
      </c>
      <c r="S634" s="436">
        <v>19784</v>
      </c>
      <c r="T634" s="436">
        <v>632</v>
      </c>
      <c r="U634" s="436">
        <v>720</v>
      </c>
      <c r="V634" s="436">
        <v>74</v>
      </c>
      <c r="W634" s="435">
        <v>3</v>
      </c>
      <c r="X634" s="435">
        <v>0</v>
      </c>
      <c r="Y634" s="448">
        <v>53</v>
      </c>
      <c r="AA634" s="490" t="s">
        <v>775</v>
      </c>
      <c r="AB634" s="491" t="s">
        <v>817</v>
      </c>
      <c r="AC634" s="492">
        <v>4</v>
      </c>
      <c r="AD634" s="490">
        <v>12600.099999999991</v>
      </c>
      <c r="AE634" s="490">
        <v>16579.699999999997</v>
      </c>
      <c r="AF634" s="490">
        <v>13</v>
      </c>
      <c r="AG634" s="493">
        <f t="shared" si="244"/>
      </c>
      <c r="AH634" s="493">
        <f t="shared" si="297"/>
      </c>
      <c r="AI634" s="493">
        <f t="shared" si="350"/>
      </c>
      <c r="AJ634" s="492">
        <f t="shared" si="61"/>
      </c>
      <c r="AK634" s="492"/>
    </row>
    <row r="635">
      <c r="A635" s="420"/>
      <c r="B635" s="421" t="s">
        <v>789</v>
      </c>
      <c r="C635" s="422" t="s">
        <v>779</v>
      </c>
      <c r="D635" s="421">
        <v>3210.51</v>
      </c>
      <c r="E635" s="423">
        <v>6</v>
      </c>
      <c r="F635" s="423">
        <v>5</v>
      </c>
      <c r="G635" s="467">
        <v>3669.5999999999985</v>
      </c>
      <c r="H635" s="424">
        <f t="shared" si="380"/>
      </c>
      <c r="I635" s="424">
        <f t="shared" si="37"/>
      </c>
      <c r="J635" s="424">
        <f t="shared" si="100"/>
      </c>
      <c r="K635" s="425">
        <f t="shared" si="131"/>
      </c>
      <c r="L635" s="426">
        <f t="shared" si="191"/>
      </c>
      <c r="M635" s="427">
        <f t="shared" si="161"/>
      </c>
      <c r="N635" s="427">
        <f t="shared" si="221"/>
      </c>
      <c r="O635" s="427">
        <f t="shared" si="274"/>
      </c>
      <c r="P635" s="428">
        <f t="shared" si="327"/>
      </c>
      <c r="Q635" s="429" t="s">
        <v>777</v>
      </c>
      <c r="R635" s="430" t="s">
        <v>874</v>
      </c>
      <c r="S635" s="436">
        <v>28175</v>
      </c>
      <c r="T635" s="436">
        <v>627</v>
      </c>
      <c r="U635" s="436">
        <v>688</v>
      </c>
      <c r="V635" s="436">
        <v>116</v>
      </c>
      <c r="W635" s="435">
        <v>5</v>
      </c>
      <c r="X635" s="435">
        <v>0</v>
      </c>
      <c r="Y635" s="448">
        <v>38</v>
      </c>
      <c r="AA635" s="495" t="s">
        <v>819</v>
      </c>
      <c r="AB635" s="495"/>
      <c r="AC635" s="495"/>
      <c r="AD635" s="495"/>
      <c r="AE635" s="495"/>
      <c r="AF635" s="495"/>
      <c r="AG635" s="495"/>
      <c r="AH635" s="495"/>
      <c r="AI635" s="495"/>
      <c r="AJ635" s="495"/>
      <c r="AK635" s="495"/>
    </row>
    <row r="636">
      <c r="A636" s="420"/>
      <c r="B636" s="421" t="s">
        <v>789</v>
      </c>
      <c r="C636" s="422" t="s">
        <v>780</v>
      </c>
      <c r="D636" s="421">
        <v>3142.77</v>
      </c>
      <c r="E636" s="423">
        <v>6</v>
      </c>
      <c r="F636" s="423">
        <v>3</v>
      </c>
      <c r="G636" s="467">
        <v>4516</v>
      </c>
      <c r="H636" s="424">
        <f t="shared" si="380"/>
      </c>
      <c r="I636" s="424">
        <f t="shared" si="37"/>
      </c>
      <c r="J636" s="424">
        <f t="shared" si="100"/>
      </c>
      <c r="K636" s="425">
        <f t="shared" si="131"/>
      </c>
      <c r="L636" s="426">
        <f t="shared" si="191"/>
      </c>
      <c r="M636" s="427">
        <f t="shared" si="161"/>
      </c>
      <c r="N636" s="427">
        <f t="shared" si="221"/>
      </c>
      <c r="O636" s="427">
        <f t="shared" si="274"/>
      </c>
      <c r="P636" s="428">
        <f t="shared" si="327"/>
      </c>
      <c r="Q636" s="429" t="s">
        <v>777</v>
      </c>
      <c r="R636" s="430" t="s">
        <v>874</v>
      </c>
      <c r="S636" s="436">
        <v>28837</v>
      </c>
      <c r="T636" s="436">
        <v>515</v>
      </c>
      <c r="U636" s="436">
        <v>612</v>
      </c>
      <c r="V636" s="436">
        <v>90</v>
      </c>
      <c r="W636" s="435">
        <v>5</v>
      </c>
      <c r="X636" s="435">
        <v>1</v>
      </c>
      <c r="Y636" s="448">
        <v>30</v>
      </c>
      <c r="AA636" s="478" t="s">
        <v>809</v>
      </c>
      <c r="AB636" s="478" t="s">
        <v>820</v>
      </c>
      <c r="AC636" s="479" t="s">
        <v>821</v>
      </c>
      <c r="AD636" s="478" t="s">
        <v>822</v>
      </c>
      <c r="AE636" s="478" t="s">
        <v>823</v>
      </c>
      <c r="AF636" s="478" t="s">
        <v>824</v>
      </c>
      <c r="AG636" s="478" t="s">
        <v>825</v>
      </c>
      <c r="AH636" s="480" t="s">
        <v>764</v>
      </c>
      <c r="AI636" s="480" t="s">
        <v>826</v>
      </c>
      <c r="AJ636" s="480" t="s">
        <v>827</v>
      </c>
      <c r="AK636" s="480" t="s">
        <v>808</v>
      </c>
    </row>
    <row r="637">
      <c r="A637" s="420"/>
      <c r="B637" s="421" t="s">
        <v>789</v>
      </c>
      <c r="C637" s="422" t="s">
        <v>781</v>
      </c>
      <c r="D637" s="421">
        <v>3101.72</v>
      </c>
      <c r="E637" s="423">
        <v>5</v>
      </c>
      <c r="F637" s="423">
        <v>3</v>
      </c>
      <c r="G637" s="462">
        <v>5730</v>
      </c>
      <c r="H637" s="424">
        <f t="shared" si="380"/>
      </c>
      <c r="I637" s="424">
        <f t="shared" si="37"/>
      </c>
      <c r="J637" s="424">
        <f t="shared" si="100"/>
      </c>
      <c r="K637" s="425">
        <f t="shared" si="131"/>
      </c>
      <c r="L637" s="426">
        <f t="shared" si="191"/>
      </c>
      <c r="M637" s="427">
        <f t="shared" si="161"/>
      </c>
      <c r="N637" s="427">
        <f t="shared" si="221"/>
      </c>
      <c r="O637" s="427">
        <f t="shared" si="274"/>
      </c>
      <c r="P637" s="428">
        <f t="shared" si="327"/>
      </c>
      <c r="Q637" s="429" t="s">
        <v>777</v>
      </c>
      <c r="R637" s="430" t="s">
        <v>874</v>
      </c>
      <c r="S637" s="436">
        <v>22716</v>
      </c>
      <c r="T637" s="436">
        <v>432</v>
      </c>
      <c r="U637" s="436">
        <v>517</v>
      </c>
      <c r="V637" s="436">
        <v>68</v>
      </c>
      <c r="W637" s="435">
        <v>4</v>
      </c>
      <c r="X637" s="435">
        <v>0</v>
      </c>
      <c r="Y637" s="448">
        <v>42</v>
      </c>
      <c r="AA637" s="465">
        <f>SUM(AD631:AD634)</f>
      </c>
      <c r="AB637" s="465">
        <f>SUM(AE631:AE634)</f>
      </c>
      <c r="AC637" s="481">
        <f>AB637/((AK637*300)+AA637)</f>
      </c>
      <c r="AD637" s="482">
        <f>AA637/AJ637</f>
      </c>
      <c r="AE637" s="481">
        <f>AB637/AJ637</f>
      </c>
      <c r="AF637" s="483">
        <f>AJ637/AI637</f>
      </c>
      <c r="AG637" s="483">
        <f>AH637/AJ637</f>
      </c>
      <c r="AH637" s="484">
        <v>7</v>
      </c>
      <c r="AI637" s="484">
        <v>84</v>
      </c>
      <c r="AJ637" s="484">
        <v>54</v>
      </c>
      <c r="AK637" s="485">
        <f>SUM(AC631:AC634)</f>
      </c>
    </row>
    <row r="638">
      <c r="A638" s="420"/>
      <c r="B638" s="437" t="s">
        <v>774</v>
      </c>
      <c r="C638" s="437"/>
      <c r="D638" s="438">
        <f>SUM(D634:D637)</f>
      </c>
      <c r="E638" s="439">
        <f>SUM(E634:E637)</f>
      </c>
      <c r="F638" s="439">
        <f>SUM(F634:F637)</f>
      </c>
      <c r="G638" s="438">
        <f>SUM(G634:G637)</f>
      </c>
      <c r="H638" s="440">
        <f t="shared" si="380"/>
      </c>
      <c r="I638" s="441">
        <f t="shared" si="37"/>
      </c>
      <c r="J638" s="442">
        <f t="shared" si="100"/>
      </c>
      <c r="K638" s="443">
        <f t="shared" si="131"/>
      </c>
      <c r="L638" s="444">
        <f t="shared" si="191"/>
      </c>
      <c r="M638" s="443">
        <f t="shared" si="161"/>
      </c>
      <c r="N638" s="443">
        <f t="shared" si="221"/>
      </c>
      <c r="O638" s="445">
        <f t="shared" si="274"/>
      </c>
      <c r="P638" s="446">
        <f t="shared" si="327"/>
      </c>
      <c r="Q638" s="444"/>
      <c r="R638" s="444"/>
      <c r="S638" s="447">
        <f>SUM(S634:S637)</f>
      </c>
      <c r="T638" s="447">
        <f>SUM(T634:T637)</f>
      </c>
      <c r="U638" s="447">
        <f>SUM(U634:U637)</f>
      </c>
      <c r="V638" s="447">
        <f>SUM(V634:V637)</f>
      </c>
      <c r="W638" s="447">
        <f>SUM(W634:W637)</f>
      </c>
      <c r="X638" s="447">
        <f>SUM(X634:X637)</f>
      </c>
      <c r="Y638" s="447">
        <f>SUM(Y634:Y637)</f>
      </c>
    </row>
    <row r="639">
      <c r="A639" s="420"/>
      <c r="B639" s="421" t="s">
        <v>775</v>
      </c>
      <c r="C639" s="422" t="s">
        <v>783</v>
      </c>
      <c r="D639" s="421">
        <v>3512.8199999999924</v>
      </c>
      <c r="E639" s="423">
        <v>5</v>
      </c>
      <c r="F639" s="423">
        <v>4</v>
      </c>
      <c r="G639" s="467">
        <v>4534.9000000000015</v>
      </c>
      <c r="H639" s="424">
        <f t="shared" si="380"/>
      </c>
      <c r="I639" s="424">
        <f t="shared" si="37"/>
      </c>
      <c r="J639" s="424">
        <f t="shared" si="100"/>
      </c>
      <c r="K639" s="425">
        <f t="shared" si="131"/>
      </c>
      <c r="L639" s="426">
        <f t="shared" si="191"/>
      </c>
      <c r="M639" s="427">
        <f t="shared" si="161"/>
      </c>
      <c r="N639" s="427">
        <f t="shared" si="221"/>
      </c>
      <c r="O639" s="427">
        <f t="shared" si="274"/>
      </c>
      <c r="P639" s="428">
        <f t="shared" si="327"/>
      </c>
      <c r="Q639" s="429" t="s">
        <v>777</v>
      </c>
      <c r="R639" s="430" t="s">
        <v>874</v>
      </c>
      <c r="S639" s="436">
        <v>30967</v>
      </c>
      <c r="T639" s="436">
        <v>598</v>
      </c>
      <c r="U639" s="436">
        <v>687</v>
      </c>
      <c r="V639" s="436">
        <v>114</v>
      </c>
      <c r="W639" s="435">
        <v>7</v>
      </c>
      <c r="X639" s="435">
        <v>1</v>
      </c>
      <c r="Y639" s="448">
        <v>38</v>
      </c>
    </row>
    <row r="640">
      <c r="A640" s="420"/>
      <c r="B640" s="421" t="s">
        <v>775</v>
      </c>
      <c r="C640" s="451" t="s">
        <v>784</v>
      </c>
      <c r="D640" s="421">
        <v>3322.3099999999977</v>
      </c>
      <c r="E640" s="423">
        <v>3</v>
      </c>
      <c r="F640" s="423">
        <v>2</v>
      </c>
      <c r="G640" s="467">
        <v>4049.199999999997</v>
      </c>
      <c r="H640" s="424">
        <f t="shared" si="380"/>
      </c>
      <c r="I640" s="424">
        <f t="shared" si="37"/>
      </c>
      <c r="J640" s="424">
        <f t="shared" si="100"/>
      </c>
      <c r="K640" s="425">
        <f t="shared" si="131"/>
      </c>
      <c r="L640" s="426">
        <f t="shared" si="191"/>
      </c>
      <c r="M640" s="427">
        <f t="shared" si="161"/>
      </c>
      <c r="N640" s="427">
        <f t="shared" si="221"/>
      </c>
      <c r="O640" s="427">
        <f t="shared" si="274"/>
      </c>
      <c r="P640" s="428">
        <f t="shared" si="327"/>
      </c>
      <c r="Q640" s="429" t="s">
        <v>777</v>
      </c>
      <c r="R640" s="430" t="s">
        <v>874</v>
      </c>
      <c r="S640" s="436">
        <v>17120</v>
      </c>
      <c r="T640" s="436">
        <v>671</v>
      </c>
      <c r="U640" s="436">
        <v>765</v>
      </c>
      <c r="V640" s="436">
        <v>105</v>
      </c>
      <c r="W640" s="435">
        <v>4</v>
      </c>
      <c r="X640" s="435">
        <v>1</v>
      </c>
      <c r="Y640" s="448">
        <v>40</v>
      </c>
    </row>
    <row r="641">
      <c r="A641" s="420"/>
      <c r="B641" s="421" t="s">
        <v>775</v>
      </c>
      <c r="C641" s="451" t="s">
        <v>785</v>
      </c>
      <c r="D641" s="421">
        <v>3497.5599999999977</v>
      </c>
      <c r="E641" s="423">
        <v>3</v>
      </c>
      <c r="F641" s="423">
        <v>2</v>
      </c>
      <c r="G641" s="467">
        <v>3954</v>
      </c>
      <c r="H641" s="424">
        <f t="shared" si="380"/>
      </c>
      <c r="I641" s="424">
        <f t="shared" si="37"/>
      </c>
      <c r="J641" s="424">
        <f t="shared" si="100"/>
      </c>
      <c r="K641" s="425">
        <f t="shared" si="131"/>
      </c>
      <c r="L641" s="426">
        <f t="shared" si="191"/>
      </c>
      <c r="M641" s="427">
        <f t="shared" si="161"/>
      </c>
      <c r="N641" s="427">
        <f t="shared" si="221"/>
      </c>
      <c r="O641" s="427">
        <f t="shared" si="274"/>
      </c>
      <c r="P641" s="428">
        <f t="shared" si="327"/>
      </c>
      <c r="Q641" s="429" t="s">
        <v>777</v>
      </c>
      <c r="R641" s="430" t="s">
        <v>874</v>
      </c>
      <c r="S641" s="436">
        <v>17871</v>
      </c>
      <c r="T641" s="436">
        <v>610</v>
      </c>
      <c r="U641" s="436">
        <v>715</v>
      </c>
      <c r="V641" s="436">
        <v>83</v>
      </c>
      <c r="W641" s="435">
        <v>4</v>
      </c>
      <c r="X641" s="435">
        <v>0</v>
      </c>
      <c r="Y641" s="448">
        <v>28</v>
      </c>
    </row>
    <row r="642">
      <c r="A642" s="420"/>
      <c r="B642" s="421" t="s">
        <v>775</v>
      </c>
      <c r="C642" s="451" t="s">
        <v>786</v>
      </c>
      <c r="D642" s="421">
        <v>2267.4100000000035</v>
      </c>
      <c r="E642" s="423">
        <v>2</v>
      </c>
      <c r="F642" s="423">
        <v>2</v>
      </c>
      <c r="G642" s="462">
        <v>4041.5999999999985</v>
      </c>
      <c r="H642" s="424">
        <f t="shared" si="380"/>
      </c>
      <c r="I642" s="424">
        <f t="shared" si="37"/>
      </c>
      <c r="J642" s="424">
        <f t="shared" si="100"/>
      </c>
      <c r="K642" s="425">
        <f t="shared" si="131"/>
      </c>
      <c r="L642" s="426">
        <f t="shared" si="191"/>
      </c>
      <c r="M642" s="427">
        <f t="shared" si="161"/>
      </c>
      <c r="N642" s="427">
        <f t="shared" si="221"/>
      </c>
      <c r="O642" s="427">
        <f t="shared" si="274"/>
      </c>
      <c r="P642" s="428">
        <f t="shared" si="327"/>
      </c>
      <c r="Q642" s="429" t="s">
        <v>777</v>
      </c>
      <c r="R642" s="430" t="s">
        <v>874</v>
      </c>
      <c r="S642" s="436">
        <v>13852</v>
      </c>
      <c r="T642" s="436">
        <v>538</v>
      </c>
      <c r="U642" s="436">
        <v>611</v>
      </c>
      <c r="V642" s="436">
        <v>64</v>
      </c>
      <c r="W642" s="435">
        <v>3</v>
      </c>
      <c r="X642" s="435">
        <v>1</v>
      </c>
      <c r="Y642" s="448">
        <v>23</v>
      </c>
    </row>
    <row r="643">
      <c r="A643" s="420"/>
      <c r="B643" s="437" t="s">
        <v>774</v>
      </c>
      <c r="C643" s="437"/>
      <c r="D643" s="438">
        <f>SUM(D639:D642)</f>
      </c>
      <c r="E643" s="438">
        <f>SUM(E639:E642)</f>
      </c>
      <c r="F643" s="438">
        <f>SUM(F639:F642)</f>
      </c>
      <c r="G643" s="438">
        <f>SUM(G639:G642)</f>
      </c>
      <c r="H643" s="440">
        <f t="shared" si="380"/>
      </c>
      <c r="I643" s="441">
        <f t="shared" si="37"/>
      </c>
      <c r="J643" s="442">
        <f t="shared" si="100"/>
      </c>
      <c r="K643" s="443">
        <f t="shared" si="131"/>
      </c>
      <c r="L643" s="444">
        <f t="shared" si="191"/>
      </c>
      <c r="M643" s="443">
        <f t="shared" si="161"/>
      </c>
      <c r="N643" s="443">
        <f t="shared" si="221"/>
      </c>
      <c r="O643" s="445">
        <f t="shared" si="274"/>
      </c>
      <c r="P643" s="446">
        <f t="shared" si="327"/>
      </c>
      <c r="Q643" s="444"/>
      <c r="R643" s="444"/>
      <c r="S643" s="447">
        <f>SUM(S639:S642)</f>
      </c>
      <c r="T643" s="447">
        <f>SUM(T639:T642)</f>
      </c>
      <c r="U643" s="447">
        <f>SUM(U639:U642)</f>
      </c>
      <c r="V643" s="447">
        <f>SUM(V639:V642)</f>
      </c>
      <c r="W643" s="447">
        <f>SUM(W639:W642)</f>
      </c>
      <c r="X643" s="447">
        <f>SUM(X639:X642)</f>
      </c>
      <c r="Y643" s="447">
        <f>SUM(Y639:Y642)</f>
      </c>
    </row>
    <row r="644">
      <c r="A644" s="420"/>
      <c r="B644" s="452" t="s">
        <v>787</v>
      </c>
      <c r="C644" s="452"/>
      <c r="D644" s="466">
        <f>D628+D633+D643+D638</f>
      </c>
      <c r="E644" s="466">
        <f>E628+E633+E643+E638</f>
      </c>
      <c r="F644" s="466">
        <f>F628+F633+F643+F638</f>
      </c>
      <c r="G644" s="466">
        <f>G628+G633+G643+G638</f>
      </c>
      <c r="H644" s="452">
        <f t="shared" si="380"/>
      </c>
      <c r="I644" s="452">
        <f t="shared" si="37"/>
      </c>
      <c r="J644" s="452">
        <f t="shared" si="100"/>
      </c>
      <c r="K644" s="455">
        <f t="shared" si="131"/>
      </c>
      <c r="L644" s="452">
        <f t="shared" si="191"/>
      </c>
      <c r="M644" s="455">
        <f t="shared" si="161"/>
      </c>
      <c r="N644" s="455">
        <f t="shared" si="221"/>
      </c>
      <c r="O644" s="455">
        <f t="shared" si="274"/>
      </c>
      <c r="P644" s="452">
        <f t="shared" si="327"/>
      </c>
      <c r="Q644" s="456"/>
      <c r="R644" s="456"/>
      <c r="S644" s="454">
        <f>S628+S633+S643+S638</f>
      </c>
      <c r="T644" s="454">
        <f>T628+T633+T643+T638</f>
      </c>
      <c r="U644" s="454">
        <f>U628+U633+U643+U638</f>
      </c>
      <c r="V644" s="454">
        <f>V628+V633+V643+V638</f>
      </c>
      <c r="W644" s="454">
        <f>W628+W633+W643+W638</f>
      </c>
      <c r="X644" s="454">
        <f>X628+X633+X643+X638</f>
      </c>
      <c r="Y644" s="454">
        <f>Y628+Y633+Y643+Y638</f>
      </c>
    </row>
    <row r="645">
      <c r="A645" s="405" t="s">
        <v>738</v>
      </c>
      <c r="B645" s="405"/>
      <c r="C645" s="405"/>
      <c r="D645" s="406" t="s">
        <v>739</v>
      </c>
      <c r="E645" s="406"/>
      <c r="F645" s="406"/>
      <c r="G645" s="406"/>
      <c r="H645" s="406"/>
      <c r="I645" s="406"/>
      <c r="J645" s="406"/>
      <c r="K645" s="407" t="s">
        <v>740</v>
      </c>
      <c r="L645" s="407"/>
      <c r="M645" s="407"/>
      <c r="N645" s="407"/>
      <c r="O645" s="407"/>
      <c r="P645" s="407"/>
      <c r="Q645" s="407"/>
      <c r="R645" s="407"/>
      <c r="S645" s="408" t="s">
        <v>741</v>
      </c>
      <c r="T645" s="408"/>
      <c r="U645" s="408"/>
      <c r="V645" s="408"/>
      <c r="W645" s="408"/>
      <c r="X645" s="408"/>
      <c r="Y645" s="408"/>
      <c r="Z645" s="423"/>
      <c r="AA645" s="507" t="s">
        <v>880</v>
      </c>
      <c r="AB645" s="501"/>
      <c r="AC645" s="501"/>
      <c r="AD645" s="501"/>
      <c r="AE645" s="501"/>
      <c r="AF645" s="501"/>
      <c r="AG645" s="501"/>
      <c r="AH645" s="501"/>
      <c r="AI645" s="501"/>
      <c r="AJ645" s="501"/>
      <c r="AK645" s="501"/>
    </row>
    <row r="646">
      <c r="A646" s="409" t="s">
        <v>742</v>
      </c>
      <c r="B646" s="409" t="s">
        <v>743</v>
      </c>
      <c r="C646" s="409" t="s">
        <v>744</v>
      </c>
      <c r="D646" s="410" t="s">
        <v>745</v>
      </c>
      <c r="E646" s="411" t="s">
        <v>746</v>
      </c>
      <c r="F646" s="463" t="s">
        <v>792</v>
      </c>
      <c r="G646" s="410" t="s">
        <v>747</v>
      </c>
      <c r="H646" s="412" t="s">
        <v>748</v>
      </c>
      <c r="I646" s="413" t="s">
        <v>749</v>
      </c>
      <c r="J646" s="410" t="s">
        <v>750</v>
      </c>
      <c r="K646" s="414" t="s">
        <v>751</v>
      </c>
      <c r="L646" s="415" t="s">
        <v>752</v>
      </c>
      <c r="M646" s="414" t="s">
        <v>753</v>
      </c>
      <c r="N646" s="414" t="s">
        <v>754</v>
      </c>
      <c r="O646" s="416" t="s">
        <v>755</v>
      </c>
      <c r="P646" s="416" t="s">
        <v>756</v>
      </c>
      <c r="Q646" s="417" t="s">
        <v>757</v>
      </c>
      <c r="R646" s="417" t="s">
        <v>758</v>
      </c>
      <c r="S646" s="431" t="s">
        <v>759</v>
      </c>
      <c r="T646" s="431" t="s">
        <v>760</v>
      </c>
      <c r="U646" s="431" t="s">
        <v>761</v>
      </c>
      <c r="V646" s="431" t="s">
        <v>762</v>
      </c>
      <c r="W646" s="431" t="s">
        <v>763</v>
      </c>
      <c r="X646" s="431" t="s">
        <v>764</v>
      </c>
      <c r="Y646" s="419" t="s">
        <v>765</v>
      </c>
      <c r="Z646" s="423"/>
      <c r="AA646" s="502" t="s">
        <v>806</v>
      </c>
      <c r="AB646" s="502" t="s">
        <v>807</v>
      </c>
      <c r="AC646" s="502" t="s">
        <v>808</v>
      </c>
      <c r="AD646" s="502" t="s">
        <v>809</v>
      </c>
      <c r="AE646" s="502" t="s">
        <v>810</v>
      </c>
      <c r="AF646" s="502" t="s">
        <v>811</v>
      </c>
      <c r="AG646" s="502" t="s">
        <v>750</v>
      </c>
      <c r="AH646" s="502" t="s">
        <v>812</v>
      </c>
      <c r="AI646" s="502" t="s">
        <v>748</v>
      </c>
      <c r="AJ646" s="502" t="s">
        <v>813</v>
      </c>
      <c r="AK646" s="502"/>
    </row>
    <row customHeight="true" ht="16.666666666666668" r="647">
      <c r="A647" s="420" t="s">
        <v>881</v>
      </c>
      <c r="B647" s="421" t="s">
        <v>782</v>
      </c>
      <c r="C647" s="451" t="s">
        <v>794</v>
      </c>
      <c r="D647" s="421">
        <v>5502.51</v>
      </c>
      <c r="E647" s="423">
        <v>6</v>
      </c>
      <c r="F647" s="423">
        <v>4</v>
      </c>
      <c r="G647" s="467">
        <v>6101.700000000001</v>
      </c>
      <c r="H647" s="424">
        <f t="shared" ref="H647:H666" si="381">G647/D647</f>
      </c>
      <c r="I647" s="424">
        <f>D647/E647</f>
      </c>
      <c r="J647" s="424">
        <f>G647/E647</f>
      </c>
      <c r="K647" s="425">
        <f t="shared" ref="K647:K666" si="132">T647/S647</f>
      </c>
      <c r="L647" s="426">
        <f t="shared" ref="L647:L666" si="192">D647/U647</f>
      </c>
      <c r="M647" s="427">
        <f t="shared" ref="M647:M666" si="162">V647/U647</f>
      </c>
      <c r="N647" s="427">
        <f t="shared" ref="N647:N666" si="222">E647/W647</f>
      </c>
      <c r="O647" s="427">
        <f t="shared" ref="O647:O666" si="275">X647/E647</f>
      </c>
      <c r="P647" s="428">
        <f t="shared" ref="P647:P666" si="328">(Y647*1000)/D647</f>
      </c>
      <c r="Q647" s="429" t="s">
        <v>769</v>
      </c>
      <c r="R647" s="430" t="s">
        <v>869</v>
      </c>
      <c r="S647" s="461">
        <v>20148</v>
      </c>
      <c r="T647" s="461">
        <v>1443</v>
      </c>
      <c r="U647" s="461">
        <v>1659</v>
      </c>
      <c r="V647" s="461">
        <v>137</v>
      </c>
      <c r="W647" s="461">
        <v>10</v>
      </c>
      <c r="X647" s="461">
        <v>1</v>
      </c>
      <c r="Y647" s="461">
        <v>101</v>
      </c>
      <c r="Z647" s="423"/>
      <c r="AA647" s="472" t="s">
        <v>782</v>
      </c>
      <c r="AB647" s="503" t="s">
        <v>845</v>
      </c>
      <c r="AC647" s="472">
        <v>5</v>
      </c>
      <c r="AD647" s="474">
        <v>16663.44</v>
      </c>
      <c r="AE647" s="474">
        <v>19313.8</v>
      </c>
      <c r="AF647" s="472">
        <v>21</v>
      </c>
      <c r="AG647" s="475">
        <f t="shared" ref="AG647:AG649" si="245">AE647/AF647</f>
      </c>
      <c r="AH647" s="475">
        <f t="shared" ref="AH647:AH649" si="298">AD647/AF647</f>
      </c>
      <c r="AI647" s="475">
        <f t="shared" ref="AI647:AI649" si="351">AE647/AD647</f>
      </c>
      <c r="AJ647" s="474">
        <f>AD647/AC647</f>
      </c>
      <c r="AK647" s="474"/>
    </row>
    <row customHeight="true" ht="16.666666666666668" r="648">
      <c r="A648" s="420"/>
      <c r="B648" s="421" t="s">
        <v>782</v>
      </c>
      <c r="C648" s="421" t="s">
        <v>796</v>
      </c>
      <c r="D648" s="421">
        <v>3375.5199999999986</v>
      </c>
      <c r="E648" s="423">
        <v>3</v>
      </c>
      <c r="F648" s="423">
        <v>2</v>
      </c>
      <c r="G648" s="467">
        <v>2118.7999999999993</v>
      </c>
      <c r="H648" s="424">
        <f t="shared" si="381"/>
      </c>
      <c r="I648" s="424">
        <v>2161</v>
      </c>
      <c r="J648" s="424">
        <v>234</v>
      </c>
      <c r="K648" s="425">
        <f t="shared" si="132"/>
      </c>
      <c r="L648" s="426">
        <f t="shared" si="192"/>
      </c>
      <c r="M648" s="427">
        <f t="shared" si="162"/>
      </c>
      <c r="N648" s="427">
        <f t="shared" si="222"/>
      </c>
      <c r="O648" s="427">
        <f t="shared" si="275"/>
      </c>
      <c r="P648" s="428">
        <f t="shared" si="328"/>
      </c>
      <c r="Q648" s="429" t="s">
        <v>769</v>
      </c>
      <c r="R648" s="430" t="s">
        <v>869</v>
      </c>
      <c r="S648" s="461">
        <v>12486</v>
      </c>
      <c r="T648" s="461">
        <v>850</v>
      </c>
      <c r="U648" s="461">
        <v>1008</v>
      </c>
      <c r="V648" s="461">
        <v>125</v>
      </c>
      <c r="W648" s="461">
        <v>3</v>
      </c>
      <c r="X648" s="461">
        <v>0</v>
      </c>
      <c r="Y648" s="461">
        <v>52</v>
      </c>
      <c r="Z648" s="423"/>
      <c r="AA648" s="472" t="s">
        <v>789</v>
      </c>
      <c r="AB648" s="503" t="s">
        <v>846</v>
      </c>
      <c r="AC648" s="472">
        <v>5</v>
      </c>
      <c r="AD648" s="474">
        <v>11457.560000000001</v>
      </c>
      <c r="AE648" s="474">
        <v>7502.4000000000015</v>
      </c>
      <c r="AF648" s="472">
        <v>6</v>
      </c>
      <c r="AG648" s="475">
        <f t="shared" si="245"/>
      </c>
      <c r="AH648" s="475">
        <f t="shared" si="298"/>
      </c>
      <c r="AI648" s="475">
        <f t="shared" si="351"/>
      </c>
      <c r="AJ648" s="474">
        <f t="shared" ref="AJ648:AJ649" si="62">AD648/4</f>
      </c>
      <c r="AK648" s="474"/>
    </row>
    <row customHeight="true" ht="16.666666666666668" r="649">
      <c r="A649" s="420"/>
      <c r="B649" s="421" t="s">
        <v>782</v>
      </c>
      <c r="C649" s="421" t="s">
        <v>797</v>
      </c>
      <c r="D649" s="421">
        <v>2316.4500000000007</v>
      </c>
      <c r="E649" s="423">
        <v>2</v>
      </c>
      <c r="F649" s="423">
        <v>2</v>
      </c>
      <c r="G649" s="467">
        <v>1816.800000000001</v>
      </c>
      <c r="H649" s="424">
        <f t="shared" si="381"/>
      </c>
      <c r="I649" s="424">
        <f t="shared" ref="I649:I654" si="38">D649/E649</f>
      </c>
      <c r="J649" s="424">
        <f t="shared" ref="J649:J654" si="101">G649/E649</f>
      </c>
      <c r="K649" s="425">
        <f t="shared" si="132"/>
      </c>
      <c r="L649" s="426">
        <f t="shared" si="192"/>
      </c>
      <c r="M649" s="427">
        <f t="shared" si="162"/>
      </c>
      <c r="N649" s="427">
        <f t="shared" si="222"/>
      </c>
      <c r="O649" s="427">
        <f t="shared" si="275"/>
      </c>
      <c r="P649" s="428">
        <f t="shared" si="328"/>
      </c>
      <c r="Q649" s="429" t="s">
        <v>769</v>
      </c>
      <c r="R649" s="430" t="s">
        <v>869</v>
      </c>
      <c r="S649" s="461">
        <v>7353</v>
      </c>
      <c r="T649" s="461">
        <v>627</v>
      </c>
      <c r="U649" s="461">
        <v>778</v>
      </c>
      <c r="V649" s="461">
        <v>73</v>
      </c>
      <c r="W649" s="461">
        <v>2</v>
      </c>
      <c r="X649" s="461">
        <v>0</v>
      </c>
      <c r="Y649" s="461">
        <v>47</v>
      </c>
      <c r="Z649" s="423"/>
      <c r="AA649" s="472" t="s">
        <v>775</v>
      </c>
      <c r="AB649" s="503" t="s">
        <v>847</v>
      </c>
      <c r="AC649" s="472">
        <v>6</v>
      </c>
      <c r="AD649" s="474">
        <v>11791.89</v>
      </c>
      <c r="AE649" s="474">
        <v>12759.600000000002</v>
      </c>
      <c r="AF649" s="508">
        <v>10</v>
      </c>
      <c r="AG649" s="475">
        <f t="shared" si="245"/>
      </c>
      <c r="AH649" s="475">
        <f t="shared" si="298"/>
      </c>
      <c r="AI649" s="475">
        <f t="shared" si="351"/>
      </c>
      <c r="AJ649" s="474">
        <f t="shared" si="62"/>
      </c>
      <c r="AK649" s="474"/>
    </row>
    <row customHeight="true" ht="16.666666666666668" r="650">
      <c r="A650" s="420"/>
      <c r="B650" s="421" t="s">
        <v>782</v>
      </c>
      <c r="C650" s="421" t="s">
        <v>798</v>
      </c>
      <c r="D650" s="421">
        <v>2457.630000000001</v>
      </c>
      <c r="E650" s="423">
        <v>4</v>
      </c>
      <c r="F650" s="423">
        <v>4</v>
      </c>
      <c r="G650" s="462">
        <v>3935.999999999998</v>
      </c>
      <c r="H650" s="424">
        <f t="shared" si="381"/>
      </c>
      <c r="I650" s="424">
        <f t="shared" si="38"/>
      </c>
      <c r="J650" s="424">
        <f t="shared" si="101"/>
      </c>
      <c r="K650" s="425">
        <f t="shared" si="132"/>
      </c>
      <c r="L650" s="426">
        <f t="shared" si="192"/>
      </c>
      <c r="M650" s="427">
        <f t="shared" si="162"/>
      </c>
      <c r="N650" s="427">
        <f t="shared" si="222"/>
      </c>
      <c r="O650" s="427">
        <f t="shared" si="275"/>
      </c>
      <c r="P650" s="428">
        <f t="shared" si="328"/>
      </c>
      <c r="Q650" s="429" t="s">
        <v>769</v>
      </c>
      <c r="R650" s="430" t="s">
        <v>869</v>
      </c>
      <c r="S650" s="461">
        <v>7409</v>
      </c>
      <c r="T650" s="461">
        <v>683</v>
      </c>
      <c r="U650" s="461">
        <v>855</v>
      </c>
      <c r="V650" s="461">
        <v>89</v>
      </c>
      <c r="W650" s="461">
        <v>7</v>
      </c>
      <c r="X650" s="435">
        <v>0</v>
      </c>
      <c r="Y650" s="435">
        <v>56</v>
      </c>
      <c r="Z650" s="423"/>
      <c r="AA650" s="504" t="s">
        <v>819</v>
      </c>
      <c r="AB650" s="504"/>
      <c r="AC650" s="504"/>
      <c r="AD650" s="504"/>
      <c r="AE650" s="504"/>
      <c r="AF650" s="504"/>
      <c r="AG650" s="504"/>
      <c r="AH650" s="504"/>
      <c r="AI650" s="504"/>
      <c r="AJ650" s="504"/>
      <c r="AK650" s="504"/>
    </row>
    <row customHeight="true" ht="16.666666666666668" r="651">
      <c r="A651" s="420"/>
      <c r="B651" s="421" t="s">
        <v>782</v>
      </c>
      <c r="C651" s="422" t="s">
        <v>768</v>
      </c>
      <c r="D651" s="421">
        <v>3011.329999999998</v>
      </c>
      <c r="E651" s="423">
        <v>6</v>
      </c>
      <c r="F651" s="423">
        <v>3</v>
      </c>
      <c r="G651" s="462">
        <v>5340.5</v>
      </c>
      <c r="H651" s="424">
        <f t="shared" si="381"/>
      </c>
      <c r="I651" s="424">
        <f t="shared" si="38"/>
      </c>
      <c r="J651" s="424">
        <f t="shared" si="101"/>
      </c>
      <c r="K651" s="425">
        <f t="shared" si="132"/>
      </c>
      <c r="L651" s="426">
        <f t="shared" si="192"/>
      </c>
      <c r="M651" s="427">
        <f t="shared" si="162"/>
      </c>
      <c r="N651" s="427">
        <f t="shared" si="222"/>
      </c>
      <c r="O651" s="427">
        <f t="shared" si="275"/>
      </c>
      <c r="P651" s="428">
        <f t="shared" si="328"/>
      </c>
      <c r="Q651" s="429" t="s">
        <v>769</v>
      </c>
      <c r="R651" s="430" t="s">
        <v>869</v>
      </c>
      <c r="S651" s="461">
        <v>6981</v>
      </c>
      <c r="T651" s="461">
        <v>786</v>
      </c>
      <c r="U651" s="461">
        <v>955</v>
      </c>
      <c r="V651" s="461">
        <v>89</v>
      </c>
      <c r="W651" s="461">
        <v>7</v>
      </c>
      <c r="X651" s="435">
        <v>2</v>
      </c>
      <c r="Y651" s="435">
        <v>34</v>
      </c>
      <c r="Z651" s="423"/>
      <c r="AA651" s="505" t="s">
        <v>809</v>
      </c>
      <c r="AB651" s="505" t="s">
        <v>820</v>
      </c>
      <c r="AC651" s="505" t="s">
        <v>821</v>
      </c>
      <c r="AD651" s="505" t="s">
        <v>822</v>
      </c>
      <c r="AE651" s="505" t="s">
        <v>823</v>
      </c>
      <c r="AF651" s="505" t="s">
        <v>824</v>
      </c>
      <c r="AG651" s="505" t="s">
        <v>825</v>
      </c>
      <c r="AH651" s="506" t="s">
        <v>764</v>
      </c>
      <c r="AI651" s="506" t="s">
        <v>826</v>
      </c>
      <c r="AJ651" s="506" t="s">
        <v>827</v>
      </c>
      <c r="AK651" s="506" t="s">
        <v>808</v>
      </c>
    </row>
    <row customHeight="true" ht="16.666666666666668" r="652">
      <c r="A652" s="420"/>
      <c r="B652" s="437" t="s">
        <v>774</v>
      </c>
      <c r="C652" s="437"/>
      <c r="D652" s="438">
        <f>SUM(D647:D651)</f>
      </c>
      <c r="E652" s="438">
        <f>SUM(E647:E651)</f>
      </c>
      <c r="F652" s="438">
        <f>SUM(F647:F651)</f>
      </c>
      <c r="G652" s="438">
        <f>SUM(G647:G651)</f>
      </c>
      <c r="H652" s="440">
        <f t="shared" si="381"/>
      </c>
      <c r="I652" s="441">
        <f t="shared" si="38"/>
      </c>
      <c r="J652" s="442">
        <f t="shared" si="101"/>
      </c>
      <c r="K652" s="443">
        <f t="shared" si="132"/>
      </c>
      <c r="L652" s="444">
        <f t="shared" si="192"/>
      </c>
      <c r="M652" s="443">
        <f t="shared" si="162"/>
      </c>
      <c r="N652" s="443">
        <f t="shared" si="222"/>
      </c>
      <c r="O652" s="445">
        <f t="shared" si="275"/>
      </c>
      <c r="P652" s="446">
        <f t="shared" si="328"/>
      </c>
      <c r="Q652" s="444"/>
      <c r="R652" s="444"/>
      <c r="S652" s="447">
        <f>SUM(S647:S651)</f>
      </c>
      <c r="T652" s="447">
        <f>SUM(T647:T651)</f>
      </c>
      <c r="U652" s="447">
        <f>SUM(U647:U651)</f>
      </c>
      <c r="V652" s="447">
        <f>SUM(V647:V651)</f>
      </c>
      <c r="W652" s="447">
        <f>SUM(W647:W651)</f>
      </c>
      <c r="X652" s="447">
        <f>SUM(X647:X651)</f>
      </c>
      <c r="Y652" s="447">
        <f>SUM(Y647:Y651)</f>
      </c>
      <c r="Z652" s="423">
        <v>133</v>
      </c>
      <c r="AA652" s="465">
        <f>SUM(AD647:AD649)</f>
      </c>
      <c r="AB652" s="465">
        <f>SUM(AE647:AE649)</f>
      </c>
      <c r="AC652" s="481">
        <f>AB652/((AK652*300)+AA652)</f>
      </c>
      <c r="AD652" s="482">
        <f>AA652/AJ652</f>
      </c>
      <c r="AE652" s="481">
        <f>AB652/AJ652</f>
      </c>
      <c r="AF652" s="483">
        <f>AJ652/AI652</f>
      </c>
      <c r="AG652" s="483">
        <f>AH652/AJ652</f>
      </c>
      <c r="AH652" s="484"/>
      <c r="AI652" s="484"/>
      <c r="AJ652" s="484"/>
      <c r="AK652" s="485">
        <f>SUM(AC647:AC649)</f>
      </c>
    </row>
    <row customHeight="true" ht="16.666666666666668" r="653">
      <c r="A653" s="420"/>
      <c r="B653" s="421" t="s">
        <v>789</v>
      </c>
      <c r="C653" s="433" t="s">
        <v>771</v>
      </c>
      <c r="D653" s="421">
        <v>2281.2800000000025</v>
      </c>
      <c r="E653" s="423">
        <v>0</v>
      </c>
      <c r="F653" s="423">
        <v>0</v>
      </c>
      <c r="G653" s="467">
        <v>0</v>
      </c>
      <c r="H653" s="424">
        <f t="shared" si="381"/>
      </c>
      <c r="I653" s="424">
        <f t="shared" si="38"/>
      </c>
      <c r="J653" s="424">
        <f t="shared" si="101"/>
      </c>
      <c r="K653" s="425">
        <f t="shared" si="132"/>
      </c>
      <c r="L653" s="426">
        <f t="shared" si="192"/>
      </c>
      <c r="M653" s="427">
        <f t="shared" si="162"/>
      </c>
      <c r="N653" s="427">
        <f t="shared" si="222"/>
      </c>
      <c r="O653" s="427">
        <f t="shared" si="275"/>
      </c>
      <c r="P653" s="428">
        <f t="shared" si="328"/>
      </c>
      <c r="Q653" s="429" t="s">
        <v>777</v>
      </c>
      <c r="R653" s="430" t="s">
        <v>869</v>
      </c>
      <c r="S653" s="436">
        <v>6611</v>
      </c>
      <c r="T653" s="436">
        <v>767</v>
      </c>
      <c r="U653" s="436">
        <v>929</v>
      </c>
      <c r="V653" s="436">
        <v>92</v>
      </c>
      <c r="W653" s="435">
        <v>3</v>
      </c>
      <c r="X653" s="435">
        <v>0</v>
      </c>
      <c r="Y653" s="448">
        <v>34</v>
      </c>
      <c r="Z653" s="423">
        <f>206-Z652</f>
      </c>
      <c r="AA653" s="423"/>
    </row>
    <row customHeight="true" ht="16.666666666666668" r="654">
      <c r="A654" s="420"/>
      <c r="B654" s="421" t="s">
        <v>789</v>
      </c>
      <c r="C654" s="433" t="s">
        <v>772</v>
      </c>
      <c r="D654" s="421">
        <v>2562.6500000000015</v>
      </c>
      <c r="E654" s="423">
        <v>5</v>
      </c>
      <c r="F654" s="423">
        <v>2</v>
      </c>
      <c r="G654" s="467">
        <v>6304.799999999999</v>
      </c>
      <c r="H654" s="424">
        <f t="shared" si="381"/>
      </c>
      <c r="I654" s="424">
        <f t="shared" si="38"/>
      </c>
      <c r="J654" s="424">
        <f t="shared" si="101"/>
      </c>
      <c r="K654" s="425">
        <f t="shared" si="132"/>
      </c>
      <c r="L654" s="426">
        <f t="shared" si="192"/>
      </c>
      <c r="M654" s="427">
        <f t="shared" si="162"/>
      </c>
      <c r="N654" s="427">
        <f t="shared" si="222"/>
      </c>
      <c r="O654" s="427">
        <f t="shared" si="275"/>
      </c>
      <c r="P654" s="428">
        <f t="shared" si="328"/>
      </c>
      <c r="Q654" s="429" t="s">
        <v>777</v>
      </c>
      <c r="R654" s="430" t="s">
        <v>869</v>
      </c>
      <c r="S654" s="436">
        <v>6765</v>
      </c>
      <c r="T654" s="436">
        <v>858</v>
      </c>
      <c r="U654" s="436">
        <v>983</v>
      </c>
      <c r="V654" s="436">
        <v>99</v>
      </c>
      <c r="W654" s="435">
        <v>7</v>
      </c>
      <c r="X654" s="435">
        <v>0</v>
      </c>
      <c r="Y654" s="448">
        <v>60</v>
      </c>
      <c r="Z654" s="423">
        <f>260-Z653-Z652</f>
      </c>
      <c r="AA654" s="423"/>
    </row>
    <row customHeight="true" ht="16.666666666666668" r="655">
      <c r="A655" s="420"/>
      <c r="B655" s="421" t="s">
        <v>789</v>
      </c>
      <c r="C655" s="433" t="s">
        <v>773</v>
      </c>
      <c r="D655" s="421">
        <v>2472.86</v>
      </c>
      <c r="E655" s="423">
        <v>0</v>
      </c>
      <c r="F655" s="423">
        <v>0</v>
      </c>
      <c r="G655" s="467">
        <v>0</v>
      </c>
      <c r="H655" s="424">
        <f t="shared" si="381"/>
      </c>
      <c r="I655" s="424">
        <v>1323</v>
      </c>
      <c r="J655" s="424">
        <v>145</v>
      </c>
      <c r="K655" s="425">
        <f t="shared" si="132"/>
      </c>
      <c r="L655" s="426">
        <f t="shared" si="192"/>
      </c>
      <c r="M655" s="427">
        <f t="shared" si="162"/>
      </c>
      <c r="N655" s="427">
        <f t="shared" si="222"/>
      </c>
      <c r="O655" s="427">
        <f t="shared" si="275"/>
      </c>
      <c r="P655" s="428">
        <f t="shared" si="328"/>
      </c>
      <c r="Q655" s="429" t="s">
        <v>777</v>
      </c>
      <c r="R655" s="430" t="s">
        <v>869</v>
      </c>
      <c r="S655" s="436">
        <v>6321</v>
      </c>
      <c r="T655" s="436">
        <v>740</v>
      </c>
      <c r="U655" s="436">
        <v>901</v>
      </c>
      <c r="V655" s="436">
        <v>79</v>
      </c>
      <c r="W655" s="435">
        <v>0</v>
      </c>
      <c r="X655" s="435">
        <v>0</v>
      </c>
      <c r="Y655" s="448">
        <v>31</v>
      </c>
      <c r="Z655" s="423"/>
      <c r="AA655" s="423"/>
    </row>
    <row customHeight="true" ht="16.666666666666668" r="656">
      <c r="A656" s="420"/>
      <c r="B656" s="421" t="s">
        <v>789</v>
      </c>
      <c r="C656" s="433" t="s">
        <v>776</v>
      </c>
      <c r="D656" s="421">
        <v>2086.97</v>
      </c>
      <c r="E656" s="423">
        <v>0</v>
      </c>
      <c r="F656" s="423">
        <v>0</v>
      </c>
      <c r="G656" s="462">
        <v>0</v>
      </c>
      <c r="H656" s="424">
        <f t="shared" si="381"/>
      </c>
      <c r="I656" s="424">
        <f t="shared" ref="I656:I666" si="39">D656/E656</f>
      </c>
      <c r="J656" s="424">
        <f t="shared" ref="J656:J666" si="102">G656/E656</f>
      </c>
      <c r="K656" s="425">
        <f t="shared" si="132"/>
      </c>
      <c r="L656" s="426">
        <f t="shared" si="192"/>
      </c>
      <c r="M656" s="427">
        <f t="shared" si="162"/>
      </c>
      <c r="N656" s="427">
        <f t="shared" si="222"/>
      </c>
      <c r="O656" s="427">
        <f t="shared" si="275"/>
      </c>
      <c r="P656" s="428">
        <f t="shared" si="328"/>
      </c>
      <c r="Q656" s="429" t="s">
        <v>777</v>
      </c>
      <c r="R656" s="430" t="s">
        <v>791</v>
      </c>
      <c r="S656" s="435">
        <v>6923</v>
      </c>
      <c r="T656" s="436">
        <v>642</v>
      </c>
      <c r="U656" s="436">
        <v>751</v>
      </c>
      <c r="V656" s="436">
        <v>58</v>
      </c>
      <c r="W656" s="435">
        <v>2</v>
      </c>
      <c r="X656" s="435">
        <v>0</v>
      </c>
      <c r="Y656" s="448">
        <v>30</v>
      </c>
      <c r="Z656" s="423"/>
      <c r="AA656" s="423"/>
    </row>
    <row customHeight="true" ht="16.666666666666668" r="657">
      <c r="A657" s="420"/>
      <c r="B657" s="421" t="s">
        <v>789</v>
      </c>
      <c r="C657" s="422" t="s">
        <v>779</v>
      </c>
      <c r="D657" s="421">
        <v>2125.42</v>
      </c>
      <c r="E657" s="423">
        <v>1</v>
      </c>
      <c r="F657" s="423">
        <v>1</v>
      </c>
      <c r="G657" s="462">
        <v>1197.6000000000022</v>
      </c>
      <c r="H657" s="424">
        <f t="shared" si="381"/>
      </c>
      <c r="I657" s="424">
        <f t="shared" si="39"/>
      </c>
      <c r="J657" s="424">
        <f t="shared" si="102"/>
      </c>
      <c r="K657" s="425">
        <f t="shared" si="132"/>
      </c>
      <c r="L657" s="426">
        <f t="shared" si="192"/>
      </c>
      <c r="M657" s="427">
        <f t="shared" si="162"/>
      </c>
      <c r="N657" s="427">
        <f t="shared" si="222"/>
      </c>
      <c r="O657" s="427">
        <f t="shared" si="275"/>
      </c>
      <c r="P657" s="428">
        <f t="shared" si="328"/>
      </c>
      <c r="Q657" s="429" t="s">
        <v>777</v>
      </c>
      <c r="R657" s="430" t="s">
        <v>791</v>
      </c>
      <c r="S657" s="435">
        <v>7461</v>
      </c>
      <c r="T657" s="436">
        <v>671</v>
      </c>
      <c r="U657" s="436">
        <v>791</v>
      </c>
      <c r="V657" s="436">
        <v>81</v>
      </c>
      <c r="W657" s="435">
        <v>2</v>
      </c>
      <c r="X657" s="435">
        <v>0</v>
      </c>
      <c r="Y657" s="448">
        <v>34</v>
      </c>
      <c r="Z657" s="423"/>
      <c r="AA657" s="423"/>
    </row>
    <row customHeight="true" ht="16.666666666666668" r="658">
      <c r="A658" s="420"/>
      <c r="B658" s="437" t="s">
        <v>774</v>
      </c>
      <c r="C658" s="437"/>
      <c r="D658" s="438">
        <f>SUM(D653:D657)</f>
      </c>
      <c r="E658" s="438">
        <f>SUM(E653:E657)</f>
      </c>
      <c r="F658" s="438">
        <f>SUM(F653:F657)</f>
      </c>
      <c r="G658" s="438">
        <f>SUM(G653:G657)</f>
      </c>
      <c r="H658" s="440">
        <f t="shared" si="381"/>
      </c>
      <c r="I658" s="441">
        <f t="shared" si="39"/>
      </c>
      <c r="J658" s="442">
        <f t="shared" si="102"/>
      </c>
      <c r="K658" s="443">
        <f t="shared" si="132"/>
      </c>
      <c r="L658" s="444">
        <f t="shared" si="192"/>
      </c>
      <c r="M658" s="443">
        <f t="shared" si="162"/>
      </c>
      <c r="N658" s="443">
        <f t="shared" si="222"/>
      </c>
      <c r="O658" s="445">
        <f t="shared" si="275"/>
      </c>
      <c r="P658" s="446">
        <f t="shared" si="328"/>
      </c>
      <c r="Q658" s="444"/>
      <c r="R658" s="444"/>
      <c r="S658" s="447">
        <f>SUM(S653:S657)</f>
      </c>
      <c r="T658" s="447">
        <f>SUM(T653:T657)</f>
      </c>
      <c r="U658" s="447">
        <f>SUM(U653:U657)</f>
      </c>
      <c r="V658" s="447">
        <f>SUM(V653:V657)</f>
      </c>
      <c r="W658" s="447">
        <f>SUM(W653:W657)</f>
      </c>
      <c r="X658" s="447">
        <f>SUM(X653:X657)</f>
      </c>
      <c r="Y658" s="447">
        <f>SUM(Y653:Y657)</f>
      </c>
      <c r="Z658" s="423"/>
      <c r="AA658" s="423"/>
    </row>
    <row customHeight="true" ht="16.666666666666668" r="659">
      <c r="A659" s="420"/>
      <c r="B659" s="421" t="s">
        <v>775</v>
      </c>
      <c r="C659" s="422" t="s">
        <v>780</v>
      </c>
      <c r="D659" s="421">
        <v>1825.98</v>
      </c>
      <c r="E659" s="423">
        <v>0</v>
      </c>
      <c r="F659" s="423">
        <v>0</v>
      </c>
      <c r="G659" s="467">
        <v>0</v>
      </c>
      <c r="H659" s="424">
        <f t="shared" si="381"/>
      </c>
      <c r="I659" s="424">
        <f t="shared" si="39"/>
      </c>
      <c r="J659" s="424">
        <f t="shared" si="102"/>
      </c>
      <c r="K659" s="425">
        <f t="shared" si="132"/>
      </c>
      <c r="L659" s="426">
        <f t="shared" si="192"/>
      </c>
      <c r="M659" s="427">
        <f t="shared" si="162"/>
      </c>
      <c r="N659" s="427">
        <f t="shared" si="222"/>
      </c>
      <c r="O659" s="427">
        <f t="shared" si="275"/>
      </c>
      <c r="P659" s="428">
        <f t="shared" si="328"/>
      </c>
      <c r="Q659" s="429" t="s">
        <v>777</v>
      </c>
      <c r="R659" s="430" t="s">
        <v>791</v>
      </c>
      <c r="S659" s="436">
        <v>5844</v>
      </c>
      <c r="T659" s="436">
        <v>635</v>
      </c>
      <c r="U659" s="436">
        <v>774</v>
      </c>
      <c r="V659" s="436">
        <v>74</v>
      </c>
      <c r="W659" s="435">
        <v>3</v>
      </c>
      <c r="X659" s="435">
        <v>0</v>
      </c>
      <c r="Y659" s="448">
        <v>29</v>
      </c>
      <c r="Z659" s="423"/>
      <c r="AA659" s="423"/>
    </row>
    <row customHeight="true" ht="16.666666666666668" r="660">
      <c r="A660" s="420"/>
      <c r="B660" s="421" t="s">
        <v>775</v>
      </c>
      <c r="C660" s="422" t="s">
        <v>781</v>
      </c>
      <c r="D660" s="421">
        <v>1740.63</v>
      </c>
      <c r="E660" s="423">
        <v>2</v>
      </c>
      <c r="F660" s="423">
        <v>1</v>
      </c>
      <c r="G660" s="467">
        <v>1791.5999999999985</v>
      </c>
      <c r="H660" s="424">
        <f t="shared" si="381"/>
      </c>
      <c r="I660" s="424">
        <f t="shared" si="39"/>
      </c>
      <c r="J660" s="424">
        <f t="shared" si="102"/>
      </c>
      <c r="K660" s="425">
        <f t="shared" si="132"/>
      </c>
      <c r="L660" s="426">
        <f t="shared" si="192"/>
      </c>
      <c r="M660" s="427">
        <f t="shared" si="162"/>
      </c>
      <c r="N660" s="427">
        <f t="shared" si="222"/>
      </c>
      <c r="O660" s="427">
        <f t="shared" si="275"/>
      </c>
      <c r="P660" s="428">
        <f t="shared" si="328"/>
      </c>
      <c r="Q660" s="429" t="s">
        <v>777</v>
      </c>
      <c r="R660" s="430" t="s">
        <v>791</v>
      </c>
      <c r="S660" s="436">
        <v>5941</v>
      </c>
      <c r="T660" s="436">
        <v>731</v>
      </c>
      <c r="U660" s="436">
        <v>883</v>
      </c>
      <c r="V660" s="436">
        <v>62</v>
      </c>
      <c r="W660" s="435">
        <v>4</v>
      </c>
      <c r="X660" s="435">
        <v>0</v>
      </c>
      <c r="Y660" s="448">
        <v>34</v>
      </c>
      <c r="Z660" s="423"/>
      <c r="AA660" s="423"/>
    </row>
    <row customHeight="true" ht="16.666666666666668" r="661">
      <c r="A661" s="420"/>
      <c r="B661" s="421" t="s">
        <v>775</v>
      </c>
      <c r="C661" s="422" t="s">
        <v>783</v>
      </c>
      <c r="D661" s="421">
        <v>2075.27</v>
      </c>
      <c r="E661" s="423">
        <v>2</v>
      </c>
      <c r="F661" s="423">
        <v>2</v>
      </c>
      <c r="G661" s="467">
        <v>2395.2000000000007</v>
      </c>
      <c r="H661" s="424">
        <f t="shared" si="381"/>
      </c>
      <c r="I661" s="424">
        <f t="shared" si="39"/>
      </c>
      <c r="J661" s="424">
        <f t="shared" si="102"/>
      </c>
      <c r="K661" s="425">
        <f t="shared" si="132"/>
      </c>
      <c r="L661" s="426">
        <f t="shared" si="192"/>
      </c>
      <c r="M661" s="427">
        <f t="shared" si="162"/>
      </c>
      <c r="N661" s="427">
        <f t="shared" si="222"/>
      </c>
      <c r="O661" s="427">
        <f t="shared" si="275"/>
      </c>
      <c r="P661" s="428">
        <f t="shared" si="328"/>
      </c>
      <c r="Q661" s="429" t="s">
        <v>777</v>
      </c>
      <c r="R661" s="430" t="s">
        <v>791</v>
      </c>
      <c r="S661" s="436">
        <v>7814</v>
      </c>
      <c r="T661" s="436">
        <v>891</v>
      </c>
      <c r="U661" s="436">
        <v>1088</v>
      </c>
      <c r="V661" s="436">
        <v>100</v>
      </c>
      <c r="W661" s="435">
        <v>2</v>
      </c>
      <c r="X661" s="435">
        <v>0</v>
      </c>
      <c r="Y661" s="448">
        <v>33</v>
      </c>
      <c r="Z661" s="423"/>
      <c r="AA661" s="423"/>
    </row>
    <row customHeight="true" ht="16.666666666666668" r="662">
      <c r="A662" s="420"/>
      <c r="B662" s="421" t="s">
        <v>775</v>
      </c>
      <c r="C662" s="451" t="s">
        <v>784</v>
      </c>
      <c r="D662" s="421">
        <v>2333.95</v>
      </c>
      <c r="E662" s="423">
        <v>1</v>
      </c>
      <c r="F662" s="423">
        <v>0</v>
      </c>
      <c r="G662" s="462">
        <v>2994</v>
      </c>
      <c r="H662" s="424">
        <f t="shared" si="381"/>
      </c>
      <c r="I662" s="424">
        <f t="shared" si="39"/>
      </c>
      <c r="J662" s="424">
        <f t="shared" si="102"/>
      </c>
      <c r="K662" s="425">
        <f t="shared" si="132"/>
      </c>
      <c r="L662" s="426">
        <f t="shared" si="192"/>
      </c>
      <c r="M662" s="427">
        <f t="shared" si="162"/>
      </c>
      <c r="N662" s="427">
        <f t="shared" si="222"/>
      </c>
      <c r="O662" s="427">
        <f t="shared" si="275"/>
      </c>
      <c r="P662" s="428">
        <f t="shared" si="328"/>
      </c>
      <c r="Q662" s="429" t="s">
        <v>777</v>
      </c>
      <c r="R662" s="430" t="s">
        <v>791</v>
      </c>
      <c r="S662" s="436">
        <v>7518</v>
      </c>
      <c r="T662" s="436">
        <v>1005</v>
      </c>
      <c r="U662" s="436">
        <v>1193</v>
      </c>
      <c r="V662" s="436">
        <v>110</v>
      </c>
      <c r="W662" s="435">
        <v>3</v>
      </c>
      <c r="X662" s="435">
        <v>0</v>
      </c>
      <c r="Y662" s="448">
        <v>20</v>
      </c>
      <c r="Z662" s="423"/>
      <c r="AA662" s="423"/>
    </row>
    <row customHeight="true" ht="16.666666666666668" r="663">
      <c r="A663" s="420"/>
      <c r="B663" s="421" t="s">
        <v>775</v>
      </c>
      <c r="C663" s="451" t="s">
        <v>785</v>
      </c>
      <c r="D663" s="421">
        <v>2039.33</v>
      </c>
      <c r="E663" s="423">
        <v>2</v>
      </c>
      <c r="F663" s="423">
        <v>1</v>
      </c>
      <c r="G663" s="509">
        <v>4141.199999999997</v>
      </c>
      <c r="H663" s="424">
        <f t="shared" si="381"/>
      </c>
      <c r="I663" s="424">
        <f t="shared" si="39"/>
      </c>
      <c r="J663" s="424">
        <f t="shared" si="102"/>
      </c>
      <c r="K663" s="425">
        <f t="shared" si="132"/>
      </c>
      <c r="L663" s="426">
        <f t="shared" si="192"/>
      </c>
      <c r="M663" s="427">
        <f t="shared" si="162"/>
      </c>
      <c r="N663" s="427">
        <f t="shared" si="222"/>
      </c>
      <c r="O663" s="427">
        <f t="shared" si="275"/>
      </c>
      <c r="P663" s="428">
        <f t="shared" si="328"/>
      </c>
      <c r="Q663" s="429" t="s">
        <v>777</v>
      </c>
      <c r="R663" s="430" t="s">
        <v>791</v>
      </c>
      <c r="S663" s="436">
        <v>6690</v>
      </c>
      <c r="T663" s="436">
        <v>1036</v>
      </c>
      <c r="U663" s="436">
        <v>1216</v>
      </c>
      <c r="V663" s="436">
        <v>119</v>
      </c>
      <c r="W663" s="435">
        <v>4</v>
      </c>
      <c r="X663" s="435">
        <v>0</v>
      </c>
      <c r="Y663" s="448">
        <v>33</v>
      </c>
      <c r="Z663" s="423"/>
      <c r="AA663" s="423"/>
    </row>
    <row customHeight="true" ht="16.666666666666668" r="664">
      <c r="A664" s="420"/>
      <c r="B664" s="421" t="s">
        <v>775</v>
      </c>
      <c r="C664" s="451" t="s">
        <v>786</v>
      </c>
      <c r="D664" s="510">
        <f>1714.21+62.52</f>
      </c>
      <c r="E664" s="511">
        <v>3</v>
      </c>
      <c r="F664" s="511">
        <v>1</v>
      </c>
      <c r="G664" s="462">
        <v>1437.6000000000058</v>
      </c>
      <c r="H664" s="424">
        <f t="shared" si="381"/>
      </c>
      <c r="I664" s="424">
        <f t="shared" si="39"/>
      </c>
      <c r="J664" s="424">
        <f t="shared" si="102"/>
      </c>
      <c r="K664" s="425">
        <f t="shared" si="132"/>
      </c>
      <c r="L664" s="426">
        <f t="shared" si="192"/>
      </c>
      <c r="M664" s="427">
        <f t="shared" si="162"/>
      </c>
      <c r="N664" s="427">
        <f t="shared" si="222"/>
      </c>
      <c r="O664" s="427">
        <f t="shared" si="275"/>
      </c>
      <c r="P664" s="428">
        <f t="shared" si="328"/>
      </c>
      <c r="Q664" s="429" t="s">
        <v>777</v>
      </c>
      <c r="R664" s="430" t="s">
        <v>791</v>
      </c>
      <c r="S664" s="435">
        <v>6518</v>
      </c>
      <c r="T664" s="435">
        <v>922</v>
      </c>
      <c r="U664" s="436">
        <v>1067</v>
      </c>
      <c r="V664" s="436">
        <v>78</v>
      </c>
      <c r="W664" s="512">
        <v>2</v>
      </c>
      <c r="X664" s="512">
        <v>1</v>
      </c>
      <c r="Y664" s="513">
        <v>19</v>
      </c>
      <c r="Z664" s="423"/>
      <c r="AA664" s="423"/>
    </row>
    <row customHeight="true" ht="16.666666666666668" r="665">
      <c r="A665" s="420"/>
      <c r="B665" s="437" t="s">
        <v>774</v>
      </c>
      <c r="C665" s="437"/>
      <c r="D665" s="438">
        <f>SUM(D659:D664)</f>
      </c>
      <c r="E665" s="438">
        <f>SUM(E659:E664)</f>
      </c>
      <c r="F665" s="438">
        <f>SUM(F659:F664)</f>
      </c>
      <c r="G665" s="438">
        <f>SUM(G659:G664)</f>
      </c>
      <c r="H665" s="440">
        <f t="shared" si="381"/>
      </c>
      <c r="I665" s="441">
        <f t="shared" si="39"/>
      </c>
      <c r="J665" s="442">
        <f t="shared" si="102"/>
      </c>
      <c r="K665" s="443">
        <f t="shared" si="132"/>
      </c>
      <c r="L665" s="444">
        <f t="shared" si="192"/>
      </c>
      <c r="M665" s="443">
        <f t="shared" si="162"/>
      </c>
      <c r="N665" s="443">
        <f t="shared" si="222"/>
      </c>
      <c r="O665" s="445">
        <f t="shared" si="275"/>
      </c>
      <c r="P665" s="446">
        <f t="shared" si="328"/>
      </c>
      <c r="Q665" s="444"/>
      <c r="R665" s="444"/>
      <c r="S665" s="447">
        <f>SUM(S659:S664)</f>
      </c>
      <c r="T665" s="447">
        <f>SUM(T659:T664)</f>
      </c>
      <c r="U665" s="447">
        <f>SUM(U659:U664)</f>
      </c>
      <c r="V665" s="447">
        <f>SUM(V659:V664)</f>
      </c>
      <c r="W665" s="447">
        <f>SUM(W659:W664)</f>
      </c>
      <c r="X665" s="447">
        <f>SUM(X659:X664)</f>
      </c>
      <c r="Y665" s="447">
        <f>SUM(Y659:Y664)</f>
      </c>
      <c r="Z665" s="423"/>
      <c r="AA665" s="423"/>
    </row>
    <row customHeight="true" ht="16.666666666666668" r="666">
      <c r="A666" s="420"/>
      <c r="B666" s="452" t="s">
        <v>787</v>
      </c>
      <c r="C666" s="452"/>
      <c r="D666" s="466">
        <f>D652+D658+D665</f>
      </c>
      <c r="E666" s="466">
        <f>E652+E658+E665</f>
      </c>
      <c r="F666" s="466">
        <f>F652+F658+F665</f>
      </c>
      <c r="G666" s="466">
        <f>G652+G658+G665</f>
      </c>
      <c r="H666" s="452">
        <f t="shared" si="381"/>
      </c>
      <c r="I666" s="452">
        <f t="shared" si="39"/>
      </c>
      <c r="J666" s="452">
        <f t="shared" si="102"/>
      </c>
      <c r="K666" s="455">
        <f t="shared" si="132"/>
      </c>
      <c r="L666" s="452">
        <f t="shared" si="192"/>
      </c>
      <c r="M666" s="455">
        <f t="shared" si="162"/>
      </c>
      <c r="N666" s="455">
        <f t="shared" si="222"/>
      </c>
      <c r="O666" s="455">
        <f t="shared" si="275"/>
      </c>
      <c r="P666" s="452">
        <f t="shared" si="328"/>
      </c>
      <c r="Q666" s="456"/>
      <c r="R666" s="456"/>
      <c r="S666" s="454">
        <f>S652+S658+S665</f>
      </c>
      <c r="T666" s="454">
        <f>T652+T658+T665</f>
      </c>
      <c r="U666" s="454">
        <f>U652+U658+U665</f>
      </c>
      <c r="V666" s="454">
        <f>V652+V658+V665</f>
      </c>
      <c r="W666" s="454">
        <f>W652+W658+W665</f>
      </c>
      <c r="X666" s="454">
        <f>X652+X658+X665</f>
      </c>
      <c r="Y666" s="454">
        <f>Y652+Y658+Y665</f>
      </c>
      <c r="Z666" s="423"/>
      <c r="AA666" s="423"/>
    </row>
    <row customHeight="true" ht="16.666666666666668" r="667">
      <c r="A667" s="514"/>
      <c r="B667" s="514"/>
      <c r="C667" s="514"/>
      <c r="D667" s="514">
        <f>D668-D666</f>
      </c>
      <c r="E667" s="514"/>
      <c r="F667" s="514"/>
      <c r="G667" s="514"/>
      <c r="H667" s="514"/>
      <c r="I667" s="514"/>
      <c r="J667" s="514"/>
      <c r="K667" s="514"/>
      <c r="L667" s="514"/>
      <c r="M667" s="514"/>
      <c r="N667" s="514"/>
      <c r="O667" s="514"/>
      <c r="P667" s="514"/>
      <c r="Q667" s="514"/>
      <c r="R667" s="514"/>
      <c r="S667" s="514">
        <f>S668-S666</f>
      </c>
      <c r="T667" s="514">
        <f>T668-T666</f>
      </c>
      <c r="U667" s="514">
        <f>U668-U666</f>
      </c>
      <c r="V667" s="514">
        <f>V668-V666</f>
      </c>
      <c r="W667" s="514"/>
      <c r="X667" s="514"/>
      <c r="Y667" s="514"/>
    </row>
    <row customHeight="true" ht="16.666666666666668" r="668">
      <c r="A668" s="514"/>
      <c r="B668" s="514"/>
      <c r="C668" s="514"/>
      <c r="D668" s="514">
        <v>23908.61</v>
      </c>
      <c r="E668" s="514"/>
      <c r="F668" s="514"/>
      <c r="G668" s="514"/>
      <c r="H668" s="514"/>
      <c r="I668" s="514"/>
      <c r="J668" s="514"/>
      <c r="K668" s="514"/>
      <c r="L668" s="514"/>
      <c r="M668" s="514"/>
      <c r="N668" s="514"/>
      <c r="O668" s="514"/>
      <c r="P668" s="514"/>
      <c r="Q668" s="514"/>
      <c r="R668" s="514"/>
      <c r="S668" s="514">
        <v>74074</v>
      </c>
      <c r="T668" s="514">
        <v>6754</v>
      </c>
      <c r="U668" s="514">
        <v>8068</v>
      </c>
      <c r="V668" s="514">
        <v>783</v>
      </c>
      <c r="W668" s="514"/>
      <c r="X668" s="514"/>
      <c r="Y668" s="514"/>
    </row>
    <row customHeight="true" ht="16.666666666666668" r="669">
      <c r="A669" s="514"/>
      <c r="B669" s="514"/>
      <c r="C669" s="514"/>
      <c r="D669" s="514"/>
      <c r="E669" s="514"/>
      <c r="F669" s="514"/>
      <c r="G669" s="514"/>
      <c r="H669" s="514"/>
      <c r="I669" s="514"/>
      <c r="J669" s="514"/>
      <c r="K669" s="514"/>
      <c r="L669" s="514"/>
      <c r="M669" s="514"/>
      <c r="N669" s="514"/>
      <c r="O669" s="514"/>
      <c r="P669" s="514"/>
      <c r="Q669" s="514"/>
      <c r="R669" s="514"/>
      <c r="S669" s="514"/>
      <c r="T669" s="514"/>
      <c r="U669" s="514"/>
      <c r="V669" s="514"/>
      <c r="W669" s="514"/>
      <c r="X669" s="514"/>
      <c r="Y669" s="514"/>
    </row>
    <row customHeight="true" ht="16.666666666666668" r="670">
      <c r="A670" s="514"/>
      <c r="B670" s="514"/>
      <c r="C670" s="514"/>
      <c r="D670" s="514"/>
      <c r="E670" s="514"/>
      <c r="F670" s="514"/>
      <c r="G670" s="514"/>
      <c r="H670" s="514"/>
      <c r="I670" s="514"/>
      <c r="J670" s="514"/>
      <c r="K670" s="514"/>
      <c r="L670" s="514"/>
      <c r="M670" s="514"/>
      <c r="N670" s="514"/>
      <c r="O670" s="514"/>
      <c r="P670" s="514"/>
      <c r="Q670" s="514"/>
      <c r="R670" s="514"/>
      <c r="S670" s="514"/>
      <c r="T670" s="514"/>
      <c r="U670" s="514"/>
      <c r="V670" s="514"/>
      <c r="W670" s="514"/>
      <c r="X670" s="514"/>
      <c r="Y670" s="514"/>
    </row>
    <row customHeight="true" ht="16.666666666666668" r="671">
      <c r="A671" s="514"/>
      <c r="B671" s="514"/>
      <c r="C671" s="514"/>
      <c r="D671" s="514"/>
      <c r="E671" s="514"/>
      <c r="F671" s="514"/>
      <c r="G671" s="514"/>
      <c r="H671" s="514"/>
      <c r="I671" s="514"/>
      <c r="J671" s="514"/>
      <c r="K671" s="514"/>
      <c r="L671" s="514"/>
      <c r="M671" s="514"/>
      <c r="N671" s="514"/>
      <c r="O671" s="514"/>
      <c r="P671" s="514"/>
      <c r="Q671" s="514"/>
      <c r="R671" s="514"/>
      <c r="S671" s="514"/>
      <c r="T671" s="514"/>
      <c r="U671" s="514"/>
      <c r="V671" s="514"/>
      <c r="W671" s="514"/>
      <c r="X671" s="514"/>
      <c r="Y671" s="514"/>
    </row>
    <row customHeight="true" ht="16.666666666666668" r="672">
      <c r="A672" s="514"/>
      <c r="B672" s="514"/>
      <c r="C672" s="514"/>
      <c r="D672" s="514"/>
      <c r="E672" s="514"/>
      <c r="F672" s="514"/>
      <c r="G672" s="514"/>
      <c r="H672" s="514"/>
      <c r="I672" s="514"/>
      <c r="J672" s="514"/>
      <c r="K672" s="514"/>
      <c r="L672" s="514"/>
      <c r="M672" s="514"/>
      <c r="N672" s="514"/>
      <c r="O672" s="514"/>
      <c r="P672" s="514"/>
      <c r="Q672" s="514"/>
      <c r="R672" s="514"/>
      <c r="S672" s="514"/>
      <c r="T672" s="514"/>
      <c r="U672" s="514"/>
      <c r="V672" s="514"/>
      <c r="W672" s="514"/>
      <c r="X672" s="514"/>
      <c r="Y672" s="514"/>
    </row>
    <row customHeight="true" ht="16.666666666666668" r="673">
      <c r="A673" s="514"/>
      <c r="B673" s="514"/>
      <c r="C673" s="514"/>
      <c r="D673" s="514"/>
      <c r="E673" s="514"/>
      <c r="F673" s="514"/>
      <c r="G673" s="514"/>
      <c r="H673" s="514"/>
      <c r="I673" s="514"/>
      <c r="J673" s="514"/>
      <c r="K673" s="514"/>
      <c r="L673" s="514"/>
      <c r="M673" s="514"/>
      <c r="N673" s="514"/>
      <c r="O673" s="514"/>
      <c r="P673" s="514"/>
      <c r="Q673" s="514"/>
      <c r="R673" s="514"/>
      <c r="S673" s="514"/>
      <c r="T673" s="514"/>
      <c r="U673" s="514"/>
      <c r="V673" s="514"/>
      <c r="W673" s="514"/>
      <c r="X673" s="514"/>
      <c r="Y673" s="514"/>
    </row>
    <row customHeight="true" ht="16.666666666666668" r="674">
      <c r="A674" s="514"/>
      <c r="B674" s="514"/>
      <c r="C674" s="514"/>
      <c r="D674" s="514"/>
      <c r="E674" s="514"/>
      <c r="F674" s="514"/>
      <c r="G674" s="514"/>
      <c r="H674" s="514"/>
      <c r="I674" s="514"/>
      <c r="J674" s="514"/>
      <c r="K674" s="514"/>
      <c r="L674" s="514"/>
      <c r="M674" s="514"/>
      <c r="N674" s="514"/>
      <c r="O674" s="514"/>
      <c r="P674" s="514"/>
      <c r="Q674" s="514"/>
      <c r="R674" s="514"/>
      <c r="S674" s="514"/>
      <c r="T674" s="514"/>
      <c r="U674" s="514"/>
      <c r="V674" s="514"/>
      <c r="W674" s="514"/>
      <c r="X674" s="514"/>
      <c r="Y674" s="514"/>
    </row>
    <row customHeight="true" ht="16.666666666666668" r="675">
      <c r="A675" s="514"/>
      <c r="B675" s="514"/>
      <c r="C675" s="514"/>
      <c r="D675" s="514"/>
      <c r="E675" s="514"/>
      <c r="F675" s="514"/>
      <c r="G675" s="514"/>
      <c r="H675" s="514"/>
      <c r="I675" s="514"/>
      <c r="J675" s="514"/>
      <c r="K675" s="514"/>
      <c r="L675" s="514"/>
      <c r="M675" s="514"/>
      <c r="N675" s="514"/>
      <c r="O675" s="514"/>
      <c r="P675" s="514"/>
      <c r="Q675" s="514"/>
      <c r="R675" s="514"/>
      <c r="S675" s="514"/>
      <c r="T675" s="514"/>
      <c r="U675" s="514"/>
      <c r="V675" s="514"/>
      <c r="W675" s="514"/>
      <c r="X675" s="514"/>
      <c r="Y675" s="514"/>
    </row>
    <row customHeight="true" ht="16.666666666666668" r="676">
      <c r="A676" s="514"/>
      <c r="B676" s="514"/>
      <c r="C676" s="514"/>
      <c r="D676" s="514"/>
      <c r="E676" s="514"/>
      <c r="F676" s="514"/>
      <c r="G676" s="514"/>
      <c r="H676" s="514"/>
      <c r="I676" s="514"/>
      <c r="J676" s="514"/>
      <c r="K676" s="514"/>
      <c r="L676" s="514"/>
      <c r="M676" s="514"/>
      <c r="N676" s="514"/>
      <c r="O676" s="514"/>
      <c r="P676" s="514"/>
      <c r="Q676" s="514"/>
      <c r="R676" s="514"/>
      <c r="S676" s="514"/>
      <c r="T676" s="514"/>
      <c r="U676" s="514"/>
      <c r="V676" s="514"/>
      <c r="W676" s="514"/>
      <c r="X676" s="514"/>
      <c r="Y676" s="514"/>
    </row>
    <row customHeight="true" ht="16.666666666666668" r="677">
      <c r="A677" s="514"/>
      <c r="B677" s="514"/>
      <c r="C677" s="514"/>
      <c r="D677" s="514"/>
      <c r="E677" s="514"/>
      <c r="F677" s="514"/>
      <c r="G677" s="514"/>
      <c r="H677" s="514"/>
      <c r="I677" s="514"/>
      <c r="J677" s="514"/>
      <c r="K677" s="514"/>
      <c r="L677" s="514"/>
      <c r="M677" s="514"/>
      <c r="N677" s="514"/>
      <c r="O677" s="514"/>
      <c r="P677" s="514"/>
      <c r="Q677" s="514"/>
      <c r="R677" s="514"/>
      <c r="S677" s="514"/>
      <c r="T677" s="514"/>
      <c r="U677" s="514"/>
      <c r="V677" s="514"/>
      <c r="W677" s="514"/>
      <c r="X677" s="514"/>
      <c r="Y677" s="514"/>
    </row>
    <row customHeight="true" ht="16.666666666666668" r="678">
      <c r="A678" s="514"/>
      <c r="B678" s="514"/>
      <c r="C678" s="514"/>
      <c r="D678" s="514"/>
      <c r="E678" s="514"/>
      <c r="F678" s="514"/>
      <c r="G678" s="514"/>
      <c r="H678" s="514"/>
      <c r="I678" s="514"/>
      <c r="J678" s="514"/>
      <c r="K678" s="514"/>
      <c r="L678" s="514"/>
      <c r="M678" s="514"/>
      <c r="N678" s="514"/>
      <c r="O678" s="514"/>
      <c r="P678" s="514"/>
      <c r="Q678" s="514"/>
      <c r="R678" s="514"/>
      <c r="S678" s="514"/>
      <c r="T678" s="514"/>
      <c r="U678" s="514"/>
      <c r="V678" s="514"/>
      <c r="W678" s="514"/>
      <c r="X678" s="514"/>
      <c r="Y678" s="514"/>
    </row>
    <row customHeight="true" ht="16.666666666666668" r="679">
      <c r="A679" s="514"/>
      <c r="B679" s="514"/>
      <c r="C679" s="514"/>
      <c r="D679" s="514"/>
      <c r="E679" s="514"/>
      <c r="F679" s="514"/>
      <c r="G679" s="514"/>
      <c r="H679" s="514"/>
      <c r="I679" s="514"/>
      <c r="J679" s="514"/>
      <c r="K679" s="514"/>
      <c r="L679" s="514"/>
      <c r="M679" s="514"/>
      <c r="N679" s="514"/>
      <c r="O679" s="514"/>
      <c r="P679" s="514"/>
      <c r="Q679" s="514"/>
      <c r="R679" s="514"/>
      <c r="S679" s="514"/>
      <c r="T679" s="514"/>
      <c r="U679" s="514"/>
      <c r="V679" s="514"/>
      <c r="W679" s="514"/>
      <c r="X679" s="514"/>
      <c r="Y679" s="514"/>
    </row>
    <row customHeight="true" ht="16.666666666666668" r="680">
      <c r="A680" s="514"/>
      <c r="B680" s="514"/>
      <c r="C680" s="514"/>
      <c r="D680" s="514"/>
      <c r="E680" s="514"/>
      <c r="F680" s="514"/>
      <c r="G680" s="514"/>
      <c r="H680" s="514"/>
      <c r="I680" s="514"/>
      <c r="J680" s="514"/>
      <c r="K680" s="514"/>
      <c r="L680" s="514"/>
      <c r="M680" s="514"/>
      <c r="N680" s="514"/>
      <c r="O680" s="514"/>
      <c r="P680" s="514"/>
      <c r="Q680" s="514"/>
      <c r="R680" s="514"/>
      <c r="S680" s="514"/>
      <c r="T680" s="514"/>
      <c r="U680" s="514"/>
      <c r="V680" s="514"/>
      <c r="W680" s="514"/>
      <c r="X680" s="514"/>
      <c r="Y680" s="514"/>
    </row>
    <row customHeight="true" ht="16.666666666666668" r="681">
      <c r="A681" s="514"/>
      <c r="B681" s="514"/>
      <c r="C681" s="514"/>
      <c r="D681" s="514"/>
      <c r="E681" s="514"/>
      <c r="F681" s="514"/>
      <c r="G681" s="514"/>
      <c r="H681" s="514"/>
      <c r="I681" s="514"/>
      <c r="J681" s="514"/>
      <c r="K681" s="514"/>
      <c r="L681" s="514"/>
      <c r="M681" s="514"/>
      <c r="N681" s="514"/>
      <c r="O681" s="514"/>
      <c r="P681" s="514"/>
      <c r="Q681" s="514"/>
      <c r="R681" s="514"/>
      <c r="S681" s="514"/>
      <c r="T681" s="514"/>
      <c r="U681" s="514"/>
      <c r="V681" s="514"/>
      <c r="W681" s="514"/>
      <c r="X681" s="514"/>
      <c r="Y681" s="514"/>
    </row>
    <row customHeight="true" ht="16.666666666666668" r="682">
      <c r="A682" s="514"/>
      <c r="B682" s="514"/>
      <c r="C682" s="514"/>
      <c r="D682" s="514"/>
      <c r="E682" s="514"/>
      <c r="F682" s="514"/>
      <c r="G682" s="514"/>
      <c r="H682" s="514"/>
      <c r="I682" s="514"/>
      <c r="J682" s="514"/>
      <c r="K682" s="514"/>
      <c r="L682" s="514"/>
      <c r="M682" s="514"/>
      <c r="N682" s="514"/>
      <c r="O682" s="514"/>
      <c r="P682" s="514"/>
      <c r="Q682" s="514"/>
      <c r="R682" s="514"/>
      <c r="S682" s="514"/>
      <c r="T682" s="514"/>
      <c r="U682" s="514"/>
      <c r="V682" s="514"/>
      <c r="W682" s="514"/>
      <c r="X682" s="514"/>
      <c r="Y682" s="514"/>
    </row>
    <row customHeight="true" ht="16.666666666666668" r="683">
      <c r="A683" s="514"/>
      <c r="B683" s="514"/>
      <c r="C683" s="514"/>
      <c r="D683" s="514"/>
      <c r="E683" s="514"/>
      <c r="F683" s="514"/>
      <c r="G683" s="514"/>
      <c r="H683" s="514"/>
      <c r="I683" s="514"/>
      <c r="J683" s="514"/>
      <c r="K683" s="514"/>
      <c r="L683" s="514"/>
      <c r="M683" s="514"/>
      <c r="N683" s="514"/>
      <c r="O683" s="514"/>
      <c r="P683" s="514"/>
      <c r="Q683" s="514"/>
      <c r="R683" s="514"/>
      <c r="S683" s="514"/>
      <c r="T683" s="514"/>
      <c r="U683" s="514"/>
      <c r="V683" s="514"/>
      <c r="W683" s="514"/>
      <c r="X683" s="514"/>
      <c r="Y683" s="514"/>
    </row>
    <row customHeight="true" ht="16.666666666666668" r="684">
      <c r="A684" s="514"/>
      <c r="B684" s="514"/>
      <c r="C684" s="514"/>
      <c r="D684" s="514"/>
      <c r="E684" s="514"/>
      <c r="F684" s="514"/>
      <c r="G684" s="514"/>
      <c r="H684" s="514"/>
      <c r="I684" s="514"/>
      <c r="J684" s="514"/>
      <c r="K684" s="514"/>
      <c r="L684" s="514"/>
      <c r="M684" s="514"/>
      <c r="N684" s="514"/>
      <c r="O684" s="514"/>
      <c r="P684" s="514"/>
      <c r="Q684" s="514"/>
      <c r="R684" s="514"/>
      <c r="S684" s="514"/>
      <c r="T684" s="514"/>
      <c r="U684" s="514"/>
      <c r="V684" s="514"/>
      <c r="W684" s="514"/>
      <c r="X684" s="514"/>
      <c r="Y684" s="514"/>
    </row>
    <row customHeight="true" ht="16.666666666666668" r="685">
      <c r="A685" s="514"/>
      <c r="B685" s="514"/>
      <c r="C685" s="514"/>
      <c r="D685" s="514"/>
      <c r="E685" s="514"/>
      <c r="F685" s="514"/>
      <c r="G685" s="514"/>
      <c r="H685" s="514"/>
      <c r="I685" s="514"/>
      <c r="J685" s="514"/>
      <c r="K685" s="514"/>
      <c r="L685" s="514"/>
      <c r="M685" s="514"/>
      <c r="N685" s="514"/>
      <c r="O685" s="514"/>
      <c r="P685" s="514"/>
      <c r="Q685" s="514"/>
      <c r="R685" s="514"/>
      <c r="S685" s="514"/>
      <c r="T685" s="514"/>
      <c r="U685" s="514"/>
      <c r="V685" s="514"/>
      <c r="W685" s="514"/>
      <c r="X685" s="514"/>
      <c r="Y685" s="514"/>
    </row>
    <row customHeight="true" ht="16.666666666666668" r="686">
      <c r="A686" s="514"/>
      <c r="B686" s="514"/>
      <c r="C686" s="514"/>
      <c r="D686" s="514"/>
      <c r="E686" s="514"/>
      <c r="F686" s="514"/>
      <c r="G686" s="514"/>
      <c r="H686" s="514"/>
      <c r="I686" s="514"/>
      <c r="J686" s="514"/>
      <c r="K686" s="514"/>
      <c r="L686" s="514"/>
      <c r="M686" s="514"/>
      <c r="N686" s="514"/>
      <c r="O686" s="514"/>
      <c r="P686" s="514"/>
      <c r="Q686" s="514"/>
      <c r="R686" s="514"/>
      <c r="S686" s="514"/>
      <c r="T686" s="514"/>
      <c r="U686" s="514"/>
      <c r="V686" s="514"/>
      <c r="W686" s="514"/>
      <c r="X686" s="514"/>
      <c r="Y686" s="514"/>
    </row>
    <row customHeight="true" ht="16.666666666666668" r="687">
      <c r="A687" s="514"/>
      <c r="B687" s="514"/>
      <c r="C687" s="514"/>
      <c r="D687" s="514"/>
      <c r="E687" s="514"/>
      <c r="F687" s="514"/>
      <c r="G687" s="514"/>
      <c r="H687" s="514"/>
      <c r="I687" s="514"/>
      <c r="J687" s="514"/>
      <c r="K687" s="514"/>
      <c r="L687" s="514"/>
      <c r="M687" s="514"/>
      <c r="N687" s="514"/>
      <c r="O687" s="514"/>
      <c r="P687" s="514"/>
      <c r="Q687" s="514"/>
      <c r="R687" s="514"/>
      <c r="S687" s="514"/>
      <c r="T687" s="514"/>
      <c r="U687" s="514"/>
      <c r="V687" s="514"/>
      <c r="W687" s="514"/>
      <c r="X687" s="514"/>
      <c r="Y687" s="514"/>
    </row>
    <row customHeight="true" ht="16.666666666666668" r="688">
      <c r="A688" s="514"/>
      <c r="B688" s="514"/>
      <c r="C688" s="514"/>
      <c r="D688" s="514"/>
      <c r="E688" s="514"/>
      <c r="F688" s="514"/>
      <c r="G688" s="514"/>
      <c r="H688" s="514"/>
      <c r="I688" s="514"/>
      <c r="J688" s="514"/>
      <c r="K688" s="514"/>
      <c r="L688" s="514"/>
      <c r="M688" s="514"/>
      <c r="N688" s="514"/>
      <c r="O688" s="514"/>
      <c r="P688" s="514"/>
      <c r="Q688" s="514"/>
      <c r="R688" s="514"/>
      <c r="S688" s="514"/>
      <c r="T688" s="514"/>
      <c r="U688" s="514"/>
      <c r="V688" s="514"/>
      <c r="W688" s="514"/>
      <c r="X688" s="514"/>
      <c r="Y688" s="514"/>
    </row>
    <row customHeight="true" ht="16.666666666666668" r="689">
      <c r="A689" s="514"/>
      <c r="B689" s="514"/>
      <c r="C689" s="514"/>
      <c r="D689" s="514"/>
      <c r="E689" s="514"/>
      <c r="F689" s="514"/>
      <c r="G689" s="514"/>
      <c r="H689" s="514"/>
      <c r="I689" s="514"/>
      <c r="J689" s="514"/>
      <c r="K689" s="514"/>
      <c r="L689" s="514"/>
      <c r="M689" s="514"/>
      <c r="N689" s="514"/>
      <c r="O689" s="514"/>
      <c r="P689" s="514"/>
      <c r="Q689" s="514"/>
      <c r="R689" s="514"/>
      <c r="S689" s="514"/>
      <c r="T689" s="514"/>
      <c r="U689" s="514"/>
      <c r="V689" s="514"/>
      <c r="W689" s="514"/>
      <c r="X689" s="514"/>
      <c r="Y689" s="514"/>
    </row>
    <row customHeight="true" ht="16.666666666666668" r="690">
      <c r="A690" s="514"/>
      <c r="B690" s="514"/>
      <c r="C690" s="514"/>
      <c r="D690" s="514"/>
      <c r="E690" s="514"/>
      <c r="F690" s="514"/>
      <c r="G690" s="514"/>
      <c r="H690" s="514"/>
      <c r="I690" s="514"/>
      <c r="J690" s="514"/>
      <c r="K690" s="514"/>
      <c r="L690" s="514"/>
      <c r="M690" s="514"/>
      <c r="N690" s="514"/>
      <c r="O690" s="514"/>
      <c r="P690" s="514"/>
      <c r="Q690" s="514"/>
      <c r="R690" s="514"/>
      <c r="S690" s="514"/>
      <c r="T690" s="514"/>
      <c r="U690" s="514"/>
      <c r="V690" s="514"/>
      <c r="W690" s="514"/>
      <c r="X690" s="514"/>
      <c r="Y690" s="514"/>
    </row>
    <row customHeight="true" ht="16.666666666666668" r="691">
      <c r="A691" s="514"/>
      <c r="B691" s="514"/>
      <c r="C691" s="514"/>
      <c r="D691" s="514"/>
      <c r="E691" s="514"/>
      <c r="F691" s="514"/>
      <c r="G691" s="514"/>
      <c r="H691" s="514"/>
      <c r="I691" s="514"/>
      <c r="J691" s="514"/>
      <c r="K691" s="514"/>
      <c r="L691" s="514"/>
      <c r="M691" s="514"/>
      <c r="N691" s="514"/>
      <c r="O691" s="514"/>
      <c r="P691" s="514"/>
      <c r="Q691" s="514"/>
      <c r="R691" s="514"/>
      <c r="S691" s="514"/>
      <c r="T691" s="514"/>
      <c r="U691" s="514"/>
      <c r="V691" s="514"/>
      <c r="W691" s="514"/>
      <c r="X691" s="514"/>
      <c r="Y691" s="514"/>
    </row>
    <row customHeight="true" ht="16.666666666666668" r="692">
      <c r="A692" s="514"/>
      <c r="B692" s="514"/>
      <c r="C692" s="514"/>
      <c r="D692" s="514"/>
      <c r="E692" s="514"/>
      <c r="F692" s="514"/>
      <c r="G692" s="514"/>
      <c r="H692" s="514"/>
      <c r="I692" s="514"/>
      <c r="J692" s="514"/>
      <c r="K692" s="514"/>
      <c r="L692" s="514"/>
      <c r="M692" s="514"/>
      <c r="N692" s="514"/>
      <c r="O692" s="514"/>
      <c r="P692" s="514"/>
      <c r="Q692" s="514"/>
      <c r="R692" s="514"/>
      <c r="S692" s="514"/>
      <c r="T692" s="514"/>
      <c r="U692" s="514"/>
      <c r="V692" s="514"/>
      <c r="W692" s="514"/>
      <c r="X692" s="514"/>
      <c r="Y692" s="514"/>
    </row>
    <row customHeight="true" ht="16.666666666666668" r="693">
      <c r="A693" s="514"/>
      <c r="B693" s="514"/>
      <c r="C693" s="514"/>
      <c r="D693" s="514"/>
      <c r="E693" s="514"/>
      <c r="F693" s="514"/>
      <c r="G693" s="514"/>
      <c r="H693" s="514"/>
      <c r="I693" s="514"/>
      <c r="J693" s="514"/>
      <c r="K693" s="514"/>
      <c r="L693" s="514"/>
      <c r="M693" s="514"/>
      <c r="N693" s="514"/>
      <c r="O693" s="514"/>
      <c r="P693" s="514"/>
      <c r="Q693" s="514"/>
      <c r="R693" s="514"/>
      <c r="S693" s="514"/>
      <c r="T693" s="514"/>
      <c r="U693" s="514"/>
      <c r="V693" s="514"/>
      <c r="W693" s="514"/>
      <c r="X693" s="514"/>
      <c r="Y693" s="514"/>
    </row>
    <row customHeight="true" ht="16.666666666666668" r="694">
      <c r="A694" s="514"/>
      <c r="B694" s="514"/>
      <c r="C694" s="514"/>
      <c r="D694" s="514"/>
      <c r="E694" s="514"/>
      <c r="F694" s="514"/>
      <c r="G694" s="514"/>
      <c r="H694" s="514"/>
      <c r="I694" s="514"/>
      <c r="J694" s="514"/>
      <c r="K694" s="514"/>
      <c r="L694" s="514"/>
      <c r="M694" s="514"/>
      <c r="N694" s="514"/>
      <c r="O694" s="514"/>
      <c r="P694" s="514"/>
      <c r="Q694" s="514"/>
      <c r="R694" s="514"/>
      <c r="S694" s="514"/>
      <c r="T694" s="514"/>
      <c r="U694" s="514"/>
      <c r="V694" s="514"/>
      <c r="W694" s="514"/>
      <c r="X694" s="514"/>
      <c r="Y694" s="514"/>
    </row>
    <row customHeight="true" ht="16.666666666666668" r="695">
      <c r="A695" s="514"/>
      <c r="B695" s="514"/>
      <c r="C695" s="514"/>
      <c r="D695" s="514"/>
      <c r="E695" s="514"/>
      <c r="F695" s="514"/>
      <c r="G695" s="514"/>
      <c r="H695" s="514"/>
      <c r="I695" s="514"/>
      <c r="J695" s="514"/>
      <c r="K695" s="514"/>
      <c r="L695" s="514"/>
      <c r="M695" s="514"/>
      <c r="N695" s="514"/>
      <c r="O695" s="514"/>
      <c r="P695" s="514"/>
      <c r="Q695" s="514"/>
      <c r="R695" s="514"/>
      <c r="S695" s="514"/>
      <c r="T695" s="514"/>
      <c r="U695" s="514"/>
      <c r="V695" s="514"/>
      <c r="W695" s="514"/>
      <c r="X695" s="514"/>
      <c r="Y695" s="514"/>
    </row>
    <row customHeight="true" ht="16.666666666666668" r="696">
      <c r="A696" s="514"/>
      <c r="B696" s="514"/>
      <c r="C696" s="514"/>
      <c r="D696" s="514"/>
      <c r="E696" s="514"/>
      <c r="F696" s="514"/>
      <c r="G696" s="514"/>
      <c r="H696" s="514"/>
      <c r="I696" s="514"/>
      <c r="J696" s="514"/>
      <c r="K696" s="514"/>
      <c r="L696" s="514"/>
      <c r="M696" s="514"/>
      <c r="N696" s="514"/>
      <c r="O696" s="514"/>
      <c r="P696" s="514"/>
      <c r="Q696" s="514"/>
      <c r="R696" s="514"/>
      <c r="S696" s="514"/>
      <c r="T696" s="514"/>
      <c r="U696" s="514"/>
      <c r="V696" s="514"/>
      <c r="W696" s="514"/>
      <c r="X696" s="514"/>
      <c r="Y696" s="514"/>
    </row>
    <row customHeight="true" ht="16.666666666666668" r="697">
      <c r="A697" s="514"/>
      <c r="B697" s="514"/>
      <c r="C697" s="514"/>
      <c r="D697" s="514"/>
      <c r="E697" s="514"/>
      <c r="F697" s="514"/>
      <c r="G697" s="514"/>
      <c r="H697" s="514"/>
      <c r="I697" s="514"/>
      <c r="J697" s="514"/>
      <c r="K697" s="514"/>
      <c r="L697" s="514"/>
      <c r="M697" s="514"/>
      <c r="N697" s="514"/>
      <c r="O697" s="514"/>
      <c r="P697" s="514"/>
      <c r="Q697" s="514"/>
      <c r="R697" s="514"/>
      <c r="S697" s="514"/>
      <c r="T697" s="514"/>
      <c r="U697" s="514"/>
      <c r="V697" s="514"/>
      <c r="W697" s="514"/>
      <c r="X697" s="514"/>
      <c r="Y697" s="514"/>
    </row>
    <row customHeight="true" ht="16.666666666666668" r="698">
      <c r="A698" s="514"/>
      <c r="B698" s="514"/>
      <c r="C698" s="514"/>
      <c r="D698" s="514"/>
      <c r="E698" s="514"/>
      <c r="F698" s="514"/>
      <c r="G698" s="514"/>
      <c r="H698" s="514"/>
      <c r="I698" s="514"/>
      <c r="J698" s="514"/>
      <c r="K698" s="514"/>
      <c r="L698" s="514"/>
      <c r="M698" s="514"/>
      <c r="N698" s="514"/>
      <c r="O698" s="514"/>
      <c r="P698" s="514"/>
      <c r="Q698" s="514"/>
      <c r="R698" s="514"/>
      <c r="S698" s="514"/>
      <c r="T698" s="514"/>
      <c r="U698" s="514"/>
      <c r="V698" s="514"/>
      <c r="W698" s="514"/>
      <c r="X698" s="514"/>
      <c r="Y698" s="514"/>
    </row>
    <row customHeight="true" ht="16.666666666666668" r="699">
      <c r="A699" s="514"/>
      <c r="B699" s="514"/>
      <c r="C699" s="514"/>
      <c r="D699" s="514"/>
      <c r="E699" s="514"/>
      <c r="F699" s="514"/>
      <c r="G699" s="514"/>
      <c r="H699" s="514"/>
      <c r="I699" s="514"/>
      <c r="J699" s="514"/>
      <c r="K699" s="514"/>
      <c r="L699" s="514"/>
      <c r="M699" s="514"/>
      <c r="N699" s="514"/>
      <c r="O699" s="514"/>
      <c r="P699" s="514"/>
      <c r="Q699" s="514"/>
      <c r="R699" s="514"/>
      <c r="S699" s="514"/>
      <c r="T699" s="514"/>
      <c r="U699" s="514"/>
      <c r="V699" s="514"/>
      <c r="W699" s="514"/>
      <c r="X699" s="514"/>
      <c r="Y699" s="514"/>
    </row>
    <row customHeight="true" ht="16.666666666666668" r="700">
      <c r="A700" s="514"/>
      <c r="B700" s="514"/>
      <c r="C700" s="514"/>
      <c r="D700" s="514"/>
      <c r="E700" s="514"/>
      <c r="F700" s="514"/>
      <c r="G700" s="514"/>
      <c r="H700" s="514"/>
      <c r="I700" s="514"/>
      <c r="J700" s="514"/>
      <c r="K700" s="514"/>
      <c r="L700" s="514"/>
      <c r="M700" s="514"/>
      <c r="N700" s="514"/>
      <c r="O700" s="514"/>
      <c r="P700" s="514"/>
      <c r="Q700" s="514"/>
      <c r="R700" s="514"/>
      <c r="S700" s="514"/>
      <c r="T700" s="514"/>
      <c r="U700" s="514"/>
      <c r="V700" s="514"/>
      <c r="W700" s="514"/>
      <c r="X700" s="514"/>
      <c r="Y700" s="514"/>
    </row>
    <row customHeight="true" ht="16.666666666666668" r="701">
      <c r="A701" s="514"/>
      <c r="B701" s="514"/>
      <c r="C701" s="514"/>
      <c r="D701" s="514"/>
      <c r="E701" s="514"/>
      <c r="F701" s="514"/>
      <c r="G701" s="514"/>
      <c r="H701" s="514"/>
      <c r="I701" s="514"/>
      <c r="J701" s="514"/>
      <c r="K701" s="514"/>
      <c r="L701" s="514"/>
      <c r="M701" s="514"/>
      <c r="N701" s="514"/>
      <c r="O701" s="514"/>
      <c r="P701" s="514"/>
      <c r="Q701" s="514"/>
      <c r="R701" s="514"/>
      <c r="S701" s="514"/>
      <c r="T701" s="514"/>
      <c r="U701" s="514"/>
      <c r="V701" s="514"/>
      <c r="W701" s="514"/>
      <c r="X701" s="514"/>
      <c r="Y701" s="514"/>
    </row>
    <row customHeight="true" ht="16.666666666666668" r="702">
      <c r="A702" s="514"/>
      <c r="B702" s="514"/>
      <c r="C702" s="514"/>
      <c r="D702" s="514"/>
      <c r="E702" s="514"/>
      <c r="F702" s="514"/>
      <c r="G702" s="514"/>
      <c r="H702" s="514"/>
      <c r="I702" s="514"/>
      <c r="J702" s="514"/>
      <c r="K702" s="514"/>
      <c r="L702" s="514"/>
      <c r="M702" s="514"/>
      <c r="N702" s="514"/>
      <c r="O702" s="514"/>
      <c r="P702" s="514"/>
      <c r="Q702" s="514"/>
      <c r="R702" s="514"/>
      <c r="S702" s="514"/>
      <c r="T702" s="514"/>
      <c r="U702" s="514"/>
      <c r="V702" s="514"/>
      <c r="W702" s="514"/>
      <c r="X702" s="514"/>
      <c r="Y702" s="514"/>
    </row>
    <row customHeight="true" ht="16.666666666666668" r="703">
      <c r="A703" s="514"/>
      <c r="B703" s="514"/>
      <c r="C703" s="514"/>
      <c r="D703" s="514"/>
      <c r="E703" s="514"/>
      <c r="F703" s="514"/>
      <c r="G703" s="514"/>
      <c r="H703" s="514"/>
      <c r="I703" s="514"/>
      <c r="J703" s="514"/>
      <c r="K703" s="514"/>
      <c r="L703" s="514"/>
      <c r="M703" s="514"/>
      <c r="N703" s="514"/>
      <c r="O703" s="514"/>
      <c r="P703" s="514"/>
      <c r="Q703" s="514"/>
      <c r="R703" s="514"/>
      <c r="S703" s="514"/>
      <c r="T703" s="514"/>
      <c r="U703" s="514"/>
      <c r="V703" s="514"/>
      <c r="W703" s="514"/>
      <c r="X703" s="514"/>
      <c r="Y703" s="514"/>
    </row>
    <row customHeight="true" ht="16.666666666666668" r="704">
      <c r="A704" s="514"/>
      <c r="B704" s="514"/>
      <c r="C704" s="514"/>
      <c r="D704" s="514"/>
      <c r="E704" s="514"/>
      <c r="F704" s="514"/>
      <c r="G704" s="514"/>
      <c r="H704" s="514"/>
      <c r="I704" s="514"/>
      <c r="J704" s="514"/>
      <c r="K704" s="514"/>
      <c r="L704" s="514"/>
      <c r="M704" s="514"/>
      <c r="N704" s="514"/>
      <c r="O704" s="514"/>
      <c r="P704" s="514"/>
      <c r="Q704" s="514"/>
      <c r="R704" s="514"/>
      <c r="S704" s="514"/>
      <c r="T704" s="514"/>
      <c r="U704" s="514"/>
      <c r="V704" s="514"/>
      <c r="W704" s="514"/>
      <c r="X704" s="514"/>
      <c r="Y704" s="514"/>
    </row>
    <row customHeight="true" ht="16.666666666666668" r="705">
      <c r="A705" s="514"/>
      <c r="B705" s="514"/>
      <c r="C705" s="514"/>
      <c r="D705" s="514"/>
      <c r="E705" s="514"/>
      <c r="F705" s="514"/>
      <c r="G705" s="514"/>
      <c r="H705" s="514"/>
      <c r="I705" s="514"/>
      <c r="J705" s="514"/>
      <c r="K705" s="514"/>
      <c r="L705" s="514"/>
      <c r="M705" s="514"/>
      <c r="N705" s="514"/>
      <c r="O705" s="514"/>
      <c r="P705" s="514"/>
      <c r="Q705" s="514"/>
      <c r="R705" s="514"/>
      <c r="S705" s="514"/>
      <c r="T705" s="514"/>
      <c r="U705" s="514"/>
      <c r="V705" s="514"/>
      <c r="W705" s="514"/>
      <c r="X705" s="514"/>
      <c r="Y705" s="514"/>
    </row>
    <row customHeight="true" ht="16.666666666666668" r="706">
      <c r="A706" s="514"/>
      <c r="B706" s="514"/>
      <c r="C706" s="514"/>
      <c r="D706" s="514"/>
      <c r="E706" s="514"/>
      <c r="F706" s="514"/>
      <c r="G706" s="514"/>
      <c r="H706" s="514"/>
      <c r="I706" s="514"/>
      <c r="J706" s="514"/>
      <c r="K706" s="514"/>
      <c r="L706" s="514"/>
      <c r="M706" s="514"/>
      <c r="N706" s="514"/>
      <c r="O706" s="514"/>
      <c r="P706" s="514"/>
      <c r="Q706" s="514"/>
      <c r="R706" s="514"/>
      <c r="S706" s="514"/>
      <c r="T706" s="514"/>
      <c r="U706" s="514"/>
      <c r="V706" s="514"/>
      <c r="W706" s="514"/>
      <c r="X706" s="514"/>
      <c r="Y706" s="514"/>
    </row>
    <row customHeight="true" ht="16.666666666666668" r="707">
      <c r="A707" s="514"/>
      <c r="B707" s="514"/>
      <c r="C707" s="514"/>
      <c r="D707" s="514"/>
      <c r="E707" s="514"/>
      <c r="F707" s="514"/>
      <c r="G707" s="514"/>
      <c r="H707" s="514"/>
      <c r="I707" s="514"/>
      <c r="J707" s="514"/>
      <c r="K707" s="514"/>
      <c r="L707" s="514"/>
      <c r="M707" s="514"/>
      <c r="N707" s="514"/>
      <c r="O707" s="514"/>
      <c r="P707" s="514"/>
      <c r="Q707" s="514"/>
      <c r="R707" s="514"/>
      <c r="S707" s="514"/>
      <c r="T707" s="514"/>
      <c r="U707" s="514"/>
      <c r="V707" s="514"/>
      <c r="W707" s="514"/>
      <c r="X707" s="514"/>
      <c r="Y707" s="514"/>
    </row>
    <row customHeight="true" ht="16.666666666666668" r="708">
      <c r="A708" s="514"/>
      <c r="B708" s="514"/>
      <c r="C708" s="514"/>
      <c r="D708" s="514"/>
      <c r="E708" s="514"/>
      <c r="F708" s="514"/>
      <c r="G708" s="514"/>
      <c r="H708" s="514"/>
      <c r="I708" s="514"/>
      <c r="J708" s="514"/>
      <c r="K708" s="514"/>
      <c r="L708" s="514"/>
      <c r="M708" s="514"/>
      <c r="N708" s="514"/>
      <c r="O708" s="514"/>
      <c r="P708" s="514"/>
      <c r="Q708" s="514"/>
      <c r="R708" s="514"/>
      <c r="S708" s="514"/>
      <c r="T708" s="514"/>
      <c r="U708" s="514"/>
      <c r="V708" s="514"/>
      <c r="W708" s="514"/>
      <c r="X708" s="514"/>
      <c r="Y708" s="514"/>
    </row>
    <row customHeight="true" ht="16.666666666666668" r="709">
      <c r="A709" s="514"/>
      <c r="B709" s="514"/>
      <c r="C709" s="514"/>
      <c r="D709" s="514"/>
      <c r="E709" s="514"/>
      <c r="F709" s="514"/>
      <c r="G709" s="514"/>
      <c r="H709" s="514"/>
      <c r="I709" s="514"/>
      <c r="J709" s="514"/>
      <c r="K709" s="514"/>
      <c r="L709" s="514"/>
      <c r="M709" s="514"/>
      <c r="N709" s="514"/>
      <c r="O709" s="514"/>
      <c r="P709" s="514"/>
      <c r="Q709" s="514"/>
      <c r="R709" s="514"/>
      <c r="S709" s="514"/>
      <c r="T709" s="514"/>
      <c r="U709" s="514"/>
      <c r="V709" s="514"/>
      <c r="W709" s="514"/>
      <c r="X709" s="514"/>
      <c r="Y709" s="514"/>
    </row>
    <row customHeight="true" ht="16.666666666666668" r="710">
      <c r="A710" s="514"/>
      <c r="B710" s="514"/>
      <c r="C710" s="514"/>
      <c r="D710" s="514"/>
      <c r="E710" s="514"/>
      <c r="F710" s="514"/>
      <c r="G710" s="514"/>
      <c r="H710" s="514"/>
      <c r="I710" s="514"/>
      <c r="J710" s="514"/>
      <c r="K710" s="514"/>
      <c r="L710" s="514"/>
      <c r="M710" s="514"/>
      <c r="N710" s="514"/>
      <c r="O710" s="514"/>
      <c r="P710" s="514"/>
      <c r="Q710" s="514"/>
      <c r="R710" s="514"/>
      <c r="S710" s="514"/>
      <c r="T710" s="514"/>
      <c r="U710" s="514"/>
      <c r="V710" s="514"/>
      <c r="W710" s="514"/>
      <c r="X710" s="514"/>
      <c r="Y710" s="514"/>
    </row>
    <row customHeight="true" ht="16.666666666666668" r="711">
      <c r="A711" s="514"/>
      <c r="B711" s="514"/>
      <c r="C711" s="514"/>
      <c r="D711" s="514"/>
      <c r="E711" s="514"/>
      <c r="F711" s="514"/>
      <c r="G711" s="514"/>
      <c r="H711" s="514"/>
      <c r="I711" s="514"/>
      <c r="J711" s="514"/>
      <c r="K711" s="514"/>
      <c r="L711" s="514"/>
      <c r="M711" s="514"/>
      <c r="N711" s="514"/>
      <c r="O711" s="514"/>
      <c r="P711" s="514"/>
      <c r="Q711" s="514"/>
      <c r="R711" s="514"/>
      <c r="S711" s="514"/>
      <c r="T711" s="514"/>
      <c r="U711" s="514"/>
      <c r="V711" s="514"/>
      <c r="W711" s="514"/>
      <c r="X711" s="514"/>
      <c r="Y711" s="514"/>
    </row>
    <row customHeight="true" ht="16.666666666666668" r="712">
      <c r="A712" s="514"/>
      <c r="B712" s="514"/>
      <c r="C712" s="514"/>
      <c r="D712" s="514"/>
      <c r="E712" s="514"/>
      <c r="F712" s="514"/>
      <c r="G712" s="514"/>
      <c r="H712" s="514"/>
      <c r="I712" s="514"/>
      <c r="J712" s="514"/>
      <c r="K712" s="514"/>
      <c r="L712" s="514"/>
      <c r="M712" s="514"/>
      <c r="N712" s="514"/>
      <c r="O712" s="514"/>
      <c r="P712" s="514"/>
      <c r="Q712" s="514"/>
      <c r="R712" s="514"/>
      <c r="S712" s="514"/>
      <c r="T712" s="514"/>
      <c r="U712" s="514"/>
      <c r="V712" s="514"/>
      <c r="W712" s="514"/>
      <c r="X712" s="514"/>
      <c r="Y712" s="514"/>
    </row>
    <row customHeight="true" ht="16.666666666666668" r="713">
      <c r="A713" s="514"/>
      <c r="B713" s="514"/>
      <c r="C713" s="514"/>
      <c r="D713" s="514"/>
      <c r="E713" s="514"/>
      <c r="F713" s="514"/>
      <c r="G713" s="514"/>
      <c r="H713" s="514"/>
      <c r="I713" s="514"/>
      <c r="J713" s="514"/>
      <c r="K713" s="514"/>
      <c r="L713" s="514"/>
      <c r="M713" s="514"/>
      <c r="N713" s="514"/>
      <c r="O713" s="514"/>
      <c r="P713" s="514"/>
      <c r="Q713" s="514"/>
      <c r="R713" s="514"/>
      <c r="S713" s="514"/>
      <c r="T713" s="514"/>
      <c r="U713" s="514"/>
      <c r="V713" s="514"/>
      <c r="W713" s="514"/>
      <c r="X713" s="514"/>
      <c r="Y713" s="514"/>
    </row>
    <row customHeight="true" ht="16.666666666666668" r="714">
      <c r="A714" s="514"/>
      <c r="B714" s="514"/>
      <c r="C714" s="514"/>
      <c r="D714" s="514"/>
      <c r="E714" s="514"/>
      <c r="F714" s="514"/>
      <c r="G714" s="514"/>
      <c r="H714" s="514"/>
      <c r="I714" s="514"/>
      <c r="J714" s="514"/>
      <c r="K714" s="514"/>
      <c r="L714" s="514"/>
      <c r="M714" s="514"/>
      <c r="N714" s="514"/>
      <c r="O714" s="514"/>
      <c r="P714" s="514"/>
      <c r="Q714" s="514"/>
      <c r="R714" s="514"/>
      <c r="S714" s="514"/>
      <c r="T714" s="514"/>
      <c r="U714" s="514"/>
      <c r="V714" s="514"/>
      <c r="W714" s="514"/>
      <c r="X714" s="514"/>
      <c r="Y714" s="514"/>
    </row>
    <row customHeight="true" ht="16.666666666666668" r="715">
      <c r="A715" s="514"/>
      <c r="B715" s="514"/>
      <c r="C715" s="514"/>
      <c r="D715" s="514"/>
      <c r="E715" s="514"/>
      <c r="F715" s="514"/>
      <c r="G715" s="514"/>
      <c r="H715" s="514"/>
      <c r="I715" s="514"/>
      <c r="J715" s="514"/>
      <c r="K715" s="514"/>
      <c r="L715" s="514"/>
      <c r="M715" s="514"/>
      <c r="N715" s="514"/>
      <c r="O715" s="514"/>
      <c r="P715" s="514"/>
      <c r="Q715" s="514"/>
      <c r="R715" s="514"/>
      <c r="S715" s="514"/>
      <c r="T715" s="514"/>
      <c r="U715" s="514"/>
      <c r="V715" s="514"/>
      <c r="W715" s="514"/>
      <c r="X715" s="514"/>
      <c r="Y715" s="514"/>
    </row>
    <row customHeight="true" ht="16.666666666666668" r="716">
      <c r="A716" s="514"/>
      <c r="B716" s="514"/>
      <c r="C716" s="514"/>
      <c r="D716" s="514"/>
      <c r="E716" s="514"/>
      <c r="F716" s="514"/>
      <c r="G716" s="514"/>
      <c r="H716" s="514"/>
      <c r="I716" s="514"/>
      <c r="J716" s="514"/>
      <c r="K716" s="514"/>
      <c r="L716" s="514"/>
      <c r="M716" s="514"/>
      <c r="N716" s="514"/>
      <c r="O716" s="514"/>
      <c r="P716" s="514"/>
      <c r="Q716" s="514"/>
      <c r="R716" s="514"/>
      <c r="S716" s="514"/>
      <c r="T716" s="514"/>
      <c r="U716" s="514"/>
      <c r="V716" s="514"/>
      <c r="W716" s="514"/>
      <c r="X716" s="514"/>
      <c r="Y716" s="514"/>
    </row>
    <row customHeight="true" ht="16.666666666666668" r="717">
      <c r="A717" s="514"/>
      <c r="B717" s="514"/>
      <c r="C717" s="514"/>
      <c r="D717" s="514"/>
      <c r="E717" s="514"/>
      <c r="F717" s="514"/>
      <c r="G717" s="514"/>
      <c r="H717" s="514"/>
      <c r="I717" s="514"/>
      <c r="J717" s="514"/>
      <c r="K717" s="514"/>
      <c r="L717" s="514"/>
      <c r="M717" s="514"/>
      <c r="N717" s="514"/>
      <c r="O717" s="514"/>
      <c r="P717" s="514"/>
      <c r="Q717" s="514"/>
      <c r="R717" s="514"/>
      <c r="S717" s="514"/>
      <c r="T717" s="514"/>
      <c r="U717" s="514"/>
      <c r="V717" s="514"/>
      <c r="W717" s="514"/>
      <c r="X717" s="514"/>
      <c r="Y717" s="514"/>
    </row>
    <row customHeight="true" ht="16.666666666666668" r="718">
      <c r="A718" s="514"/>
      <c r="B718" s="514"/>
      <c r="C718" s="514"/>
      <c r="D718" s="514"/>
      <c r="E718" s="514"/>
      <c r="F718" s="514"/>
      <c r="G718" s="514"/>
      <c r="H718" s="514"/>
      <c r="I718" s="514"/>
      <c r="J718" s="514"/>
      <c r="K718" s="514"/>
      <c r="L718" s="514"/>
      <c r="M718" s="514"/>
      <c r="N718" s="514"/>
      <c r="O718" s="514"/>
      <c r="P718" s="514"/>
      <c r="Q718" s="514"/>
      <c r="R718" s="514"/>
      <c r="S718" s="514"/>
      <c r="T718" s="514"/>
      <c r="U718" s="514"/>
      <c r="V718" s="514"/>
      <c r="W718" s="514"/>
      <c r="X718" s="514"/>
      <c r="Y718" s="514"/>
    </row>
    <row customHeight="true" ht="16.666666666666668" r="719">
      <c r="A719" s="514"/>
      <c r="B719" s="514"/>
      <c r="C719" s="514"/>
      <c r="D719" s="514"/>
      <c r="E719" s="514"/>
      <c r="F719" s="514"/>
      <c r="G719" s="514"/>
      <c r="H719" s="514"/>
      <c r="I719" s="514"/>
      <c r="J719" s="514"/>
      <c r="K719" s="514"/>
      <c r="L719" s="514"/>
      <c r="M719" s="514"/>
      <c r="N719" s="514"/>
      <c r="O719" s="514"/>
      <c r="P719" s="514"/>
      <c r="Q719" s="514"/>
      <c r="R719" s="514"/>
      <c r="S719" s="514"/>
      <c r="T719" s="514"/>
      <c r="U719" s="514"/>
      <c r="V719" s="514"/>
      <c r="W719" s="514"/>
      <c r="X719" s="514"/>
      <c r="Y719" s="514"/>
    </row>
    <row customHeight="true" ht="16.666666666666668" r="720">
      <c r="A720" s="514"/>
      <c r="B720" s="514"/>
      <c r="C720" s="514"/>
      <c r="D720" s="514"/>
      <c r="E720" s="514"/>
      <c r="F720" s="514"/>
      <c r="G720" s="514"/>
      <c r="H720" s="514"/>
      <c r="I720" s="514"/>
      <c r="J720" s="514"/>
      <c r="K720" s="514"/>
      <c r="L720" s="514"/>
      <c r="M720" s="514"/>
      <c r="N720" s="514"/>
      <c r="O720" s="514"/>
      <c r="P720" s="514"/>
      <c r="Q720" s="514"/>
      <c r="R720" s="514"/>
      <c r="S720" s="514"/>
      <c r="T720" s="514"/>
      <c r="U720" s="514"/>
      <c r="V720" s="514"/>
      <c r="W720" s="514"/>
      <c r="X720" s="514"/>
      <c r="Y720" s="514"/>
    </row>
    <row customHeight="true" ht="16.666666666666668" r="721">
      <c r="A721" s="514"/>
      <c r="B721" s="514"/>
      <c r="C721" s="514"/>
      <c r="D721" s="514"/>
      <c r="E721" s="514"/>
      <c r="F721" s="514"/>
      <c r="G721" s="514"/>
      <c r="H721" s="514"/>
      <c r="I721" s="514"/>
      <c r="J721" s="514"/>
      <c r="K721" s="514"/>
      <c r="L721" s="514"/>
      <c r="M721" s="514"/>
      <c r="N721" s="514"/>
      <c r="O721" s="514"/>
      <c r="P721" s="514"/>
      <c r="Q721" s="514"/>
      <c r="R721" s="514"/>
      <c r="S721" s="514"/>
      <c r="T721" s="514"/>
      <c r="U721" s="514"/>
      <c r="V721" s="514"/>
      <c r="W721" s="514"/>
      <c r="X721" s="514"/>
      <c r="Y721" s="514"/>
    </row>
    <row customHeight="true" ht="16.666666666666668" r="722">
      <c r="A722" s="514"/>
      <c r="B722" s="514"/>
      <c r="C722" s="514"/>
      <c r="D722" s="514"/>
      <c r="E722" s="514"/>
      <c r="F722" s="514"/>
      <c r="G722" s="514"/>
      <c r="H722" s="514"/>
      <c r="I722" s="514"/>
      <c r="J722" s="514"/>
      <c r="K722" s="514"/>
      <c r="L722" s="514"/>
      <c r="M722" s="514"/>
      <c r="N722" s="514"/>
      <c r="O722" s="514"/>
      <c r="P722" s="514"/>
      <c r="Q722" s="514"/>
      <c r="R722" s="514"/>
      <c r="S722" s="514"/>
      <c r="T722" s="514"/>
      <c r="U722" s="514"/>
      <c r="V722" s="514"/>
      <c r="W722" s="514"/>
      <c r="X722" s="514"/>
      <c r="Y722" s="514"/>
    </row>
    <row customHeight="true" ht="16.666666666666668" r="723">
      <c r="A723" s="514"/>
      <c r="B723" s="514"/>
      <c r="C723" s="514"/>
      <c r="D723" s="514"/>
      <c r="E723" s="514"/>
      <c r="F723" s="514"/>
      <c r="G723" s="514"/>
      <c r="H723" s="514"/>
      <c r="I723" s="514"/>
      <c r="J723" s="514"/>
      <c r="K723" s="514"/>
      <c r="L723" s="514"/>
      <c r="M723" s="514"/>
      <c r="N723" s="514"/>
      <c r="O723" s="514"/>
      <c r="P723" s="514"/>
      <c r="Q723" s="514"/>
      <c r="R723" s="514"/>
      <c r="S723" s="514"/>
      <c r="T723" s="514"/>
      <c r="U723" s="514"/>
      <c r="V723" s="514"/>
      <c r="W723" s="514"/>
      <c r="X723" s="514"/>
      <c r="Y723" s="514"/>
    </row>
    <row customHeight="true" ht="16.666666666666668" r="724">
      <c r="A724" s="514"/>
      <c r="B724" s="514"/>
      <c r="C724" s="514"/>
      <c r="D724" s="514"/>
      <c r="E724" s="514"/>
      <c r="F724" s="514"/>
      <c r="G724" s="514"/>
      <c r="H724" s="514"/>
      <c r="I724" s="514"/>
      <c r="J724" s="514"/>
      <c r="K724" s="514"/>
      <c r="L724" s="514"/>
      <c r="M724" s="514"/>
      <c r="N724" s="514"/>
      <c r="O724" s="514"/>
      <c r="P724" s="514"/>
      <c r="Q724" s="514"/>
      <c r="R724" s="514"/>
      <c r="S724" s="514"/>
      <c r="T724" s="514"/>
      <c r="U724" s="514"/>
      <c r="V724" s="514"/>
      <c r="W724" s="514"/>
      <c r="X724" s="514"/>
      <c r="Y724" s="514"/>
    </row>
    <row customHeight="true" ht="16.666666666666668" r="725">
      <c r="A725" s="514"/>
      <c r="B725" s="514"/>
      <c r="C725" s="514"/>
      <c r="D725" s="514"/>
      <c r="E725" s="514"/>
      <c r="F725" s="514"/>
      <c r="G725" s="514"/>
      <c r="H725" s="514"/>
      <c r="I725" s="514"/>
      <c r="J725" s="514"/>
      <c r="K725" s="514"/>
      <c r="L725" s="514"/>
      <c r="M725" s="514"/>
      <c r="N725" s="514"/>
      <c r="O725" s="514"/>
      <c r="P725" s="514"/>
      <c r="Q725" s="514"/>
      <c r="R725" s="514"/>
      <c r="S725" s="514"/>
      <c r="T725" s="514"/>
      <c r="U725" s="514"/>
      <c r="V725" s="514"/>
      <c r="W725" s="514"/>
      <c r="X725" s="514"/>
      <c r="Y725" s="514"/>
    </row>
    <row customHeight="true" ht="16.666666666666668" r="726">
      <c r="A726" s="514"/>
      <c r="B726" s="514"/>
      <c r="C726" s="514"/>
      <c r="D726" s="514"/>
      <c r="E726" s="514"/>
      <c r="F726" s="514"/>
      <c r="G726" s="514"/>
      <c r="H726" s="514"/>
      <c r="I726" s="514"/>
      <c r="J726" s="514"/>
      <c r="K726" s="514"/>
      <c r="L726" s="514"/>
      <c r="M726" s="514"/>
      <c r="N726" s="514"/>
      <c r="O726" s="514"/>
      <c r="P726" s="514"/>
      <c r="Q726" s="514"/>
      <c r="R726" s="514"/>
      <c r="S726" s="514"/>
      <c r="T726" s="514"/>
      <c r="U726" s="514"/>
      <c r="V726" s="514"/>
      <c r="W726" s="514"/>
      <c r="X726" s="514"/>
      <c r="Y726" s="514"/>
    </row>
    <row customHeight="true" ht="16.666666666666668" r="727">
      <c r="A727" s="514"/>
      <c r="B727" s="514"/>
      <c r="C727" s="514"/>
      <c r="D727" s="514"/>
      <c r="E727" s="514"/>
      <c r="F727" s="514"/>
      <c r="G727" s="514"/>
      <c r="H727" s="514"/>
      <c r="I727" s="514"/>
      <c r="J727" s="514"/>
      <c r="K727" s="514"/>
      <c r="L727" s="514"/>
      <c r="M727" s="514"/>
      <c r="N727" s="514"/>
      <c r="O727" s="514"/>
      <c r="P727" s="514"/>
      <c r="Q727" s="514"/>
      <c r="R727" s="514"/>
      <c r="S727" s="514"/>
      <c r="T727" s="514"/>
      <c r="U727" s="514"/>
      <c r="V727" s="514"/>
      <c r="W727" s="514"/>
      <c r="X727" s="514"/>
      <c r="Y727" s="514"/>
    </row>
    <row customHeight="true" ht="16.666666666666668" r="728">
      <c r="A728" s="514"/>
      <c r="B728" s="514"/>
      <c r="C728" s="514"/>
      <c r="D728" s="514"/>
      <c r="E728" s="514"/>
      <c r="F728" s="514"/>
      <c r="G728" s="514"/>
      <c r="H728" s="514"/>
      <c r="I728" s="514"/>
      <c r="J728" s="514"/>
      <c r="K728" s="514"/>
      <c r="L728" s="514"/>
      <c r="M728" s="514"/>
      <c r="N728" s="514"/>
      <c r="O728" s="514"/>
      <c r="P728" s="514"/>
      <c r="Q728" s="514"/>
      <c r="R728" s="514"/>
      <c r="S728" s="514"/>
      <c r="T728" s="514"/>
      <c r="U728" s="514"/>
      <c r="V728" s="514"/>
      <c r="W728" s="514"/>
      <c r="X728" s="514"/>
      <c r="Y728" s="514"/>
    </row>
    <row customHeight="true" ht="16.666666666666668" r="729">
      <c r="A729" s="514"/>
      <c r="B729" s="514"/>
      <c r="C729" s="514"/>
      <c r="D729" s="514"/>
      <c r="E729" s="514"/>
      <c r="F729" s="514"/>
      <c r="G729" s="514"/>
      <c r="H729" s="514"/>
      <c r="I729" s="514"/>
      <c r="J729" s="514"/>
      <c r="K729" s="514"/>
      <c r="L729" s="514"/>
      <c r="M729" s="514"/>
      <c r="N729" s="514"/>
      <c r="O729" s="514"/>
      <c r="P729" s="514"/>
      <c r="Q729" s="514"/>
      <c r="R729" s="514"/>
      <c r="S729" s="514"/>
      <c r="T729" s="514"/>
      <c r="U729" s="514"/>
      <c r="V729" s="514"/>
      <c r="W729" s="514"/>
      <c r="X729" s="514"/>
      <c r="Y729" s="514"/>
    </row>
    <row customHeight="true" ht="16.666666666666668" r="730">
      <c r="A730" s="514"/>
      <c r="B730" s="514"/>
      <c r="C730" s="514"/>
      <c r="D730" s="514"/>
      <c r="E730" s="514"/>
      <c r="F730" s="514"/>
      <c r="G730" s="514"/>
      <c r="H730" s="514"/>
      <c r="I730" s="514"/>
      <c r="J730" s="514"/>
      <c r="K730" s="514"/>
      <c r="L730" s="514"/>
      <c r="M730" s="514"/>
      <c r="N730" s="514"/>
      <c r="O730" s="514"/>
      <c r="P730" s="514"/>
      <c r="Q730" s="514"/>
      <c r="R730" s="514"/>
      <c r="S730" s="514"/>
      <c r="T730" s="514"/>
      <c r="U730" s="514"/>
      <c r="V730" s="514"/>
      <c r="W730" s="514"/>
      <c r="X730" s="514"/>
      <c r="Y730" s="514"/>
    </row>
    <row customHeight="true" ht="16.666666666666668" r="731">
      <c r="A731" s="514"/>
      <c r="B731" s="514"/>
      <c r="C731" s="514"/>
      <c r="D731" s="514"/>
      <c r="E731" s="514"/>
      <c r="F731" s="514"/>
      <c r="G731" s="514"/>
      <c r="H731" s="514"/>
      <c r="I731" s="514"/>
      <c r="J731" s="514"/>
      <c r="K731" s="514"/>
      <c r="L731" s="514"/>
      <c r="M731" s="514"/>
      <c r="N731" s="514"/>
      <c r="O731" s="514"/>
      <c r="P731" s="514"/>
      <c r="Q731" s="514"/>
      <c r="R731" s="514"/>
      <c r="S731" s="514"/>
      <c r="T731" s="514"/>
      <c r="U731" s="514"/>
      <c r="V731" s="514"/>
      <c r="W731" s="514"/>
      <c r="X731" s="514"/>
      <c r="Y731" s="514"/>
    </row>
    <row customHeight="true" ht="16.666666666666668" r="732">
      <c r="A732" s="514"/>
      <c r="B732" s="514"/>
      <c r="C732" s="514"/>
      <c r="D732" s="514"/>
      <c r="E732" s="514"/>
      <c r="F732" s="514"/>
      <c r="G732" s="514"/>
      <c r="H732" s="514"/>
      <c r="I732" s="514"/>
      <c r="J732" s="514"/>
      <c r="K732" s="514"/>
      <c r="L732" s="514"/>
      <c r="M732" s="514"/>
      <c r="N732" s="514"/>
      <c r="O732" s="514"/>
      <c r="P732" s="514"/>
      <c r="Q732" s="514"/>
      <c r="R732" s="514"/>
      <c r="S732" s="514"/>
      <c r="T732" s="514"/>
      <c r="U732" s="514"/>
      <c r="V732" s="514"/>
      <c r="W732" s="514"/>
      <c r="X732" s="514"/>
      <c r="Y732" s="514"/>
    </row>
    <row customHeight="true" ht="16.666666666666668" r="733">
      <c r="A733" s="514"/>
      <c r="B733" s="514"/>
      <c r="C733" s="514"/>
      <c r="D733" s="514"/>
      <c r="E733" s="514"/>
      <c r="F733" s="514"/>
      <c r="G733" s="514"/>
      <c r="H733" s="514"/>
      <c r="I733" s="514"/>
      <c r="J733" s="514"/>
      <c r="K733" s="514"/>
      <c r="L733" s="514"/>
      <c r="M733" s="514"/>
      <c r="N733" s="514"/>
      <c r="O733" s="514"/>
      <c r="P733" s="514"/>
      <c r="Q733" s="514"/>
      <c r="R733" s="514"/>
      <c r="S733" s="514"/>
      <c r="T733" s="514"/>
      <c r="U733" s="514"/>
      <c r="V733" s="514"/>
      <c r="W733" s="514"/>
      <c r="X733" s="514"/>
      <c r="Y733" s="514"/>
    </row>
    <row customHeight="true" ht="16.666666666666668" r="734">
      <c r="A734" s="514"/>
      <c r="B734" s="514"/>
      <c r="C734" s="514"/>
      <c r="D734" s="514"/>
      <c r="E734" s="514"/>
      <c r="F734" s="514"/>
      <c r="G734" s="514"/>
      <c r="H734" s="514"/>
      <c r="I734" s="514"/>
      <c r="J734" s="514"/>
      <c r="K734" s="514"/>
      <c r="L734" s="514"/>
      <c r="M734" s="514"/>
      <c r="N734" s="514"/>
      <c r="O734" s="514"/>
      <c r="P734" s="514"/>
      <c r="Q734" s="514"/>
      <c r="R734" s="514"/>
      <c r="S734" s="514"/>
      <c r="T734" s="514"/>
      <c r="U734" s="514"/>
      <c r="V734" s="514"/>
      <c r="W734" s="514"/>
      <c r="X734" s="514"/>
      <c r="Y734" s="514"/>
    </row>
    <row customHeight="true" ht="16.666666666666668" r="735">
      <c r="A735" s="514"/>
      <c r="B735" s="514"/>
      <c r="C735" s="514"/>
      <c r="D735" s="514"/>
      <c r="E735" s="514"/>
      <c r="F735" s="514"/>
      <c r="G735" s="514"/>
      <c r="H735" s="514"/>
      <c r="I735" s="514"/>
      <c r="J735" s="514"/>
      <c r="K735" s="514"/>
      <c r="L735" s="514"/>
      <c r="M735" s="514"/>
      <c r="N735" s="514"/>
      <c r="O735" s="514"/>
      <c r="P735" s="514"/>
      <c r="Q735" s="514"/>
      <c r="R735" s="514"/>
      <c r="S735" s="514"/>
      <c r="T735" s="514"/>
      <c r="U735" s="514"/>
      <c r="V735" s="514"/>
      <c r="W735" s="514"/>
      <c r="X735" s="514"/>
      <c r="Y735" s="514"/>
    </row>
    <row customHeight="true" ht="16.666666666666668" r="736">
      <c r="A736" s="514"/>
      <c r="B736" s="514"/>
      <c r="C736" s="514"/>
      <c r="D736" s="514"/>
      <c r="E736" s="514"/>
      <c r="F736" s="514"/>
      <c r="G736" s="514"/>
      <c r="H736" s="514"/>
      <c r="I736" s="514"/>
      <c r="J736" s="514"/>
      <c r="K736" s="514"/>
      <c r="L736" s="514"/>
      <c r="M736" s="514"/>
      <c r="N736" s="514"/>
      <c r="O736" s="514"/>
      <c r="P736" s="514"/>
      <c r="Q736" s="514"/>
      <c r="R736" s="514"/>
      <c r="S736" s="514"/>
      <c r="T736" s="514"/>
      <c r="U736" s="514"/>
      <c r="V736" s="514"/>
      <c r="W736" s="514"/>
      <c r="X736" s="514"/>
      <c r="Y736" s="514"/>
    </row>
    <row customHeight="true" ht="16.666666666666668" r="737">
      <c r="A737" s="514"/>
      <c r="B737" s="514"/>
      <c r="C737" s="514"/>
      <c r="D737" s="514"/>
      <c r="E737" s="514"/>
      <c r="F737" s="514"/>
      <c r="G737" s="514"/>
      <c r="H737" s="514"/>
      <c r="I737" s="514"/>
      <c r="J737" s="514"/>
      <c r="K737" s="514"/>
      <c r="L737" s="514"/>
      <c r="M737" s="514"/>
      <c r="N737" s="514"/>
      <c r="O737" s="514"/>
      <c r="P737" s="514"/>
      <c r="Q737" s="514"/>
      <c r="R737" s="514"/>
      <c r="S737" s="514"/>
      <c r="T737" s="514"/>
      <c r="U737" s="514"/>
      <c r="V737" s="514"/>
      <c r="W737" s="514"/>
      <c r="X737" s="514"/>
      <c r="Y737" s="514"/>
    </row>
    <row customHeight="true" ht="16.666666666666668" r="738">
      <c r="A738" s="514"/>
      <c r="B738" s="514"/>
      <c r="C738" s="514"/>
      <c r="D738" s="514"/>
      <c r="E738" s="514"/>
      <c r="F738" s="514"/>
      <c r="G738" s="514"/>
      <c r="H738" s="514"/>
      <c r="I738" s="514"/>
      <c r="J738" s="514"/>
      <c r="K738" s="514"/>
      <c r="L738" s="514"/>
      <c r="M738" s="514"/>
      <c r="N738" s="514"/>
      <c r="O738" s="514"/>
      <c r="P738" s="514"/>
      <c r="Q738" s="514"/>
      <c r="R738" s="514"/>
      <c r="S738" s="514"/>
      <c r="T738" s="514"/>
      <c r="U738" s="514"/>
      <c r="V738" s="514"/>
      <c r="W738" s="514"/>
      <c r="X738" s="514"/>
      <c r="Y738" s="514"/>
    </row>
    <row customHeight="true" ht="16.666666666666668" r="739">
      <c r="A739" s="514"/>
      <c r="B739" s="514"/>
      <c r="C739" s="514"/>
      <c r="D739" s="514"/>
      <c r="E739" s="514"/>
      <c r="F739" s="514"/>
      <c r="G739" s="514"/>
      <c r="H739" s="514"/>
      <c r="I739" s="514"/>
      <c r="J739" s="514"/>
      <c r="K739" s="514"/>
      <c r="L739" s="514"/>
      <c r="M739" s="514"/>
      <c r="N739" s="514"/>
      <c r="O739" s="514"/>
      <c r="P739" s="514"/>
      <c r="Q739" s="514"/>
      <c r="R739" s="514"/>
      <c r="S739" s="514"/>
      <c r="T739" s="514"/>
      <c r="U739" s="514"/>
      <c r="V739" s="514"/>
      <c r="W739" s="514"/>
      <c r="X739" s="514"/>
      <c r="Y739" s="514"/>
    </row>
    <row customHeight="true" ht="16.666666666666668" r="740">
      <c r="A740" s="514"/>
      <c r="B740" s="514"/>
      <c r="C740" s="514"/>
      <c r="D740" s="514"/>
      <c r="E740" s="514"/>
      <c r="F740" s="514"/>
      <c r="G740" s="514"/>
      <c r="H740" s="514"/>
      <c r="I740" s="514"/>
      <c r="J740" s="514"/>
      <c r="K740" s="514"/>
      <c r="L740" s="514"/>
      <c r="M740" s="514"/>
      <c r="N740" s="514"/>
      <c r="O740" s="514"/>
      <c r="P740" s="514"/>
      <c r="Q740" s="514"/>
      <c r="R740" s="514"/>
      <c r="S740" s="514"/>
      <c r="T740" s="514"/>
      <c r="U740" s="514"/>
      <c r="V740" s="514"/>
      <c r="W740" s="514"/>
      <c r="X740" s="514"/>
      <c r="Y740" s="514"/>
    </row>
    <row customHeight="true" ht="16.666666666666668" r="741">
      <c r="A741" s="514"/>
      <c r="B741" s="514"/>
      <c r="C741" s="514"/>
      <c r="D741" s="514"/>
      <c r="E741" s="514"/>
      <c r="F741" s="514"/>
      <c r="G741" s="514"/>
      <c r="H741" s="514"/>
      <c r="I741" s="514"/>
      <c r="J741" s="514"/>
      <c r="K741" s="514"/>
      <c r="L741" s="514"/>
      <c r="M741" s="514"/>
      <c r="N741" s="514"/>
      <c r="O741" s="514"/>
      <c r="P741" s="514"/>
      <c r="Q741" s="514"/>
      <c r="R741" s="514"/>
      <c r="S741" s="514"/>
      <c r="T741" s="514"/>
      <c r="U741" s="514"/>
      <c r="V741" s="514"/>
      <c r="W741" s="514"/>
      <c r="X741" s="514"/>
      <c r="Y741" s="514"/>
    </row>
    <row customHeight="true" ht="16.666666666666668" r="742">
      <c r="A742" s="514"/>
      <c r="B742" s="514"/>
      <c r="C742" s="514"/>
      <c r="D742" s="514"/>
      <c r="E742" s="514"/>
      <c r="F742" s="514"/>
      <c r="G742" s="514"/>
      <c r="H742" s="514"/>
      <c r="I742" s="514"/>
      <c r="J742" s="514"/>
      <c r="K742" s="514"/>
      <c r="L742" s="514"/>
      <c r="M742" s="514"/>
      <c r="N742" s="514"/>
      <c r="O742" s="514"/>
      <c r="P742" s="514"/>
      <c r="Q742" s="514"/>
      <c r="R742" s="514"/>
      <c r="S742" s="514"/>
      <c r="T742" s="514"/>
      <c r="U742" s="514"/>
      <c r="V742" s="514"/>
      <c r="W742" s="514"/>
      <c r="X742" s="514"/>
      <c r="Y742" s="514"/>
    </row>
    <row customHeight="true" ht="16.666666666666668" r="743">
      <c r="A743" s="514"/>
      <c r="B743" s="514"/>
      <c r="C743" s="514"/>
      <c r="D743" s="514"/>
      <c r="E743" s="514"/>
      <c r="F743" s="514"/>
      <c r="G743" s="514"/>
      <c r="H743" s="514"/>
      <c r="I743" s="514"/>
      <c r="J743" s="514"/>
      <c r="K743" s="514"/>
      <c r="L743" s="514"/>
      <c r="M743" s="514"/>
      <c r="N743" s="514"/>
      <c r="O743" s="514"/>
      <c r="P743" s="514"/>
      <c r="Q743" s="514"/>
      <c r="R743" s="514"/>
      <c r="S743" s="514"/>
      <c r="T743" s="514"/>
      <c r="U743" s="514"/>
      <c r="V743" s="514"/>
      <c r="W743" s="514"/>
      <c r="X743" s="514"/>
      <c r="Y743" s="514"/>
    </row>
    <row customHeight="true" ht="16.666666666666668" r="744">
      <c r="A744" s="514"/>
      <c r="B744" s="514"/>
      <c r="C744" s="514"/>
      <c r="D744" s="514"/>
      <c r="E744" s="514"/>
      <c r="F744" s="514"/>
      <c r="G744" s="514"/>
      <c r="H744" s="514"/>
      <c r="I744" s="514"/>
      <c r="J744" s="514"/>
      <c r="K744" s="514"/>
      <c r="L744" s="514"/>
      <c r="M744" s="514"/>
      <c r="N744" s="514"/>
      <c r="O744" s="514"/>
      <c r="P744" s="514"/>
      <c r="Q744" s="514"/>
      <c r="R744" s="514"/>
      <c r="S744" s="514"/>
      <c r="T744" s="514"/>
      <c r="U744" s="514"/>
      <c r="V744" s="514"/>
      <c r="W744" s="514"/>
      <c r="X744" s="514"/>
      <c r="Y744" s="514"/>
    </row>
    <row customHeight="true" ht="16.666666666666668" r="745">
      <c r="A745" s="514"/>
      <c r="B745" s="514"/>
      <c r="C745" s="514"/>
      <c r="D745" s="514"/>
      <c r="E745" s="514"/>
      <c r="F745" s="514"/>
      <c r="G745" s="514"/>
      <c r="H745" s="514"/>
      <c r="I745" s="514"/>
      <c r="J745" s="514"/>
      <c r="K745" s="514"/>
      <c r="L745" s="514"/>
      <c r="M745" s="514"/>
      <c r="N745" s="514"/>
      <c r="O745" s="514"/>
      <c r="P745" s="514"/>
      <c r="Q745" s="514"/>
      <c r="R745" s="514"/>
      <c r="S745" s="514"/>
      <c r="T745" s="514"/>
      <c r="U745" s="514"/>
      <c r="V745" s="514"/>
      <c r="W745" s="514"/>
      <c r="X745" s="514"/>
      <c r="Y745" s="514"/>
    </row>
    <row customHeight="true" ht="16.666666666666668" r="746">
      <c r="A746" s="514"/>
      <c r="B746" s="514"/>
      <c r="C746" s="514"/>
      <c r="D746" s="514"/>
      <c r="E746" s="514"/>
      <c r="F746" s="514"/>
      <c r="G746" s="514"/>
      <c r="H746" s="514"/>
      <c r="I746" s="514"/>
      <c r="J746" s="514"/>
      <c r="K746" s="514"/>
      <c r="L746" s="514"/>
      <c r="M746" s="514"/>
      <c r="N746" s="514"/>
      <c r="O746" s="514"/>
      <c r="P746" s="514"/>
      <c r="Q746" s="514"/>
      <c r="R746" s="514"/>
      <c r="S746" s="514"/>
      <c r="T746" s="514"/>
      <c r="U746" s="514"/>
      <c r="V746" s="514"/>
      <c r="W746" s="514"/>
      <c r="X746" s="514"/>
      <c r="Y746" s="514"/>
    </row>
  </sheetData>
  <autoFilter ref="A1:A746"/>
  <mergeCells>
    <mergeCell ref="AA635:AK635"/>
    <mergeCell ref="AJ634:AK634"/>
    <mergeCell ref="AJ633:AK633"/>
    <mergeCell ref="AJ632:AK632"/>
    <mergeCell ref="AJ631:AK631"/>
    <mergeCell ref="AJ630:AK630"/>
    <mergeCell ref="AA627:AK627"/>
    <mergeCell ref="AA605:AK605"/>
    <mergeCell ref="AJ604:AK604"/>
    <mergeCell ref="AJ603:AK603"/>
    <mergeCell ref="AJ602:AK602"/>
    <mergeCell ref="AJ601:AK601"/>
    <mergeCell ref="AA600:AK600"/>
    <mergeCell ref="B644:C644"/>
    <mergeCell ref="B643:C643"/>
    <mergeCell ref="B638:C638"/>
    <mergeCell ref="B633:C633"/>
    <mergeCell ref="B628:C628"/>
    <mergeCell ref="A624:A644"/>
    <mergeCell ref="S622:Y622"/>
    <mergeCell ref="K622:R622"/>
    <mergeCell ref="D622:J622"/>
    <mergeCell ref="A622:C622"/>
    <mergeCell ref="AJ626:AK626"/>
    <mergeCell ref="AJ625:AK625"/>
    <mergeCell ref="AJ624:AK624"/>
    <mergeCell ref="AA623:AK623"/>
    <mergeCell ref="B613:C613"/>
    <mergeCell ref="B607:C607"/>
    <mergeCell ref="S600:Y600"/>
    <mergeCell ref="K600:R600"/>
    <mergeCell ref="D600:J600"/>
    <mergeCell ref="A600:C600"/>
    <mergeCell ref="S577:Y577"/>
    <mergeCell ref="K577:R577"/>
    <mergeCell ref="D577:J577"/>
    <mergeCell ref="A577:C577"/>
    <mergeCell ref="A579:A599"/>
    <mergeCell ref="B583:C583"/>
    <mergeCell ref="B588:C588"/>
    <mergeCell ref="B593:C593"/>
    <mergeCell ref="B598:C598"/>
    <mergeCell ref="B599:C599"/>
    <mergeCell ref="AJ580:AK580"/>
    <mergeCell ref="AJ581:AK581"/>
    <mergeCell ref="AJ582:AK582"/>
    <mergeCell ref="AJ583:AK583"/>
    <mergeCell ref="AA584:AK584"/>
    <mergeCell ref="AJ579:AK579"/>
    <mergeCell ref="B462:C462"/>
    <mergeCell ref="B461:C461"/>
    <mergeCell ref="B454:C454"/>
    <mergeCell ref="B447:C447"/>
    <mergeCell ref="AJ425:AK425"/>
    <mergeCell ref="AJ424:AK424"/>
    <mergeCell ref="AA423:AK423"/>
    <mergeCell ref="S419:Y419"/>
    <mergeCell ref="K419:R419"/>
    <mergeCell ref="D419:J419"/>
    <mergeCell ref="A419:C419"/>
    <mergeCell ref="B418:C418"/>
    <mergeCell ref="B417:C417"/>
    <mergeCell ref="B410:C410"/>
    <mergeCell ref="AA406:AK406"/>
    <mergeCell ref="AJ405:AK405"/>
    <mergeCell ref="B404:C404"/>
    <mergeCell ref="AJ404:AK404"/>
    <mergeCell ref="AJ403:AK403"/>
    <mergeCell ref="AJ402:AK402"/>
    <mergeCell ref="AA401:AK401"/>
    <mergeCell ref="A399:A418"/>
    <mergeCell ref="S397:Y397"/>
    <mergeCell ref="K397:R397"/>
    <mergeCell ref="D397:J397"/>
    <mergeCell ref="A397:C397"/>
    <mergeCell ref="AA385:AK385"/>
    <mergeCell ref="AJ384:AK384"/>
    <mergeCell ref="AJ383:AK383"/>
    <mergeCell ref="AJ382:AK382"/>
    <mergeCell ref="AJ381:AK381"/>
    <mergeCell ref="AA380:AK380"/>
    <mergeCell ref="AJ313:AK313"/>
    <mergeCell ref="AA312:AK312"/>
    <mergeCell ref="S308:Y308"/>
    <mergeCell ref="K308:R308"/>
    <mergeCell ref="D308:J308"/>
    <mergeCell ref="A308:C308"/>
    <mergeCell ref="B307:C307"/>
    <mergeCell ref="B306:C306"/>
    <mergeCell ref="B301:C301"/>
    <mergeCell ref="AA299:AK299"/>
    <mergeCell ref="AJ298:AK298"/>
    <mergeCell ref="AJ297:AK297"/>
    <mergeCell ref="B296:C296"/>
    <mergeCell ref="AJ296:AK296"/>
    <mergeCell ref="AJ295:AK295"/>
    <mergeCell ref="AJ294:AK294"/>
    <mergeCell ref="AA293:AK293"/>
    <mergeCell ref="B291:C291"/>
    <mergeCell ref="A287:A307"/>
    <mergeCell ref="S285:Y285"/>
    <mergeCell ref="K285:R285"/>
    <mergeCell ref="D285:J285"/>
    <mergeCell ref="A285:C285"/>
    <mergeCell ref="B284:C284"/>
    <mergeCell ref="B283:C283"/>
    <mergeCell ref="B278:C278"/>
    <mergeCell ref="AA276:AK276"/>
    <mergeCell ref="AJ275:AK275"/>
    <mergeCell ref="AJ274:AK274"/>
    <mergeCell ref="B273:C273"/>
    <mergeCell ref="AJ273:AK273"/>
    <mergeCell ref="AJ272:AK272"/>
    <mergeCell ref="AJ271:AK271"/>
    <mergeCell ref="AA270:AK270"/>
    <mergeCell ref="B268:C268"/>
    <mergeCell ref="A264:A284"/>
    <mergeCell ref="S262:Y262"/>
    <mergeCell ref="K262:R262"/>
    <mergeCell ref="D262:J262"/>
    <mergeCell ref="A262:C262"/>
    <mergeCell ref="A241:A261"/>
    <mergeCell ref="B261:C261"/>
    <mergeCell ref="B260:C260"/>
    <mergeCell ref="B255:C255"/>
    <mergeCell ref="AA253:AK253"/>
    <mergeCell ref="AJ252:AK252"/>
    <mergeCell ref="AJ251:AK251"/>
    <mergeCell ref="AJ250:AK250"/>
    <mergeCell ref="B250:C250"/>
    <mergeCell ref="AJ249:AK249"/>
    <mergeCell ref="AJ248:AK248"/>
    <mergeCell ref="AA247:AK247"/>
    <mergeCell ref="B245:C245"/>
    <mergeCell ref="B238:C238"/>
    <mergeCell ref="B237:C237"/>
    <mergeCell ref="B232:C232"/>
    <mergeCell ref="AA230:AK230"/>
    <mergeCell ref="AJ229:AK229"/>
    <mergeCell ref="AJ228:AK228"/>
    <mergeCell ref="B227:C227"/>
    <mergeCell ref="AJ227:AK227"/>
    <mergeCell ref="AJ226:AK226"/>
    <mergeCell ref="AJ225:AK225"/>
    <mergeCell ref="AA224:AK224"/>
    <mergeCell ref="B222:C222"/>
    <mergeCell ref="A218:A238"/>
    <mergeCell ref="S216:Y216"/>
    <mergeCell ref="K216:R216"/>
    <mergeCell ref="D216:J216"/>
    <mergeCell ref="A216:C216"/>
    <mergeCell ref="AA207:AK207"/>
    <mergeCell ref="B209:C209"/>
    <mergeCell ref="B215:C215"/>
    <mergeCell ref="B214:C214"/>
    <mergeCell ref="A195:A215"/>
    <mergeCell ref="A101:C101"/>
    <mergeCell ref="D101:J101"/>
    <mergeCell ref="K101:R101"/>
    <mergeCell ref="S101:Y101"/>
    <mergeCell ref="B107:C107"/>
    <mergeCell ref="B100:C100"/>
    <mergeCell ref="B99:C99"/>
    <mergeCell ref="B94:C94"/>
    <mergeCell ref="B89:C89"/>
    <mergeCell ref="B84:C84"/>
    <mergeCell ref="A80:A100"/>
    <mergeCell ref="D78:J78"/>
    <mergeCell ref="K78:R78"/>
    <mergeCell ref="S78:Y78"/>
    <mergeCell ref="A78:C78"/>
    <mergeCell ref="D1:J1"/>
    <mergeCell ref="K1:R1"/>
    <mergeCell ref="S1:Y1"/>
    <mergeCell ref="D19:J19"/>
    <mergeCell ref="K19:R19"/>
    <mergeCell ref="S19:Y19"/>
    <mergeCell ref="D37:J37"/>
    <mergeCell ref="K37:R37"/>
    <mergeCell ref="S37:Y37"/>
    <mergeCell ref="D55:J55"/>
    <mergeCell ref="K55:R55"/>
    <mergeCell ref="S55:Y55"/>
    <mergeCell ref="B18:C18"/>
    <mergeCell ref="B17:C17"/>
    <mergeCell ref="B12:C12"/>
    <mergeCell ref="B7:C7"/>
    <mergeCell ref="A3:A18"/>
    <mergeCell ref="A1:C1"/>
    <mergeCell ref="B36:C36"/>
    <mergeCell ref="B35:C35"/>
    <mergeCell ref="B30:C30"/>
    <mergeCell ref="B25:C25"/>
    <mergeCell ref="A21:A36"/>
    <mergeCell ref="A19:C19"/>
    <mergeCell ref="B54:C54"/>
    <mergeCell ref="B53:C53"/>
    <mergeCell ref="B48:C48"/>
    <mergeCell ref="B43:C43"/>
    <mergeCell ref="A39:A54"/>
    <mergeCell ref="A37:C37"/>
    <mergeCell ref="A55:C55"/>
    <mergeCell ref="B61:C61"/>
    <mergeCell ref="B66:C66"/>
    <mergeCell ref="B77:C77"/>
    <mergeCell ref="B76:C76"/>
    <mergeCell ref="A57:A77"/>
    <mergeCell ref="B71:C71"/>
    <mergeCell ref="B130:C130"/>
    <mergeCell ref="B135:C135"/>
    <mergeCell ref="B140:C140"/>
    <mergeCell ref="B145:C145"/>
    <mergeCell ref="B146:C146"/>
    <mergeCell ref="AA132:AJ132"/>
    <mergeCell ref="AA138:AJ141"/>
    <mergeCell ref="AA143:AK143"/>
    <mergeCell ref="AA110:AJ110"/>
    <mergeCell ref="B112:C112"/>
    <mergeCell ref="AA116:AJ119"/>
    <mergeCell ref="B117:C117"/>
    <mergeCell ref="AA121:AK121"/>
    <mergeCell ref="B122:C122"/>
    <mergeCell ref="B123:C123"/>
    <mergeCell ref="S124:Y124"/>
    <mergeCell ref="K124:R124"/>
    <mergeCell ref="D124:J124"/>
    <mergeCell ref="A124:C124"/>
    <mergeCell ref="A103:A123"/>
    <mergeCell ref="A126:A146"/>
    <mergeCell ref="S147:Y147"/>
    <mergeCell ref="K147:R147"/>
    <mergeCell ref="D147:J147"/>
    <mergeCell ref="A147:C147"/>
    <mergeCell ref="A149:A169"/>
    <mergeCell ref="B153:C153"/>
    <mergeCell ref="B158:C158"/>
    <mergeCell ref="B163:C163"/>
    <mergeCell ref="B168:C168"/>
    <mergeCell ref="B169:C169"/>
    <mergeCell ref="AA165:AK165"/>
    <mergeCell ref="AA155:AK155"/>
    <mergeCell ref="AJ156:AK156"/>
    <mergeCell ref="AJ157:AK157"/>
    <mergeCell ref="AJ159:AK159"/>
    <mergeCell ref="AJ158:AK158"/>
    <mergeCell ref="AJ160:AK160"/>
    <mergeCell ref="AA161:AK164"/>
    <mergeCell ref="S170:Y170"/>
    <mergeCell ref="K170:R170"/>
    <mergeCell ref="D170:J170"/>
    <mergeCell ref="A170:C170"/>
    <mergeCell ref="A172:A192"/>
    <mergeCell ref="B176:C176"/>
    <mergeCell ref="AA178:AK178"/>
    <mergeCell ref="AJ179:AK179"/>
    <mergeCell ref="AJ180:AK180"/>
    <mergeCell ref="B181:C181"/>
    <mergeCell ref="AJ181:AK181"/>
    <mergeCell ref="AJ182:AK182"/>
    <mergeCell ref="AJ183:AK183"/>
    <mergeCell ref="AA184:AK187"/>
    <mergeCell ref="B186:C186"/>
    <mergeCell ref="AA188:AK188"/>
    <mergeCell ref="B191:C191"/>
    <mergeCell ref="B192:C192"/>
    <mergeCell ref="S193:Y193"/>
    <mergeCell ref="K193:R193"/>
    <mergeCell ref="D193:J193"/>
    <mergeCell ref="A193:C193"/>
    <mergeCell ref="B199:C199"/>
    <mergeCell ref="AA201:AK201"/>
    <mergeCell ref="AJ202:AK202"/>
    <mergeCell ref="AJ203:AK203"/>
    <mergeCell ref="B204:C204"/>
    <mergeCell ref="AJ204:AK204"/>
    <mergeCell ref="AJ205:AK205"/>
    <mergeCell ref="AJ206:AK206"/>
    <mergeCell ref="S239:Y239"/>
    <mergeCell ref="K239:R239"/>
    <mergeCell ref="D239:J239"/>
    <mergeCell ref="A239:C239"/>
    <mergeCell ref="B315:C315"/>
    <mergeCell ref="B321:C321"/>
    <mergeCell ref="B329:C329"/>
    <mergeCell ref="B328:C328"/>
    <mergeCell ref="A310:A329"/>
    <mergeCell ref="AJ314:AK314"/>
    <mergeCell ref="AJ316:AK316"/>
    <mergeCell ref="AJ315:AK315"/>
    <mergeCell ref="AA317:AK317"/>
    <mergeCell ref="S330:Y330"/>
    <mergeCell ref="K330:R330"/>
    <mergeCell ref="D330:J330"/>
    <mergeCell ref="A330:C330"/>
    <mergeCell ref="A332:A351"/>
    <mergeCell ref="B337:C337"/>
    <mergeCell ref="B343:C343"/>
    <mergeCell ref="B350:C350"/>
    <mergeCell ref="B351:C351"/>
    <mergeCell ref="AH363:AR363"/>
    <mergeCell ref="AQ364:AR364"/>
    <mergeCell ref="AQ365:AR365"/>
    <mergeCell ref="AQ366:AR366"/>
    <mergeCell ref="AQ367:AR367"/>
    <mergeCell ref="AH368:AR368"/>
    <mergeCell ref="AA335:AK335"/>
    <mergeCell ref="AJ336:AK336"/>
    <mergeCell ref="AJ337:AK337"/>
    <mergeCell ref="AJ338:AK338"/>
    <mergeCell ref="AJ339:AK339"/>
    <mergeCell ref="AA340:AK340"/>
    <mergeCell ref="S352:Y352"/>
    <mergeCell ref="K352:R352"/>
    <mergeCell ref="D352:J352"/>
    <mergeCell ref="A352:C352"/>
    <mergeCell ref="A354:A374"/>
    <mergeCell ref="B358:C358"/>
    <mergeCell ref="B363:C363"/>
    <mergeCell ref="B368:C368"/>
    <mergeCell ref="B373:C373"/>
    <mergeCell ref="B374:C374"/>
    <mergeCell ref="AA354:AK354"/>
    <mergeCell ref="AJ355:AK355"/>
    <mergeCell ref="AJ356:AK356"/>
    <mergeCell ref="AJ357:AK357"/>
    <mergeCell ref="AJ358:AK358"/>
    <mergeCell ref="AJ359:AK359"/>
    <mergeCell ref="AA360:AK360"/>
    <mergeCell ref="S375:Y375"/>
    <mergeCell ref="K375:R375"/>
    <mergeCell ref="D375:J375"/>
    <mergeCell ref="A375:C375"/>
    <mergeCell ref="A377:A396"/>
    <mergeCell ref="B382:C382"/>
    <mergeCell ref="B388:C388"/>
    <mergeCell ref="B395:C395"/>
    <mergeCell ref="B396:C396"/>
    <mergeCell ref="B427:C427"/>
    <mergeCell ref="AJ426:AK426"/>
    <mergeCell ref="AJ427:AK427"/>
    <mergeCell ref="AA428:AK428"/>
    <mergeCell ref="A421:A440"/>
    <mergeCell ref="B433:C433"/>
    <mergeCell ref="B439:C439"/>
    <mergeCell ref="B440:C440"/>
    <mergeCell ref="S441:Y441"/>
    <mergeCell ref="K441:R441"/>
    <mergeCell ref="D441:J441"/>
    <mergeCell ref="A441:C441"/>
    <mergeCell ref="AA445:AK445"/>
    <mergeCell ref="AJ446:AK446"/>
    <mergeCell ref="AJ447:AK447"/>
    <mergeCell ref="AA450:AK450"/>
    <mergeCell ref="AJ449:AK449"/>
    <mergeCell ref="AJ448:AK448"/>
    <mergeCell ref="A443:A462"/>
    <mergeCell ref="S463:Y463"/>
    <mergeCell ref="K463:R463"/>
    <mergeCell ref="D463:J463"/>
    <mergeCell ref="A463:C463"/>
    <mergeCell ref="A465:A484"/>
    <mergeCell ref="B470:C470"/>
    <mergeCell ref="B476:C476"/>
    <mergeCell ref="B483:C483"/>
    <mergeCell ref="B484:C484"/>
    <mergeCell ref="AA470:AK470"/>
    <mergeCell ref="AJ471:AK471"/>
    <mergeCell ref="AJ472:AK472"/>
    <mergeCell ref="AJ473:AK473"/>
    <mergeCell ref="AJ474:AK474"/>
    <mergeCell ref="AA475:AK475"/>
    <mergeCell ref="S485:Y485"/>
    <mergeCell ref="K485:R485"/>
    <mergeCell ref="D485:J485"/>
    <mergeCell ref="A485:C485"/>
    <mergeCell ref="A487:A507"/>
    <mergeCell ref="B491:C491"/>
    <mergeCell ref="B496:C496"/>
    <mergeCell ref="B501:C501"/>
    <mergeCell ref="B506:C506"/>
    <mergeCell ref="B507:C507"/>
    <mergeCell ref="AA486:AK486"/>
    <mergeCell ref="AJ487:AK487"/>
    <mergeCell ref="AJ488:AK488"/>
    <mergeCell ref="AJ489:AK489"/>
    <mergeCell ref="AJ490:AK490"/>
    <mergeCell ref="AJ491:AK491"/>
    <mergeCell ref="AA492:AK492"/>
    <mergeCell ref="S508:Y508"/>
    <mergeCell ref="K508:R508"/>
    <mergeCell ref="D508:J508"/>
    <mergeCell ref="A508:C508"/>
    <mergeCell ref="AA509:AK509"/>
    <mergeCell ref="A510:A530"/>
    <mergeCell ref="AJ510:AK510"/>
    <mergeCell ref="AJ511:AK511"/>
    <mergeCell ref="AJ512:AK512"/>
    <mergeCell ref="AJ513:AK513"/>
    <mergeCell ref="B514:C514"/>
    <mergeCell ref="AJ514:AK514"/>
    <mergeCell ref="AA515:AK515"/>
    <mergeCell ref="B519:C519"/>
    <mergeCell ref="B524:C524"/>
    <mergeCell ref="B529:C529"/>
    <mergeCell ref="B530:C530"/>
    <mergeCell ref="S531:Y531"/>
    <mergeCell ref="K531:R531"/>
    <mergeCell ref="D531:J531"/>
    <mergeCell ref="A531:C531"/>
    <mergeCell ref="A533:A553"/>
    <mergeCell ref="B537:C537"/>
    <mergeCell ref="B542:C542"/>
    <mergeCell ref="B547:C547"/>
    <mergeCell ref="B552:C552"/>
    <mergeCell ref="B553:C553"/>
    <mergeCell ref="AA532:AK532"/>
    <mergeCell ref="AJ533:AK533"/>
    <mergeCell ref="AJ534:AK534"/>
    <mergeCell ref="AJ535:AK535"/>
    <mergeCell ref="AJ536:AK536"/>
    <mergeCell ref="AJ537:AK537"/>
    <mergeCell ref="AA538:AK538"/>
    <mergeCell ref="S554:Y554"/>
    <mergeCell ref="K554:R554"/>
    <mergeCell ref="D554:J554"/>
    <mergeCell ref="A554:C554"/>
    <mergeCell ref="A556:A576"/>
    <mergeCell ref="B560:C560"/>
    <mergeCell ref="B570:C570"/>
    <mergeCell ref="B575:C575"/>
    <mergeCell ref="B576:C576"/>
    <mergeCell ref="B565:C565"/>
    <mergeCell ref="AA554:AK554"/>
    <mergeCell ref="AJ555:AK555"/>
    <mergeCell ref="AJ556:AK556"/>
    <mergeCell ref="AJ557:AK557"/>
    <mergeCell ref="AJ558:AK558"/>
    <mergeCell ref="AJ559:AK559"/>
    <mergeCell ref="AA560:AK560"/>
    <mergeCell ref="AA576:AK576"/>
    <mergeCell ref="B621:C621"/>
    <mergeCell ref="A602:A621"/>
    <mergeCell ref="B620:C620"/>
    <mergeCell ref="AA645:AK645"/>
    <mergeCell ref="S645:Y645"/>
    <mergeCell ref="K645:R645"/>
    <mergeCell ref="D645:J645"/>
    <mergeCell ref="A645:C645"/>
    <mergeCell ref="AJ646:AK646"/>
    <mergeCell ref="AJ647:AK647"/>
    <mergeCell ref="A647:A666"/>
    <mergeCell ref="AJ648:AK648"/>
    <mergeCell ref="AJ649:AK649"/>
    <mergeCell ref="AA650:AK650"/>
    <mergeCell ref="B652:C652"/>
    <mergeCell ref="B658:C658"/>
    <mergeCell ref="B665:C665"/>
    <mergeCell ref="B666:C666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515" t="s">
        <v>882</v>
      </c>
      <c r="B1" s="515"/>
      <c r="C1" s="515"/>
      <c r="D1" s="516" t="s">
        <v>883</v>
      </c>
      <c r="E1" s="516"/>
      <c r="F1" s="516"/>
      <c r="G1" s="516"/>
      <c r="H1" s="516"/>
      <c r="I1" s="516"/>
      <c r="J1" s="516"/>
      <c r="K1" s="517" t="s">
        <v>884</v>
      </c>
      <c r="L1" s="517"/>
      <c r="M1" s="517"/>
      <c r="N1" s="517"/>
      <c r="O1" s="517"/>
      <c r="P1" s="517"/>
      <c r="Q1" s="517"/>
      <c r="R1" s="517"/>
      <c r="S1" s="518" t="s">
        <v>885</v>
      </c>
      <c r="T1" s="518"/>
      <c r="U1" s="518"/>
      <c r="V1" s="518"/>
      <c r="W1" s="518"/>
      <c r="X1" s="518"/>
      <c r="Y1" s="518"/>
      <c r="Z1" s="519"/>
      <c r="AA1" s="520" t="s">
        <v>886</v>
      </c>
      <c r="AB1" s="520"/>
      <c r="AC1" s="520"/>
      <c r="AD1" s="520"/>
      <c r="AE1" s="520"/>
      <c r="AF1" s="520"/>
      <c r="AG1" s="520"/>
      <c r="AH1" s="520"/>
      <c r="AI1" s="520"/>
      <c r="AJ1" s="520"/>
      <c r="AK1" s="520"/>
    </row>
    <row r="2">
      <c r="A2" s="521" t="s">
        <v>887</v>
      </c>
      <c r="B2" s="521" t="s">
        <v>888</v>
      </c>
      <c r="C2" s="521" t="s">
        <v>889</v>
      </c>
      <c r="D2" s="522" t="s">
        <v>890</v>
      </c>
      <c r="E2" s="523" t="s">
        <v>891</v>
      </c>
      <c r="F2" s="524" t="s">
        <v>892</v>
      </c>
      <c r="G2" s="522" t="s">
        <v>893</v>
      </c>
      <c r="H2" s="525" t="s">
        <v>894</v>
      </c>
      <c r="I2" s="526" t="s">
        <v>895</v>
      </c>
      <c r="J2" s="522" t="s">
        <v>896</v>
      </c>
      <c r="K2" s="527" t="s">
        <v>897</v>
      </c>
      <c r="L2" s="528" t="s">
        <v>898</v>
      </c>
      <c r="M2" s="527" t="s">
        <v>899</v>
      </c>
      <c r="N2" s="527" t="s">
        <v>900</v>
      </c>
      <c r="O2" s="529" t="s">
        <v>901</v>
      </c>
      <c r="P2" s="529" t="s">
        <v>902</v>
      </c>
      <c r="Q2" s="530" t="s">
        <v>903</v>
      </c>
      <c r="R2" s="530" t="s">
        <v>904</v>
      </c>
      <c r="S2" s="531" t="s">
        <v>905</v>
      </c>
      <c r="T2" s="531" t="s">
        <v>906</v>
      </c>
      <c r="U2" s="531" t="s">
        <v>907</v>
      </c>
      <c r="V2" s="531" t="s">
        <v>908</v>
      </c>
      <c r="W2" s="531" t="s">
        <v>909</v>
      </c>
      <c r="X2" s="531" t="s">
        <v>910</v>
      </c>
      <c r="Y2" s="532" t="s">
        <v>911</v>
      </c>
      <c r="Z2" s="519"/>
      <c r="AA2" s="533" t="s">
        <v>912</v>
      </c>
      <c r="AB2" s="533" t="s">
        <v>913</v>
      </c>
      <c r="AC2" s="533" t="s">
        <v>914</v>
      </c>
      <c r="AD2" s="533" t="s">
        <v>915</v>
      </c>
      <c r="AE2" s="533" t="s">
        <v>916</v>
      </c>
      <c r="AF2" s="533" t="s">
        <v>917</v>
      </c>
      <c r="AG2" s="533" t="s">
        <v>896</v>
      </c>
      <c r="AH2" s="533" t="s">
        <v>918</v>
      </c>
      <c r="AI2" s="533" t="s">
        <v>894</v>
      </c>
      <c r="AJ2" s="533" t="s">
        <v>919</v>
      </c>
      <c r="AK2" s="533"/>
    </row>
    <row r="3">
      <c r="A3" s="534" t="s">
        <v>920</v>
      </c>
      <c r="B3" s="535" t="s">
        <v>921</v>
      </c>
      <c r="C3" s="536" t="s">
        <v>922</v>
      </c>
      <c r="D3" s="535">
        <v>2175.02</v>
      </c>
      <c r="E3" s="519">
        <v>1</v>
      </c>
      <c r="F3" s="519">
        <v>1</v>
      </c>
      <c r="G3" s="537">
        <v>1197.6</v>
      </c>
      <c r="H3" s="538">
        <f t="shared" ref="H3:H22" si="0">G3/D3</f>
      </c>
      <c r="I3" s="538">
        <f>D3/E3</f>
      </c>
      <c r="J3" s="538">
        <f>G3/E3</f>
      </c>
      <c r="K3" s="539">
        <f t="shared" ref="K3:K22" si="139">T3/S3</f>
      </c>
      <c r="L3" s="540">
        <f t="shared" ref="L3:L22" si="233">D3/U3</f>
      </c>
      <c r="M3" s="541">
        <f t="shared" ref="M3:M22" si="156">V3/U3</f>
      </c>
      <c r="N3" s="541">
        <f t="shared" ref="N3:N22" si="252">E3/W3</f>
      </c>
      <c r="O3" s="541">
        <f t="shared" ref="O3:O22" si="269">X3/E3</f>
      </c>
      <c r="P3" s="542">
        <f t="shared" ref="P3:P22" si="16">(Y3*1000)/D3</f>
      </c>
      <c r="Q3" s="543" t="s">
        <v>923</v>
      </c>
      <c r="R3" s="544" t="s">
        <v>924</v>
      </c>
      <c r="S3" s="545">
        <v>8546</v>
      </c>
      <c r="T3" s="545">
        <v>689</v>
      </c>
      <c r="U3" s="545">
        <v>840</v>
      </c>
      <c r="V3" s="545">
        <v>90</v>
      </c>
      <c r="W3" s="545">
        <v>7</v>
      </c>
      <c r="X3" s="545">
        <v>0</v>
      </c>
      <c r="Y3" s="545">
        <v>50</v>
      </c>
      <c r="Z3" s="519"/>
      <c r="AA3" s="546" t="s">
        <v>921</v>
      </c>
      <c r="AB3" s="547" t="s">
        <v>925</v>
      </c>
      <c r="AC3" s="546">
        <v>5</v>
      </c>
      <c r="AD3" s="548">
        <v>15557.06</v>
      </c>
      <c r="AE3" s="548">
        <v>21010.5</v>
      </c>
      <c r="AF3" s="546">
        <v>21</v>
      </c>
      <c r="AG3" s="549">
        <f t="shared" ref="AG3:AG6" si="70">AE3/AF3</f>
      </c>
      <c r="AH3" s="549">
        <f t="shared" ref="AH3:AH6" si="123">AD3/AF3</f>
      </c>
      <c r="AI3" s="549">
        <f t="shared" ref="AI3:AI6" si="188">AE3/AD3</f>
      </c>
      <c r="AJ3" s="548">
        <f>AD3/AC3</f>
      </c>
      <c r="AK3" s="548"/>
    </row>
    <row r="4">
      <c r="A4" s="534"/>
      <c r="B4" s="535" t="s">
        <v>921</v>
      </c>
      <c r="C4" s="535" t="s">
        <v>926</v>
      </c>
      <c r="D4" s="535">
        <v>2713.93</v>
      </c>
      <c r="E4" s="519">
        <v>3</v>
      </c>
      <c r="F4" s="519">
        <v>2</v>
      </c>
      <c r="G4" s="537">
        <v>4249.2</v>
      </c>
      <c r="H4" s="538">
        <f t="shared" si="0"/>
      </c>
      <c r="I4" s="538">
        <v>2161</v>
      </c>
      <c r="J4" s="538">
        <v>234</v>
      </c>
      <c r="K4" s="539">
        <f t="shared" si="139"/>
      </c>
      <c r="L4" s="540">
        <f t="shared" si="233"/>
      </c>
      <c r="M4" s="541">
        <f t="shared" si="156"/>
      </c>
      <c r="N4" s="541">
        <f t="shared" si="252"/>
      </c>
      <c r="O4" s="541">
        <f t="shared" si="269"/>
      </c>
      <c r="P4" s="542">
        <f t="shared" si="16"/>
      </c>
      <c r="Q4" s="543" t="s">
        <v>923</v>
      </c>
      <c r="R4" s="544" t="s">
        <v>924</v>
      </c>
      <c r="S4" s="545">
        <v>8546</v>
      </c>
      <c r="T4" s="545">
        <v>689</v>
      </c>
      <c r="U4" s="545">
        <v>840</v>
      </c>
      <c r="V4" s="545">
        <v>90</v>
      </c>
      <c r="W4" s="545">
        <v>5</v>
      </c>
      <c r="X4" s="545">
        <v>0</v>
      </c>
      <c r="Y4" s="545">
        <v>32</v>
      </c>
      <c r="Z4" s="519"/>
      <c r="AA4" s="546" t="s">
        <v>927</v>
      </c>
      <c r="AB4" s="547" t="s">
        <v>928</v>
      </c>
      <c r="AC4" s="546">
        <v>5</v>
      </c>
      <c r="AD4" s="546">
        <v>14185.92</v>
      </c>
      <c r="AE4" s="546">
        <v>15149.2</v>
      </c>
      <c r="AF4" s="546">
        <v>13</v>
      </c>
      <c r="AG4" s="549">
        <f t="shared" si="70"/>
      </c>
      <c r="AH4" s="549">
        <f t="shared" si="123"/>
      </c>
      <c r="AI4" s="549">
        <f t="shared" si="188"/>
      </c>
      <c r="AJ4" s="548">
        <f t="shared" ref="AJ4:AJ6" si="250">AD4/4</f>
      </c>
      <c r="AK4" s="548"/>
    </row>
    <row r="5">
      <c r="A5" s="534"/>
      <c r="B5" s="535" t="s">
        <v>921</v>
      </c>
      <c r="C5" s="535" t="s">
        <v>929</v>
      </c>
      <c r="D5" s="535">
        <v>3707.71</v>
      </c>
      <c r="E5" s="519">
        <v>4</v>
      </c>
      <c r="F5" s="519">
        <v>4</v>
      </c>
      <c r="G5" s="537">
        <v>3991.6</v>
      </c>
      <c r="H5" s="538">
        <f t="shared" si="0"/>
      </c>
      <c r="I5" s="538">
        <f t="shared" ref="I5:I10" si="33">D5/E5</f>
      </c>
      <c r="J5" s="538">
        <f t="shared" ref="J5:J10" si="86">G5/E5</f>
      </c>
      <c r="K5" s="539">
        <f t="shared" si="139"/>
      </c>
      <c r="L5" s="540">
        <f t="shared" si="233"/>
      </c>
      <c r="M5" s="541">
        <f t="shared" si="156"/>
      </c>
      <c r="N5" s="541">
        <f t="shared" si="252"/>
      </c>
      <c r="O5" s="541">
        <f t="shared" si="269"/>
      </c>
      <c r="P5" s="542">
        <f t="shared" si="16"/>
      </c>
      <c r="Q5" s="543" t="s">
        <v>923</v>
      </c>
      <c r="R5" s="544" t="s">
        <v>924</v>
      </c>
      <c r="S5" s="545">
        <v>16338</v>
      </c>
      <c r="T5" s="545">
        <v>735</v>
      </c>
      <c r="U5" s="545">
        <v>849</v>
      </c>
      <c r="V5" s="545">
        <v>105</v>
      </c>
      <c r="W5" s="545">
        <v>5</v>
      </c>
      <c r="X5" s="545">
        <v>0</v>
      </c>
      <c r="Y5" s="545">
        <v>64</v>
      </c>
      <c r="Z5" s="519"/>
      <c r="AA5" s="546" t="s">
        <v>930</v>
      </c>
      <c r="AB5" s="547" t="s">
        <v>931</v>
      </c>
      <c r="AC5" s="546">
        <v>6</v>
      </c>
      <c r="AD5" s="546">
        <v>15344.1</v>
      </c>
      <c r="AE5" s="546">
        <v>11076</v>
      </c>
      <c r="AF5" s="546">
        <v>12</v>
      </c>
      <c r="AG5" s="549">
        <f t="shared" si="70"/>
      </c>
      <c r="AH5" s="549">
        <f t="shared" si="123"/>
      </c>
      <c r="AI5" s="549">
        <f t="shared" si="188"/>
      </c>
      <c r="AJ5" s="548">
        <f t="shared" si="250"/>
      </c>
      <c r="AK5" s="548"/>
    </row>
    <row r="6">
      <c r="A6" s="534"/>
      <c r="B6" s="535" t="s">
        <v>921</v>
      </c>
      <c r="C6" s="535" t="s">
        <v>932</v>
      </c>
      <c r="D6" s="535">
        <v>3610.98</v>
      </c>
      <c r="E6" s="519">
        <v>6</v>
      </c>
      <c r="F6" s="519">
        <v>4</v>
      </c>
      <c r="G6" s="537">
        <v>5491.7</v>
      </c>
      <c r="H6" s="538">
        <f t="shared" si="0"/>
      </c>
      <c r="I6" s="538">
        <f t="shared" si="33"/>
      </c>
      <c r="J6" s="538">
        <f t="shared" si="86"/>
      </c>
      <c r="K6" s="539">
        <f t="shared" si="139"/>
      </c>
      <c r="L6" s="540">
        <f t="shared" si="233"/>
      </c>
      <c r="M6" s="541">
        <f t="shared" si="156"/>
      </c>
      <c r="N6" s="541">
        <f t="shared" si="252"/>
      </c>
      <c r="O6" s="541">
        <f t="shared" si="269"/>
      </c>
      <c r="P6" s="542">
        <f t="shared" si="16"/>
      </c>
      <c r="Q6" s="543" t="s">
        <v>923</v>
      </c>
      <c r="R6" s="544" t="s">
        <v>924</v>
      </c>
      <c r="S6" s="545">
        <v>20027</v>
      </c>
      <c r="T6" s="545">
        <v>669</v>
      </c>
      <c r="U6" s="545">
        <v>784</v>
      </c>
      <c r="V6" s="545">
        <v>105</v>
      </c>
      <c r="W6" s="545">
        <v>9</v>
      </c>
      <c r="X6" s="545">
        <v>1</v>
      </c>
      <c r="Y6" s="545">
        <v>37</v>
      </c>
      <c r="Z6" s="519"/>
      <c r="AA6" s="533" t="s">
        <v>933</v>
      </c>
      <c r="AB6" s="533"/>
      <c r="AC6" s="533">
        <f>AC3+AC4+AC5</f>
      </c>
      <c r="AD6" s="533">
        <f>AD3+AD4+AD5</f>
      </c>
      <c r="AE6" s="533">
        <f>AE3+AE4+AE5</f>
      </c>
      <c r="AF6" s="550">
        <f>AF3+AF4+AF5</f>
      </c>
      <c r="AG6" s="551">
        <f t="shared" si="70"/>
      </c>
      <c r="AH6" s="551">
        <f t="shared" si="123"/>
      </c>
      <c r="AI6" s="551">
        <f t="shared" si="188"/>
      </c>
      <c r="AJ6" s="550">
        <f t="shared" si="250"/>
      </c>
      <c r="AK6" s="550"/>
    </row>
    <row r="7">
      <c r="A7" s="534"/>
      <c r="B7" s="535" t="s">
        <v>921</v>
      </c>
      <c r="C7" s="552" t="s">
        <v>934</v>
      </c>
      <c r="D7" s="535">
        <v>3349.42</v>
      </c>
      <c r="E7" s="519">
        <v>7</v>
      </c>
      <c r="F7" s="519">
        <v>3</v>
      </c>
      <c r="G7" s="537">
        <v>6080.4</v>
      </c>
      <c r="H7" s="538">
        <f t="shared" si="0"/>
      </c>
      <c r="I7" s="538">
        <f t="shared" si="33"/>
      </c>
      <c r="J7" s="538">
        <f t="shared" si="86"/>
      </c>
      <c r="K7" s="539">
        <f t="shared" si="139"/>
      </c>
      <c r="L7" s="540">
        <f t="shared" si="233"/>
      </c>
      <c r="M7" s="541">
        <f t="shared" si="156"/>
      </c>
      <c r="N7" s="541">
        <f t="shared" si="252"/>
      </c>
      <c r="O7" s="541">
        <f t="shared" si="269"/>
      </c>
      <c r="P7" s="542">
        <f t="shared" si="16"/>
      </c>
      <c r="Q7" s="543" t="s">
        <v>923</v>
      </c>
      <c r="R7" s="544" t="s">
        <v>924</v>
      </c>
      <c r="S7" s="545">
        <v>20929</v>
      </c>
      <c r="T7" s="545">
        <v>647</v>
      </c>
      <c r="U7" s="545">
        <v>757</v>
      </c>
      <c r="V7" s="545">
        <v>101</v>
      </c>
      <c r="W7" s="545">
        <v>15</v>
      </c>
      <c r="X7" s="545">
        <v>2</v>
      </c>
      <c r="Y7" s="545">
        <v>33</v>
      </c>
      <c r="Z7" s="519"/>
      <c r="AA7" s="553" t="s">
        <v>935</v>
      </c>
      <c r="AB7" s="553"/>
      <c r="AC7" s="553"/>
      <c r="AD7" s="553"/>
      <c r="AE7" s="553"/>
      <c r="AF7" s="553"/>
      <c r="AG7" s="553"/>
      <c r="AH7" s="553"/>
      <c r="AI7" s="553"/>
      <c r="AJ7" s="553"/>
      <c r="AK7" s="553"/>
    </row>
    <row r="8">
      <c r="A8" s="534"/>
      <c r="B8" s="554" t="s">
        <v>936</v>
      </c>
      <c r="C8" s="554"/>
      <c r="D8" s="555">
        <f>SUM(D3:D7)</f>
      </c>
      <c r="E8" s="555">
        <f>SUM(E3:E7)</f>
      </c>
      <c r="F8" s="555">
        <f>SUM(F3:F7)</f>
      </c>
      <c r="G8" s="555">
        <f>SUM(G3:G7)</f>
      </c>
      <c r="H8" s="556">
        <f t="shared" si="0"/>
      </c>
      <c r="I8" s="557">
        <f t="shared" si="33"/>
      </c>
      <c r="J8" s="558">
        <f t="shared" si="86"/>
      </c>
      <c r="K8" s="559">
        <f t="shared" si="139"/>
      </c>
      <c r="L8" s="560">
        <f t="shared" si="233"/>
      </c>
      <c r="M8" s="559">
        <f t="shared" si="156"/>
      </c>
      <c r="N8" s="559">
        <f t="shared" si="252"/>
      </c>
      <c r="O8" s="561">
        <f t="shared" si="269"/>
      </c>
      <c r="P8" s="562">
        <f t="shared" si="16"/>
      </c>
      <c r="Q8" s="560"/>
      <c r="R8" s="560"/>
      <c r="S8" s="563">
        <f>SUM(S3:S7)</f>
      </c>
      <c r="T8" s="563">
        <f>SUM(T3:T7)</f>
      </c>
      <c r="U8" s="563">
        <f>SUM(U3:U7)</f>
      </c>
      <c r="V8" s="563">
        <f>SUM(V3:V7)</f>
      </c>
      <c r="W8" s="563">
        <f>SUM(W3:W7)</f>
      </c>
      <c r="X8" s="563">
        <f>SUM(X3:X7)</f>
      </c>
      <c r="Y8" s="563">
        <f>SUM(Y3:Y7)</f>
      </c>
      <c r="Z8" s="519">
        <v>133</v>
      </c>
      <c r="AA8" s="564" t="s">
        <v>915</v>
      </c>
      <c r="AB8" s="564" t="s">
        <v>937</v>
      </c>
      <c r="AC8" s="564" t="s">
        <v>938</v>
      </c>
      <c r="AD8" s="564" t="s">
        <v>939</v>
      </c>
      <c r="AE8" s="564" t="s">
        <v>940</v>
      </c>
      <c r="AF8" s="564" t="s">
        <v>941</v>
      </c>
      <c r="AG8" s="564" t="s">
        <v>942</v>
      </c>
      <c r="AH8" s="565" t="s">
        <v>910</v>
      </c>
      <c r="AI8" s="565" t="s">
        <v>943</v>
      </c>
      <c r="AJ8" s="565" t="s">
        <v>944</v>
      </c>
      <c r="AK8" s="565" t="s">
        <v>914</v>
      </c>
    </row>
    <row r="9">
      <c r="A9" s="534"/>
      <c r="B9" s="535" t="s">
        <v>927</v>
      </c>
      <c r="C9" s="566" t="s">
        <v>945</v>
      </c>
      <c r="D9" s="535">
        <v>3880.25</v>
      </c>
      <c r="E9" s="519">
        <v>2</v>
      </c>
      <c r="F9" s="519">
        <v>3</v>
      </c>
      <c r="G9" s="537">
        <v>1054.8</v>
      </c>
      <c r="H9" s="538">
        <f t="shared" si="0"/>
      </c>
      <c r="I9" s="538">
        <f t="shared" si="33"/>
      </c>
      <c r="J9" s="538">
        <f t="shared" si="86"/>
      </c>
      <c r="K9" s="539">
        <f t="shared" si="139"/>
      </c>
      <c r="L9" s="540">
        <f t="shared" si="233"/>
      </c>
      <c r="M9" s="541">
        <f t="shared" si="156"/>
      </c>
      <c r="N9" s="541">
        <f t="shared" si="252"/>
      </c>
      <c r="O9" s="541">
        <f t="shared" si="269"/>
      </c>
      <c r="P9" s="542">
        <f t="shared" si="16"/>
      </c>
      <c r="Q9" s="543" t="s">
        <v>923</v>
      </c>
      <c r="R9" s="544" t="s">
        <v>924</v>
      </c>
      <c r="S9" s="545">
        <v>24801</v>
      </c>
      <c r="T9" s="545">
        <v>861</v>
      </c>
      <c r="U9" s="545">
        <v>974</v>
      </c>
      <c r="V9" s="545">
        <v>112</v>
      </c>
      <c r="W9" s="567">
        <v>7</v>
      </c>
      <c r="X9" s="567">
        <v>0</v>
      </c>
      <c r="Y9" s="545">
        <v>50</v>
      </c>
      <c r="Z9" s="519">
        <f>206-Z8</f>
      </c>
      <c r="AA9" s="568">
        <f>SUM(AD3:AD5)</f>
      </c>
      <c r="AB9" s="568">
        <f>SUM(AE3:AE5)</f>
      </c>
      <c r="AC9" s="569">
        <f>AB9/((AK9*300)+AA9)</f>
      </c>
      <c r="AD9" s="570">
        <f>AA9/AJ9</f>
      </c>
      <c r="AE9" s="569">
        <f>AB9/AJ9</f>
      </c>
      <c r="AF9" s="571">
        <f>AJ9/AI9</f>
      </c>
      <c r="AG9" s="571">
        <f>AH9/AJ9</f>
      </c>
      <c r="AH9" s="572">
        <v>3</v>
      </c>
      <c r="AI9" s="572">
        <v>74</v>
      </c>
      <c r="AJ9" s="572">
        <f>AF6</f>
      </c>
      <c r="AK9" s="573">
        <f>AC6</f>
      </c>
    </row>
    <row r="10">
      <c r="A10" s="534"/>
      <c r="B10" s="535" t="s">
        <v>927</v>
      </c>
      <c r="C10" s="566" t="s">
        <v>946</v>
      </c>
      <c r="D10" s="535">
        <v>3517.53</v>
      </c>
      <c r="E10" s="519">
        <v>2</v>
      </c>
      <c r="F10" s="519">
        <v>2</v>
      </c>
      <c r="G10" s="537">
        <v>1750.8</v>
      </c>
      <c r="H10" s="538">
        <f t="shared" si="0"/>
      </c>
      <c r="I10" s="538">
        <f t="shared" si="33"/>
      </c>
      <c r="J10" s="538">
        <f t="shared" si="86"/>
      </c>
      <c r="K10" s="539">
        <f t="shared" si="139"/>
      </c>
      <c r="L10" s="540">
        <f t="shared" si="233"/>
      </c>
      <c r="M10" s="541">
        <f t="shared" si="156"/>
      </c>
      <c r="N10" s="541">
        <f t="shared" si="252"/>
      </c>
      <c r="O10" s="541">
        <f t="shared" si="269"/>
      </c>
      <c r="P10" s="542">
        <f t="shared" si="16"/>
      </c>
      <c r="Q10" s="543" t="s">
        <v>923</v>
      </c>
      <c r="R10" s="544" t="s">
        <v>924</v>
      </c>
      <c r="S10" s="545">
        <v>19905</v>
      </c>
      <c r="T10" s="545">
        <v>810</v>
      </c>
      <c r="U10" s="545">
        <v>928</v>
      </c>
      <c r="V10" s="545">
        <v>113</v>
      </c>
      <c r="W10" s="567">
        <v>5</v>
      </c>
      <c r="X10" s="567">
        <v>0</v>
      </c>
      <c r="Y10" s="545">
        <v>33</v>
      </c>
      <c r="Z10" s="519">
        <f>260-Z9-Z8</f>
      </c>
      <c r="AA10" s="519"/>
    </row>
    <row r="11">
      <c r="A11" s="534"/>
      <c r="B11" s="535" t="s">
        <v>927</v>
      </c>
      <c r="C11" s="566" t="s">
        <v>947</v>
      </c>
      <c r="D11" s="535">
        <v>1960.07</v>
      </c>
      <c r="E11" s="519">
        <v>2</v>
      </c>
      <c r="F11" s="519">
        <v>2</v>
      </c>
      <c r="G11" s="574">
        <v>1616.8</v>
      </c>
      <c r="H11" s="538">
        <f t="shared" si="0"/>
      </c>
      <c r="I11" s="538">
        <v>1323</v>
      </c>
      <c r="J11" s="538">
        <v>145</v>
      </c>
      <c r="K11" s="539">
        <f t="shared" si="139"/>
      </c>
      <c r="L11" s="540">
        <f t="shared" si="233"/>
      </c>
      <c r="M11" s="541">
        <f t="shared" si="156"/>
      </c>
      <c r="N11" s="541">
        <f t="shared" si="252"/>
      </c>
      <c r="O11" s="541">
        <f t="shared" si="269"/>
      </c>
      <c r="P11" s="542">
        <f t="shared" si="16"/>
      </c>
      <c r="Q11" s="543" t="s">
        <v>923</v>
      </c>
      <c r="R11" s="544" t="s">
        <v>924</v>
      </c>
      <c r="S11" s="575">
        <v>10974</v>
      </c>
      <c r="T11" s="575">
        <v>634</v>
      </c>
      <c r="U11" s="575">
        <v>744</v>
      </c>
      <c r="V11" s="575">
        <v>47</v>
      </c>
      <c r="W11" s="567">
        <v>3</v>
      </c>
      <c r="X11" s="567">
        <v>0</v>
      </c>
      <c r="Y11" s="545">
        <v>18</v>
      </c>
      <c r="Z11" s="519"/>
      <c r="AA11" s="519"/>
    </row>
    <row r="12">
      <c r="A12" s="534"/>
      <c r="B12" s="535" t="s">
        <v>927</v>
      </c>
      <c r="C12" s="566" t="s">
        <v>948</v>
      </c>
      <c r="D12" s="535">
        <v>2223.46</v>
      </c>
      <c r="E12" s="519">
        <v>5</v>
      </c>
      <c r="F12" s="519">
        <v>4</v>
      </c>
      <c r="G12" s="576">
        <v>4839.6</v>
      </c>
      <c r="H12" s="538">
        <f t="shared" si="0"/>
      </c>
      <c r="I12" s="538">
        <f t="shared" ref="I12:I22" si="34">D12/E12</f>
      </c>
      <c r="J12" s="538">
        <f t="shared" ref="J12:J22" si="87">G12/E12</f>
      </c>
      <c r="K12" s="539">
        <f t="shared" si="139"/>
      </c>
      <c r="L12" s="540">
        <f t="shared" si="233"/>
      </c>
      <c r="M12" s="541">
        <f t="shared" si="156"/>
      </c>
      <c r="N12" s="541">
        <f t="shared" si="252"/>
      </c>
      <c r="O12" s="541">
        <f t="shared" si="269"/>
      </c>
      <c r="P12" s="542">
        <f t="shared" si="16"/>
      </c>
      <c r="Q12" s="543" t="s">
        <v>923</v>
      </c>
      <c r="R12" s="544" t="s">
        <v>949</v>
      </c>
      <c r="S12" s="567">
        <v>7722</v>
      </c>
      <c r="T12" s="575">
        <v>821</v>
      </c>
      <c r="U12" s="575">
        <v>945</v>
      </c>
      <c r="V12" s="575">
        <v>96</v>
      </c>
      <c r="W12" s="567">
        <v>8</v>
      </c>
      <c r="X12" s="567">
        <v>0</v>
      </c>
      <c r="Y12" s="545">
        <v>64</v>
      </c>
      <c r="Z12" s="519"/>
      <c r="AA12" s="519"/>
    </row>
    <row r="13">
      <c r="A13" s="534"/>
      <c r="B13" s="535" t="s">
        <v>927</v>
      </c>
      <c r="C13" s="552" t="s">
        <v>950</v>
      </c>
      <c r="D13" s="535">
        <v>2604.61</v>
      </c>
      <c r="E13" s="519">
        <v>2</v>
      </c>
      <c r="F13" s="519">
        <v>2</v>
      </c>
      <c r="G13" s="576">
        <v>5887.2</v>
      </c>
      <c r="H13" s="538">
        <f t="shared" si="0"/>
      </c>
      <c r="I13" s="538">
        <f t="shared" si="34"/>
      </c>
      <c r="J13" s="538">
        <f t="shared" si="87"/>
      </c>
      <c r="K13" s="539">
        <f t="shared" si="139"/>
      </c>
      <c r="L13" s="540">
        <f t="shared" si="233"/>
      </c>
      <c r="M13" s="541">
        <f t="shared" si="156"/>
      </c>
      <c r="N13" s="541">
        <f t="shared" si="252"/>
      </c>
      <c r="O13" s="541">
        <f t="shared" si="269"/>
      </c>
      <c r="P13" s="542">
        <f t="shared" si="16"/>
      </c>
      <c r="Q13" s="543" t="s">
        <v>923</v>
      </c>
      <c r="R13" s="544" t="s">
        <v>949</v>
      </c>
      <c r="S13" s="567">
        <v>7863</v>
      </c>
      <c r="T13" s="575">
        <v>780</v>
      </c>
      <c r="U13" s="575">
        <v>897</v>
      </c>
      <c r="V13" s="575">
        <v>82</v>
      </c>
      <c r="W13" s="567">
        <v>3</v>
      </c>
      <c r="X13" s="567">
        <v>0</v>
      </c>
      <c r="Y13" s="545">
        <v>55</v>
      </c>
      <c r="Z13" s="519"/>
      <c r="AA13" s="519"/>
    </row>
    <row r="14">
      <c r="A14" s="534"/>
      <c r="B14" s="554" t="s">
        <v>936</v>
      </c>
      <c r="C14" s="554"/>
      <c r="D14" s="555">
        <f>SUM(D9:D13)</f>
      </c>
      <c r="E14" s="555">
        <f>SUM(E9:E13)</f>
      </c>
      <c r="F14" s="555">
        <f>SUM(F9:F13)</f>
      </c>
      <c r="G14" s="555">
        <f>SUM(G9:G13)</f>
      </c>
      <c r="H14" s="556">
        <f t="shared" si="0"/>
      </c>
      <c r="I14" s="557">
        <f t="shared" si="34"/>
      </c>
      <c r="J14" s="558">
        <f t="shared" si="87"/>
      </c>
      <c r="K14" s="559">
        <f t="shared" si="139"/>
      </c>
      <c r="L14" s="560">
        <f t="shared" si="233"/>
      </c>
      <c r="M14" s="559">
        <f t="shared" si="156"/>
      </c>
      <c r="N14" s="559">
        <f t="shared" si="252"/>
      </c>
      <c r="O14" s="561">
        <f t="shared" si="269"/>
      </c>
      <c r="P14" s="562">
        <f t="shared" si="16"/>
      </c>
      <c r="Q14" s="560"/>
      <c r="R14" s="560"/>
      <c r="S14" s="563">
        <f>SUM(S9:S13)</f>
      </c>
      <c r="T14" s="563">
        <f>SUM(T9:T13)</f>
      </c>
      <c r="U14" s="563">
        <f>SUM(U9:U13)</f>
      </c>
      <c r="V14" s="563">
        <f>SUM(V9:V13)</f>
      </c>
      <c r="W14" s="563">
        <f>SUM(W9:W13)</f>
      </c>
      <c r="X14" s="563">
        <f>SUM(X9:X13)</f>
      </c>
      <c r="Y14" s="563">
        <f>SUM(Y9:Y13)</f>
      </c>
      <c r="Z14" s="519"/>
      <c r="AA14" s="519"/>
    </row>
    <row r="15">
      <c r="A15" s="534"/>
      <c r="B15" s="535" t="s">
        <v>930</v>
      </c>
      <c r="C15" s="552" t="s">
        <v>951</v>
      </c>
      <c r="D15" s="535">
        <v>2256.34</v>
      </c>
      <c r="E15" s="519">
        <v>1</v>
      </c>
      <c r="F15" s="519">
        <v>1</v>
      </c>
      <c r="G15" s="574">
        <v>1197.6</v>
      </c>
      <c r="H15" s="538">
        <f t="shared" si="0"/>
      </c>
      <c r="I15" s="538">
        <f t="shared" si="34"/>
      </c>
      <c r="J15" s="538">
        <f t="shared" si="87"/>
      </c>
      <c r="K15" s="539">
        <f t="shared" si="139"/>
      </c>
      <c r="L15" s="540">
        <f t="shared" si="233"/>
      </c>
      <c r="M15" s="541">
        <f t="shared" si="156"/>
      </c>
      <c r="N15" s="541">
        <f t="shared" si="252"/>
      </c>
      <c r="O15" s="541">
        <f t="shared" si="269"/>
      </c>
      <c r="P15" s="542">
        <f t="shared" si="16"/>
      </c>
      <c r="Q15" s="543" t="s">
        <v>952</v>
      </c>
      <c r="R15" s="544" t="s">
        <v>949</v>
      </c>
      <c r="S15" s="575">
        <v>9145</v>
      </c>
      <c r="T15" s="575">
        <v>820</v>
      </c>
      <c r="U15" s="575">
        <v>926</v>
      </c>
      <c r="V15" s="575">
        <v>77</v>
      </c>
      <c r="W15" s="567">
        <v>4</v>
      </c>
      <c r="X15" s="567">
        <v>0</v>
      </c>
      <c r="Y15" s="577">
        <v>38</v>
      </c>
      <c r="Z15" s="519"/>
      <c r="AA15" s="519"/>
    </row>
    <row r="16">
      <c r="A16" s="534"/>
      <c r="B16" s="535" t="s">
        <v>930</v>
      </c>
      <c r="C16" s="552" t="s">
        <v>953</v>
      </c>
      <c r="D16" s="535">
        <v>2518.97</v>
      </c>
      <c r="E16" s="519">
        <v>3</v>
      </c>
      <c r="F16" s="519">
        <v>3</v>
      </c>
      <c r="G16" s="574">
        <v>2989.2</v>
      </c>
      <c r="H16" s="538">
        <f t="shared" si="0"/>
      </c>
      <c r="I16" s="538">
        <f t="shared" si="34"/>
      </c>
      <c r="J16" s="538">
        <f t="shared" si="87"/>
      </c>
      <c r="K16" s="539">
        <f t="shared" si="139"/>
      </c>
      <c r="L16" s="540">
        <f t="shared" si="233"/>
      </c>
      <c r="M16" s="541">
        <f t="shared" si="156"/>
      </c>
      <c r="N16" s="541">
        <f t="shared" si="252"/>
      </c>
      <c r="O16" s="541">
        <f t="shared" si="269"/>
      </c>
      <c r="P16" s="542">
        <f t="shared" si="16"/>
      </c>
      <c r="Q16" s="543" t="s">
        <v>952</v>
      </c>
      <c r="R16" s="544" t="s">
        <v>949</v>
      </c>
      <c r="S16" s="575">
        <v>9439</v>
      </c>
      <c r="T16" s="575">
        <v>898</v>
      </c>
      <c r="U16" s="575">
        <v>1031</v>
      </c>
      <c r="V16" s="575">
        <v>83</v>
      </c>
      <c r="W16" s="567">
        <v>4</v>
      </c>
      <c r="X16" s="567">
        <v>0</v>
      </c>
      <c r="Y16" s="577">
        <v>56</v>
      </c>
      <c r="Z16" s="519"/>
      <c r="AA16" s="519"/>
    </row>
    <row r="17">
      <c r="A17" s="534"/>
      <c r="B17" s="535" t="s">
        <v>930</v>
      </c>
      <c r="C17" s="552" t="s">
        <v>954</v>
      </c>
      <c r="D17" s="535">
        <v>3289.45</v>
      </c>
      <c r="E17" s="519">
        <v>4</v>
      </c>
      <c r="F17" s="519">
        <v>4</v>
      </c>
      <c r="G17" s="574">
        <v>4617.6</v>
      </c>
      <c r="H17" s="538">
        <f t="shared" si="0"/>
      </c>
      <c r="I17" s="538">
        <f t="shared" si="34"/>
      </c>
      <c r="J17" s="538">
        <f t="shared" si="87"/>
      </c>
      <c r="K17" s="539">
        <f t="shared" si="139"/>
      </c>
      <c r="L17" s="540">
        <f t="shared" si="233"/>
      </c>
      <c r="M17" s="541">
        <f t="shared" si="156"/>
      </c>
      <c r="N17" s="541">
        <f t="shared" si="252"/>
      </c>
      <c r="O17" s="541">
        <f t="shared" si="269"/>
      </c>
      <c r="P17" s="542">
        <f t="shared" si="16"/>
      </c>
      <c r="Q17" s="543" t="s">
        <v>952</v>
      </c>
      <c r="R17" s="544" t="s">
        <v>949</v>
      </c>
      <c r="S17" s="575">
        <v>12936</v>
      </c>
      <c r="T17" s="575">
        <v>910</v>
      </c>
      <c r="U17" s="575">
        <v>1033</v>
      </c>
      <c r="V17" s="575">
        <v>126</v>
      </c>
      <c r="W17" s="567">
        <v>8</v>
      </c>
      <c r="X17" s="567">
        <v>0</v>
      </c>
      <c r="Y17" s="577">
        <v>52</v>
      </c>
      <c r="Z17" s="519"/>
      <c r="AA17" s="519"/>
    </row>
    <row r="18">
      <c r="A18" s="534"/>
      <c r="B18" s="535" t="s">
        <v>930</v>
      </c>
      <c r="C18" s="536" t="s">
        <v>955</v>
      </c>
      <c r="D18" s="535">
        <v>2978.03</v>
      </c>
      <c r="E18" s="519">
        <v>0</v>
      </c>
      <c r="F18" s="519">
        <v>0</v>
      </c>
      <c r="G18" s="576">
        <v>0</v>
      </c>
      <c r="H18" s="538">
        <f t="shared" si="0"/>
      </c>
      <c r="I18" s="538">
        <f t="shared" si="34"/>
      </c>
      <c r="J18" s="538">
        <f t="shared" si="87"/>
      </c>
      <c r="K18" s="539">
        <f t="shared" si="139"/>
      </c>
      <c r="L18" s="540">
        <f t="shared" si="233"/>
      </c>
      <c r="M18" s="541">
        <f t="shared" si="156"/>
      </c>
      <c r="N18" s="541">
        <f t="shared" si="252"/>
      </c>
      <c r="O18" s="541">
        <f t="shared" si="269"/>
      </c>
      <c r="P18" s="542">
        <f t="shared" si="16"/>
      </c>
      <c r="Q18" s="543" t="s">
        <v>952</v>
      </c>
      <c r="R18" s="544" t="s">
        <v>949</v>
      </c>
      <c r="S18" s="575">
        <v>12244</v>
      </c>
      <c r="T18" s="575">
        <v>899</v>
      </c>
      <c r="U18" s="575">
        <v>998</v>
      </c>
      <c r="V18" s="575">
        <v>98</v>
      </c>
      <c r="W18" s="567">
        <v>5</v>
      </c>
      <c r="X18" s="567">
        <v>0</v>
      </c>
      <c r="Y18" s="577">
        <v>33</v>
      </c>
      <c r="Z18" s="519"/>
      <c r="AA18" s="519"/>
    </row>
    <row r="19">
      <c r="A19" s="534"/>
      <c r="B19" s="535" t="s">
        <v>930</v>
      </c>
      <c r="C19" s="536" t="s">
        <v>956</v>
      </c>
      <c r="D19" s="535">
        <v>2964.91</v>
      </c>
      <c r="E19" s="519">
        <v>3</v>
      </c>
      <c r="F19" s="519">
        <v>3</v>
      </c>
      <c r="G19" s="578">
        <v>1618.8</v>
      </c>
      <c r="H19" s="538">
        <f t="shared" si="0"/>
      </c>
      <c r="I19" s="538">
        <f t="shared" si="34"/>
      </c>
      <c r="J19" s="538">
        <f t="shared" si="87"/>
      </c>
      <c r="K19" s="539">
        <f t="shared" si="139"/>
      </c>
      <c r="L19" s="540">
        <f t="shared" si="233"/>
      </c>
      <c r="M19" s="541">
        <f t="shared" si="156"/>
      </c>
      <c r="N19" s="541">
        <f t="shared" si="252"/>
      </c>
      <c r="O19" s="541">
        <f t="shared" si="269"/>
      </c>
      <c r="P19" s="542">
        <f t="shared" si="16"/>
      </c>
      <c r="Q19" s="543" t="s">
        <v>952</v>
      </c>
      <c r="R19" s="544" t="s">
        <v>949</v>
      </c>
      <c r="S19" s="575">
        <v>11676</v>
      </c>
      <c r="T19" s="575">
        <v>1138</v>
      </c>
      <c r="U19" s="575">
        <v>1289</v>
      </c>
      <c r="V19" s="575">
        <v>99</v>
      </c>
      <c r="W19" s="567">
        <v>6</v>
      </c>
      <c r="X19" s="567">
        <v>0</v>
      </c>
      <c r="Y19" s="577">
        <v>51</v>
      </c>
      <c r="Z19" s="519"/>
      <c r="AA19" s="519"/>
    </row>
    <row r="20">
      <c r="A20" s="534"/>
      <c r="B20" s="535" t="s">
        <v>930</v>
      </c>
      <c r="C20" s="536" t="s">
        <v>957</v>
      </c>
      <c r="D20" s="535">
        <v>1336.4</v>
      </c>
      <c r="E20" s="519">
        <v>1</v>
      </c>
      <c r="F20" s="519">
        <v>1</v>
      </c>
      <c r="G20" s="576">
        <v>652.8</v>
      </c>
      <c r="H20" s="538">
        <f t="shared" si="0"/>
      </c>
      <c r="I20" s="538">
        <f t="shared" si="34"/>
      </c>
      <c r="J20" s="538">
        <f t="shared" si="87"/>
      </c>
      <c r="K20" s="539">
        <f t="shared" si="139"/>
      </c>
      <c r="L20" s="540">
        <f t="shared" si="233"/>
      </c>
      <c r="M20" s="541">
        <f t="shared" si="156"/>
      </c>
      <c r="N20" s="541">
        <f t="shared" si="252"/>
      </c>
      <c r="O20" s="541">
        <f t="shared" si="269"/>
      </c>
      <c r="P20" s="542">
        <f t="shared" si="16"/>
      </c>
      <c r="Q20" s="543" t="s">
        <v>952</v>
      </c>
      <c r="R20" s="544" t="s">
        <v>949</v>
      </c>
      <c r="S20" s="567">
        <v>6891</v>
      </c>
      <c r="T20" s="567">
        <v>772</v>
      </c>
      <c r="U20" s="575">
        <v>887</v>
      </c>
      <c r="V20" s="575">
        <v>84</v>
      </c>
      <c r="W20" s="567">
        <v>1</v>
      </c>
      <c r="X20" s="567">
        <v>0</v>
      </c>
      <c r="Y20" s="577">
        <v>37</v>
      </c>
      <c r="Z20" s="519"/>
      <c r="AA20" s="519"/>
    </row>
    <row r="21">
      <c r="A21" s="534"/>
      <c r="B21" s="554" t="s">
        <v>936</v>
      </c>
      <c r="C21" s="554"/>
      <c r="D21" s="555">
        <f>SUM(D15:D20)</f>
      </c>
      <c r="E21" s="555">
        <f>SUM(E15:E20)</f>
      </c>
      <c r="F21" s="555">
        <f>SUM(F15:F20)</f>
      </c>
      <c r="G21" s="555">
        <f>SUM(G15:G20)</f>
      </c>
      <c r="H21" s="556">
        <f t="shared" si="0"/>
      </c>
      <c r="I21" s="557">
        <f t="shared" si="34"/>
      </c>
      <c r="J21" s="558">
        <f t="shared" si="87"/>
      </c>
      <c r="K21" s="559">
        <f t="shared" si="139"/>
      </c>
      <c r="L21" s="560">
        <f t="shared" si="233"/>
      </c>
      <c r="M21" s="559">
        <f t="shared" si="156"/>
      </c>
      <c r="N21" s="559">
        <f t="shared" si="252"/>
      </c>
      <c r="O21" s="561">
        <f t="shared" si="269"/>
      </c>
      <c r="P21" s="562">
        <f t="shared" si="16"/>
      </c>
      <c r="Q21" s="560"/>
      <c r="R21" s="560"/>
      <c r="S21" s="563">
        <f>SUM(S15:S20)</f>
      </c>
      <c r="T21" s="563">
        <f>SUM(T15:T20)</f>
      </c>
      <c r="U21" s="563">
        <f>SUM(U15:U20)</f>
      </c>
      <c r="V21" s="563">
        <f>SUM(V15:V20)</f>
      </c>
      <c r="W21" s="563">
        <f>SUM(W15:W20)</f>
      </c>
      <c r="X21" s="563">
        <f>SUM(X15:X20)</f>
      </c>
      <c r="Y21" s="563">
        <f>SUM(Y15:Y20)</f>
      </c>
      <c r="Z21" s="519"/>
      <c r="AA21" s="519"/>
    </row>
    <row r="22">
      <c r="A22" s="534"/>
      <c r="B22" s="579" t="s">
        <v>958</v>
      </c>
      <c r="C22" s="579"/>
      <c r="D22" s="580">
        <f>D8+D14+D21</f>
      </c>
      <c r="E22" s="580">
        <f>E8+E14+E21</f>
      </c>
      <c r="F22" s="580">
        <f>F8+F14+F21</f>
      </c>
      <c r="G22" s="580">
        <f>G8+G14+G21</f>
      </c>
      <c r="H22" s="579">
        <f t="shared" si="0"/>
      </c>
      <c r="I22" s="579">
        <f t="shared" si="34"/>
      </c>
      <c r="J22" s="579">
        <f t="shared" si="87"/>
      </c>
      <c r="K22" s="581">
        <f t="shared" si="139"/>
      </c>
      <c r="L22" s="579">
        <f t="shared" si="233"/>
      </c>
      <c r="M22" s="581">
        <f t="shared" si="156"/>
      </c>
      <c r="N22" s="581">
        <f t="shared" si="252"/>
      </c>
      <c r="O22" s="581">
        <f t="shared" si="269"/>
      </c>
      <c r="P22" s="579">
        <f t="shared" si="16"/>
      </c>
      <c r="Q22" s="582"/>
      <c r="R22" s="582"/>
      <c r="S22" s="583">
        <f>S8+S14+S21</f>
      </c>
      <c r="T22" s="583">
        <f>T8+T14+T21</f>
      </c>
      <c r="U22" s="583">
        <f>U8+U14+U21</f>
      </c>
      <c r="V22" s="583">
        <f>V8+V14+V21</f>
      </c>
      <c r="W22" s="583">
        <f>W8+W14+W21</f>
      </c>
      <c r="X22" s="583">
        <f>X8+X14+X21</f>
      </c>
      <c r="Y22" s="583">
        <f>Y8+Y14+Y21</f>
      </c>
      <c r="Z22" s="519"/>
      <c r="AA22" s="519"/>
    </row>
    <row r="23">
      <c r="A23" s="515" t="s">
        <v>882</v>
      </c>
      <c r="B23" s="515"/>
      <c r="C23" s="515"/>
      <c r="D23" s="516" t="s">
        <v>883</v>
      </c>
      <c r="E23" s="516"/>
      <c r="F23" s="516"/>
      <c r="G23" s="516"/>
      <c r="H23" s="516"/>
      <c r="I23" s="516"/>
      <c r="J23" s="516"/>
      <c r="K23" s="517" t="s">
        <v>884</v>
      </c>
      <c r="L23" s="517"/>
      <c r="M23" s="517"/>
      <c r="N23" s="517"/>
      <c r="O23" s="517"/>
      <c r="P23" s="517"/>
      <c r="Q23" s="517"/>
      <c r="R23" s="517"/>
      <c r="S23" s="518" t="s">
        <v>885</v>
      </c>
      <c r="T23" s="518"/>
      <c r="U23" s="518"/>
      <c r="V23" s="518"/>
      <c r="W23" s="518"/>
      <c r="X23" s="518"/>
      <c r="Y23" s="518"/>
      <c r="Z23" s="519"/>
      <c r="AA23" s="520" t="s">
        <v>959</v>
      </c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</row>
    <row r="24">
      <c r="A24" s="521" t="s">
        <v>887</v>
      </c>
      <c r="B24" s="521" t="s">
        <v>888</v>
      </c>
      <c r="C24" s="521" t="s">
        <v>889</v>
      </c>
      <c r="D24" s="522" t="s">
        <v>890</v>
      </c>
      <c r="E24" s="523" t="s">
        <v>891</v>
      </c>
      <c r="F24" s="524" t="s">
        <v>892</v>
      </c>
      <c r="G24" s="522" t="s">
        <v>893</v>
      </c>
      <c r="H24" s="525" t="s">
        <v>894</v>
      </c>
      <c r="I24" s="526" t="s">
        <v>895</v>
      </c>
      <c r="J24" s="522" t="s">
        <v>896</v>
      </c>
      <c r="K24" s="527" t="s">
        <v>897</v>
      </c>
      <c r="L24" s="528" t="s">
        <v>898</v>
      </c>
      <c r="M24" s="527" t="s">
        <v>899</v>
      </c>
      <c r="N24" s="527" t="s">
        <v>900</v>
      </c>
      <c r="O24" s="529" t="s">
        <v>901</v>
      </c>
      <c r="P24" s="529" t="s">
        <v>902</v>
      </c>
      <c r="Q24" s="530" t="s">
        <v>903</v>
      </c>
      <c r="R24" s="530" t="s">
        <v>904</v>
      </c>
      <c r="S24" s="531" t="s">
        <v>905</v>
      </c>
      <c r="T24" s="531" t="s">
        <v>906</v>
      </c>
      <c r="U24" s="531" t="s">
        <v>907</v>
      </c>
      <c r="V24" s="531" t="s">
        <v>908</v>
      </c>
      <c r="W24" s="531" t="s">
        <v>909</v>
      </c>
      <c r="X24" s="531" t="s">
        <v>910</v>
      </c>
      <c r="Y24" s="532" t="s">
        <v>911</v>
      </c>
      <c r="Z24" s="519"/>
      <c r="AA24" s="533" t="s">
        <v>912</v>
      </c>
      <c r="AB24" s="533" t="s">
        <v>913</v>
      </c>
      <c r="AC24" s="533" t="s">
        <v>914</v>
      </c>
      <c r="AD24" s="533" t="s">
        <v>915</v>
      </c>
      <c r="AE24" s="533" t="s">
        <v>916</v>
      </c>
      <c r="AF24" s="533" t="s">
        <v>917</v>
      </c>
      <c r="AG24" s="533" t="s">
        <v>896</v>
      </c>
      <c r="AH24" s="533" t="s">
        <v>918</v>
      </c>
      <c r="AI24" s="533" t="s">
        <v>894</v>
      </c>
      <c r="AJ24" s="533" t="s">
        <v>919</v>
      </c>
      <c r="AK24" s="533"/>
    </row>
    <row r="25">
      <c r="A25" s="534" t="s">
        <v>960</v>
      </c>
      <c r="B25" s="535" t="s">
        <v>921</v>
      </c>
      <c r="C25" s="536" t="s">
        <v>922</v>
      </c>
      <c r="D25" s="535">
        <v>2684.83</v>
      </c>
      <c r="E25" s="519">
        <v>2</v>
      </c>
      <c r="F25" s="519">
        <v>2</v>
      </c>
      <c r="G25" s="535">
        <v>1661.1</v>
      </c>
      <c r="H25" s="538">
        <f t="shared" ref="H25:H44" si="1">G25/D25</f>
      </c>
      <c r="I25" s="538">
        <f>D25/E25</f>
      </c>
      <c r="J25" s="538">
        <f>G25/E25</f>
      </c>
      <c r="K25" s="539">
        <f t="shared" ref="K25:K44" si="140">T25/S25</f>
      </c>
      <c r="L25" s="540">
        <f t="shared" ref="L25:L44" si="234">D25/U25</f>
      </c>
      <c r="M25" s="541">
        <f t="shared" ref="M25:M44" si="157">V25/U25</f>
      </c>
      <c r="N25" s="541">
        <f t="shared" ref="N25:N44" si="253">E25/W25</f>
      </c>
      <c r="O25" s="541">
        <f t="shared" ref="O25:O44" si="270">X25/E25</f>
      </c>
      <c r="P25" s="542">
        <f t="shared" ref="P25:P44" si="17">(Y25*1000)/D25</f>
      </c>
      <c r="Q25" s="543" t="s">
        <v>923</v>
      </c>
      <c r="R25" s="544" t="s">
        <v>924</v>
      </c>
      <c r="S25" s="575">
        <v>9411</v>
      </c>
      <c r="T25" s="575">
        <v>930</v>
      </c>
      <c r="U25" s="575">
        <v>1085</v>
      </c>
      <c r="V25" s="575">
        <v>74</v>
      </c>
      <c r="W25" s="567">
        <v>7</v>
      </c>
      <c r="X25" s="545">
        <v>0</v>
      </c>
      <c r="Y25" s="584">
        <v>69</v>
      </c>
      <c r="Z25" s="519"/>
      <c r="AA25" s="546" t="s">
        <v>921</v>
      </c>
      <c r="AB25" s="547" t="s">
        <v>925</v>
      </c>
      <c r="AC25" s="546">
        <v>5</v>
      </c>
      <c r="AD25" s="548">
        <v>14758.59</v>
      </c>
      <c r="AE25" s="548">
        <v>21351.7</v>
      </c>
      <c r="AF25" s="546">
        <v>13</v>
      </c>
      <c r="AG25" s="549">
        <f t="shared" ref="AG25:AG28" si="71">AE25/AF25</f>
      </c>
      <c r="AH25" s="549">
        <f t="shared" ref="AH25:AH28" si="124">AD25/AF25</f>
      </c>
      <c r="AI25" s="549">
        <f t="shared" ref="AI25:AI28" si="189">AE25/AD25</f>
      </c>
      <c r="AJ25" s="548">
        <f>AD25/AC25</f>
      </c>
      <c r="AK25" s="548"/>
    </row>
    <row r="26">
      <c r="A26" s="534"/>
      <c r="B26" s="535" t="s">
        <v>921</v>
      </c>
      <c r="C26" s="535" t="s">
        <v>926</v>
      </c>
      <c r="D26" s="535">
        <v>3367.27</v>
      </c>
      <c r="E26" s="519">
        <v>3</v>
      </c>
      <c r="F26" s="519">
        <v>2</v>
      </c>
      <c r="G26" s="535">
        <v>6048.6</v>
      </c>
      <c r="H26" s="538">
        <f t="shared" si="1"/>
      </c>
      <c r="I26" s="538">
        <v>2161</v>
      </c>
      <c r="J26" s="538">
        <v>234</v>
      </c>
      <c r="K26" s="539">
        <f t="shared" si="140"/>
      </c>
      <c r="L26" s="540">
        <f t="shared" si="234"/>
      </c>
      <c r="M26" s="541">
        <f t="shared" si="157"/>
      </c>
      <c r="N26" s="541">
        <f t="shared" si="253"/>
      </c>
      <c r="O26" s="541">
        <f t="shared" si="270"/>
      </c>
      <c r="P26" s="542">
        <f t="shared" si="17"/>
      </c>
      <c r="Q26" s="543" t="s">
        <v>923</v>
      </c>
      <c r="R26" s="544" t="s">
        <v>924</v>
      </c>
      <c r="S26" s="575">
        <v>9728</v>
      </c>
      <c r="T26" s="575">
        <v>996</v>
      </c>
      <c r="U26" s="575">
        <v>1147</v>
      </c>
      <c r="V26" s="575">
        <v>146</v>
      </c>
      <c r="W26" s="567">
        <v>10</v>
      </c>
      <c r="X26" s="545">
        <v>0</v>
      </c>
      <c r="Y26" s="584">
        <v>50</v>
      </c>
      <c r="Z26" s="519"/>
      <c r="AA26" s="546" t="s">
        <v>961</v>
      </c>
      <c r="AB26" s="547" t="s">
        <v>928</v>
      </c>
      <c r="AC26" s="546">
        <v>5</v>
      </c>
      <c r="AD26" s="546">
        <v>12532.1</v>
      </c>
      <c r="AE26" s="546">
        <v>18512.8</v>
      </c>
      <c r="AF26" s="546">
        <v>16</v>
      </c>
      <c r="AG26" s="549">
        <f t="shared" si="71"/>
      </c>
      <c r="AH26" s="549">
        <f t="shared" si="124"/>
      </c>
      <c r="AI26" s="549">
        <f t="shared" si="189"/>
      </c>
      <c r="AJ26" s="548">
        <f t="shared" ref="AJ26:AJ28" si="251">AD26/4</f>
      </c>
      <c r="AK26" s="548"/>
    </row>
    <row r="27">
      <c r="A27" s="534"/>
      <c r="B27" s="535" t="s">
        <v>921</v>
      </c>
      <c r="C27" s="535" t="s">
        <v>929</v>
      </c>
      <c r="D27" s="535">
        <v>2826.99</v>
      </c>
      <c r="E27" s="519">
        <v>3</v>
      </c>
      <c r="F27" s="519">
        <v>2</v>
      </c>
      <c r="G27" s="535">
        <v>3705.6</v>
      </c>
      <c r="H27" s="538">
        <f t="shared" si="1"/>
      </c>
      <c r="I27" s="538">
        <f t="shared" ref="I27:I32" si="35">D27/E27</f>
      </c>
      <c r="J27" s="538">
        <f t="shared" ref="J27:J32" si="88">G27/E27</f>
      </c>
      <c r="K27" s="539">
        <f t="shared" si="140"/>
      </c>
      <c r="L27" s="540">
        <f t="shared" si="234"/>
      </c>
      <c r="M27" s="541">
        <f t="shared" si="157"/>
      </c>
      <c r="N27" s="541">
        <f t="shared" si="253"/>
      </c>
      <c r="O27" s="541">
        <f t="shared" si="270"/>
      </c>
      <c r="P27" s="542">
        <f t="shared" si="17"/>
      </c>
      <c r="Q27" s="543" t="s">
        <v>923</v>
      </c>
      <c r="R27" s="544" t="s">
        <v>924</v>
      </c>
      <c r="S27" s="575">
        <v>8112</v>
      </c>
      <c r="T27" s="575">
        <v>749</v>
      </c>
      <c r="U27" s="575">
        <v>854</v>
      </c>
      <c r="V27" s="575">
        <v>98</v>
      </c>
      <c r="W27" s="567">
        <v>5</v>
      </c>
      <c r="X27" s="545">
        <v>1</v>
      </c>
      <c r="Y27" s="584">
        <v>38</v>
      </c>
      <c r="Z27" s="519"/>
      <c r="AA27" s="546" t="s">
        <v>930</v>
      </c>
      <c r="AB27" s="547" t="s">
        <v>931</v>
      </c>
      <c r="AC27" s="546">
        <v>6</v>
      </c>
      <c r="AD27" s="546">
        <v>11066.59</v>
      </c>
      <c r="AE27" s="546">
        <v>9052.8</v>
      </c>
      <c r="AF27" s="546">
        <v>6</v>
      </c>
      <c r="AG27" s="549">
        <f t="shared" si="71"/>
      </c>
      <c r="AH27" s="549">
        <f t="shared" si="124"/>
      </c>
      <c r="AI27" s="549">
        <f t="shared" si="189"/>
      </c>
      <c r="AJ27" s="548">
        <f t="shared" si="251"/>
      </c>
      <c r="AK27" s="548"/>
    </row>
    <row r="28">
      <c r="A28" s="534"/>
      <c r="B28" s="535" t="s">
        <v>921</v>
      </c>
      <c r="C28" s="535" t="s">
        <v>932</v>
      </c>
      <c r="D28" s="535">
        <v>3115.53</v>
      </c>
      <c r="E28" s="519">
        <v>0</v>
      </c>
      <c r="F28" s="519">
        <v>0</v>
      </c>
      <c r="G28" s="535">
        <v>0</v>
      </c>
      <c r="H28" s="538">
        <f t="shared" si="1"/>
      </c>
      <c r="I28" s="538">
        <f t="shared" si="35"/>
      </c>
      <c r="J28" s="538">
        <f t="shared" si="88"/>
      </c>
      <c r="K28" s="539">
        <f t="shared" si="140"/>
      </c>
      <c r="L28" s="540">
        <f t="shared" si="234"/>
      </c>
      <c r="M28" s="541">
        <f t="shared" si="157"/>
      </c>
      <c r="N28" s="541">
        <f t="shared" si="253"/>
      </c>
      <c r="O28" s="541">
        <f t="shared" si="270"/>
      </c>
      <c r="P28" s="542">
        <f t="shared" si="17"/>
      </c>
      <c r="Q28" s="543" t="s">
        <v>923</v>
      </c>
      <c r="R28" s="544" t="s">
        <v>924</v>
      </c>
      <c r="S28" s="575">
        <v>7198</v>
      </c>
      <c r="T28" s="575">
        <v>643</v>
      </c>
      <c r="U28" s="575">
        <v>729</v>
      </c>
      <c r="V28" s="575">
        <v>89</v>
      </c>
      <c r="W28" s="567">
        <v>7</v>
      </c>
      <c r="X28" s="545">
        <v>0</v>
      </c>
      <c r="Y28" s="584">
        <v>26</v>
      </c>
      <c r="Z28" s="519"/>
      <c r="AA28" s="533" t="s">
        <v>933</v>
      </c>
      <c r="AB28" s="533"/>
      <c r="AC28" s="533">
        <f>AC25+AC26+AC27</f>
      </c>
      <c r="AD28" s="533">
        <f>AD25+AD26+AD27</f>
      </c>
      <c r="AE28" s="533">
        <f>AE25+AE26+AE27</f>
      </c>
      <c r="AF28" s="550">
        <f>AF25+AF26+AF27</f>
      </c>
      <c r="AG28" s="551">
        <f t="shared" si="71"/>
      </c>
      <c r="AH28" s="551">
        <f t="shared" si="124"/>
      </c>
      <c r="AI28" s="551">
        <f t="shared" si="189"/>
      </c>
      <c r="AJ28" s="550">
        <f t="shared" si="251"/>
      </c>
      <c r="AK28" s="550"/>
    </row>
    <row r="29">
      <c r="A29" s="534"/>
      <c r="B29" s="535" t="s">
        <v>921</v>
      </c>
      <c r="C29" s="552" t="s">
        <v>934</v>
      </c>
      <c r="D29" s="535">
        <v>2763.97</v>
      </c>
      <c r="E29" s="519">
        <v>5</v>
      </c>
      <c r="F29" s="519">
        <v>3</v>
      </c>
      <c r="G29" s="535">
        <v>9936.4</v>
      </c>
      <c r="H29" s="538">
        <f t="shared" si="1"/>
      </c>
      <c r="I29" s="538">
        <f t="shared" si="35"/>
      </c>
      <c r="J29" s="538">
        <f t="shared" si="88"/>
      </c>
      <c r="K29" s="539">
        <f t="shared" si="140"/>
      </c>
      <c r="L29" s="540">
        <f t="shared" si="234"/>
      </c>
      <c r="M29" s="541">
        <f t="shared" si="157"/>
      </c>
      <c r="N29" s="541">
        <f t="shared" si="253"/>
      </c>
      <c r="O29" s="541">
        <f t="shared" si="270"/>
      </c>
      <c r="P29" s="542">
        <f t="shared" si="17"/>
      </c>
      <c r="Q29" s="543" t="s">
        <v>923</v>
      </c>
      <c r="R29" s="544" t="s">
        <v>924</v>
      </c>
      <c r="S29" s="575">
        <v>6029</v>
      </c>
      <c r="T29" s="575">
        <v>567</v>
      </c>
      <c r="U29" s="575">
        <v>654</v>
      </c>
      <c r="V29" s="575">
        <v>79</v>
      </c>
      <c r="W29" s="567">
        <v>6</v>
      </c>
      <c r="X29" s="545">
        <v>1</v>
      </c>
      <c r="Y29" s="584">
        <v>27</v>
      </c>
      <c r="Z29" s="519"/>
      <c r="AA29" s="553" t="s">
        <v>935</v>
      </c>
      <c r="AB29" s="553"/>
      <c r="AC29" s="553"/>
      <c r="AD29" s="553"/>
      <c r="AE29" s="553"/>
      <c r="AF29" s="553"/>
      <c r="AG29" s="553"/>
      <c r="AH29" s="553"/>
      <c r="AI29" s="553"/>
      <c r="AJ29" s="553"/>
      <c r="AK29" s="553"/>
    </row>
    <row r="30">
      <c r="A30" s="534"/>
      <c r="B30" s="554" t="s">
        <v>936</v>
      </c>
      <c r="C30" s="554"/>
      <c r="D30" s="555">
        <f>SUM(D25:D29)</f>
      </c>
      <c r="E30" s="555">
        <f>SUM(E25:E29)</f>
      </c>
      <c r="F30" s="555">
        <f>SUM(F25:F29)</f>
      </c>
      <c r="G30" s="555">
        <f>SUM(G25:G29)</f>
      </c>
      <c r="H30" s="556">
        <f t="shared" si="1"/>
      </c>
      <c r="I30" s="557">
        <f t="shared" si="35"/>
      </c>
      <c r="J30" s="558">
        <f t="shared" si="88"/>
      </c>
      <c r="K30" s="559">
        <f t="shared" si="140"/>
      </c>
      <c r="L30" s="560">
        <f t="shared" si="234"/>
      </c>
      <c r="M30" s="559">
        <f t="shared" si="157"/>
      </c>
      <c r="N30" s="559">
        <f t="shared" si="253"/>
      </c>
      <c r="O30" s="561">
        <f t="shared" si="270"/>
      </c>
      <c r="P30" s="562">
        <f t="shared" si="17"/>
      </c>
      <c r="Q30" s="560"/>
      <c r="R30" s="560"/>
      <c r="S30" s="563">
        <f>SUM(S25:S29)</f>
      </c>
      <c r="T30" s="563">
        <f>SUM(T25:T29)</f>
      </c>
      <c r="U30" s="563">
        <f>SUM(U25:U29)</f>
      </c>
      <c r="V30" s="563">
        <f>SUM(V25:V29)</f>
      </c>
      <c r="W30" s="563">
        <f>SUM(W25:W29)</f>
      </c>
      <c r="X30" s="563">
        <f>SUM(X25:X29)</f>
      </c>
      <c r="Y30" s="563">
        <f>SUM(Y25:Y29)</f>
      </c>
      <c r="Z30" s="519"/>
      <c r="AA30" s="564" t="s">
        <v>915</v>
      </c>
      <c r="AB30" s="564" t="s">
        <v>937</v>
      </c>
      <c r="AC30" s="564" t="s">
        <v>938</v>
      </c>
      <c r="AD30" s="564" t="s">
        <v>939</v>
      </c>
      <c r="AE30" s="564" t="s">
        <v>940</v>
      </c>
      <c r="AF30" s="564" t="s">
        <v>941</v>
      </c>
      <c r="AG30" s="564" t="s">
        <v>942</v>
      </c>
      <c r="AH30" s="565" t="s">
        <v>910</v>
      </c>
      <c r="AI30" s="565" t="s">
        <v>943</v>
      </c>
      <c r="AJ30" s="565" t="s">
        <v>944</v>
      </c>
      <c r="AK30" s="565" t="s">
        <v>914</v>
      </c>
    </row>
    <row r="31">
      <c r="A31" s="534"/>
      <c r="B31" s="535" t="s">
        <v>961</v>
      </c>
      <c r="C31" s="566" t="s">
        <v>945</v>
      </c>
      <c r="D31" s="535">
        <v>2439.41</v>
      </c>
      <c r="E31" s="519">
        <v>2</v>
      </c>
      <c r="F31" s="519">
        <v>3</v>
      </c>
      <c r="G31" s="535">
        <v>3350.8</v>
      </c>
      <c r="H31" s="538">
        <f t="shared" si="1"/>
      </c>
      <c r="I31" s="538">
        <f t="shared" si="35"/>
      </c>
      <c r="J31" s="538">
        <f t="shared" si="88"/>
      </c>
      <c r="K31" s="539">
        <f t="shared" si="140"/>
      </c>
      <c r="L31" s="540">
        <f t="shared" si="234"/>
      </c>
      <c r="M31" s="541">
        <f t="shared" si="157"/>
      </c>
      <c r="N31" s="541">
        <f t="shared" si="253"/>
      </c>
      <c r="O31" s="541">
        <f t="shared" si="270"/>
      </c>
      <c r="P31" s="542">
        <f t="shared" si="17"/>
      </c>
      <c r="Q31" s="543" t="s">
        <v>923</v>
      </c>
      <c r="R31" s="544" t="s">
        <v>924</v>
      </c>
      <c r="S31" s="575">
        <v>6433</v>
      </c>
      <c r="T31" s="575">
        <v>613</v>
      </c>
      <c r="U31" s="575">
        <v>717</v>
      </c>
      <c r="V31" s="575">
        <v>89</v>
      </c>
      <c r="W31" s="567">
        <v>7</v>
      </c>
      <c r="X31" s="567">
        <v>0</v>
      </c>
      <c r="Y31" s="584">
        <v>44</v>
      </c>
      <c r="Z31" s="519"/>
      <c r="AA31" s="568">
        <f>SUM(AD25:AD27)</f>
      </c>
      <c r="AB31" s="568">
        <f>SUM(AE25:AE27)</f>
      </c>
      <c r="AC31" s="569">
        <f>AB31/((AK31*300)+AA31)</f>
      </c>
      <c r="AD31" s="570">
        <f>AA31/AJ31</f>
      </c>
      <c r="AE31" s="569">
        <f>AB31/AJ31</f>
      </c>
      <c r="AF31" s="571">
        <f>AJ31/AI31</f>
      </c>
      <c r="AG31" s="571">
        <f>AH31/AJ31</f>
      </c>
      <c r="AH31" s="572">
        <v>2</v>
      </c>
      <c r="AI31" s="572">
        <v>80</v>
      </c>
      <c r="AJ31" s="572">
        <f>AF28</f>
      </c>
      <c r="AK31" s="573">
        <f>AC28</f>
      </c>
    </row>
    <row r="32">
      <c r="A32" s="534"/>
      <c r="B32" s="535" t="s">
        <v>961</v>
      </c>
      <c r="C32" s="566" t="s">
        <v>946</v>
      </c>
      <c r="D32" s="535">
        <v>3021.41</v>
      </c>
      <c r="E32" s="519">
        <v>5</v>
      </c>
      <c r="F32" s="519">
        <v>5</v>
      </c>
      <c r="G32" s="535">
        <v>6274.8</v>
      </c>
      <c r="H32" s="538">
        <f t="shared" si="1"/>
      </c>
      <c r="I32" s="538">
        <f t="shared" si="35"/>
      </c>
      <c r="J32" s="538">
        <f t="shared" si="88"/>
      </c>
      <c r="K32" s="539">
        <f t="shared" si="140"/>
      </c>
      <c r="L32" s="540">
        <f t="shared" si="234"/>
      </c>
      <c r="M32" s="541">
        <f t="shared" si="157"/>
      </c>
      <c r="N32" s="541">
        <f t="shared" si="253"/>
      </c>
      <c r="O32" s="541">
        <f t="shared" si="270"/>
      </c>
      <c r="P32" s="542">
        <f t="shared" si="17"/>
      </c>
      <c r="Q32" s="543" t="s">
        <v>923</v>
      </c>
      <c r="R32" s="544" t="s">
        <v>924</v>
      </c>
      <c r="S32" s="575">
        <v>8178</v>
      </c>
      <c r="T32" s="575">
        <v>655</v>
      </c>
      <c r="U32" s="575">
        <v>767</v>
      </c>
      <c r="V32" s="575">
        <v>106</v>
      </c>
      <c r="W32" s="567">
        <v>8</v>
      </c>
      <c r="X32" s="567">
        <v>0</v>
      </c>
      <c r="Y32" s="584">
        <v>31</v>
      </c>
      <c r="Z32" s="519"/>
      <c r="AA32" s="519"/>
    </row>
    <row r="33">
      <c r="A33" s="534"/>
      <c r="B33" s="535" t="s">
        <v>961</v>
      </c>
      <c r="C33" s="566" t="s">
        <v>947</v>
      </c>
      <c r="D33" s="535">
        <v>2660.45</v>
      </c>
      <c r="E33" s="519">
        <v>1</v>
      </c>
      <c r="F33" s="519">
        <v>0</v>
      </c>
      <c r="G33" s="574">
        <v>652.8</v>
      </c>
      <c r="H33" s="538">
        <f t="shared" si="1"/>
      </c>
      <c r="I33" s="538">
        <v>1323</v>
      </c>
      <c r="J33" s="538">
        <v>145</v>
      </c>
      <c r="K33" s="539">
        <f t="shared" si="140"/>
      </c>
      <c r="L33" s="540">
        <f t="shared" si="234"/>
      </c>
      <c r="M33" s="541">
        <f t="shared" si="157"/>
      </c>
      <c r="N33" s="541">
        <f t="shared" si="253"/>
      </c>
      <c r="O33" s="541">
        <f t="shared" si="270"/>
      </c>
      <c r="P33" s="542">
        <f t="shared" si="17"/>
      </c>
      <c r="Q33" s="543" t="s">
        <v>923</v>
      </c>
      <c r="R33" s="544" t="s">
        <v>924</v>
      </c>
      <c r="S33" s="575">
        <v>9040</v>
      </c>
      <c r="T33" s="575">
        <v>726</v>
      </c>
      <c r="U33" s="575">
        <v>831</v>
      </c>
      <c r="V33" s="575">
        <v>85</v>
      </c>
      <c r="W33" s="567">
        <v>3</v>
      </c>
      <c r="X33" s="567">
        <v>0</v>
      </c>
      <c r="Y33" s="545">
        <v>50</v>
      </c>
      <c r="Z33" s="519"/>
      <c r="AA33" s="519"/>
    </row>
    <row r="34">
      <c r="A34" s="534"/>
      <c r="B34" s="535" t="s">
        <v>961</v>
      </c>
      <c r="C34" s="566" t="s">
        <v>948</v>
      </c>
      <c r="D34" s="535">
        <v>2316.58</v>
      </c>
      <c r="E34" s="519">
        <v>4</v>
      </c>
      <c r="F34" s="519">
        <v>2</v>
      </c>
      <c r="G34" s="576">
        <v>2987.6</v>
      </c>
      <c r="H34" s="538">
        <f t="shared" si="1"/>
      </c>
      <c r="I34" s="538">
        <f t="shared" ref="I34:I44" si="36">D34/E34</f>
      </c>
      <c r="J34" s="538">
        <f t="shared" ref="J34:J44" si="89">G34/E34</f>
      </c>
      <c r="K34" s="539">
        <f t="shared" si="140"/>
      </c>
      <c r="L34" s="540">
        <f t="shared" si="234"/>
      </c>
      <c r="M34" s="541">
        <f t="shared" si="157"/>
      </c>
      <c r="N34" s="541">
        <f t="shared" si="253"/>
      </c>
      <c r="O34" s="541">
        <f t="shared" si="270"/>
      </c>
      <c r="P34" s="542">
        <f t="shared" si="17"/>
      </c>
      <c r="Q34" s="543" t="s">
        <v>923</v>
      </c>
      <c r="R34" s="544" t="s">
        <v>962</v>
      </c>
      <c r="S34" s="567">
        <v>7959</v>
      </c>
      <c r="T34" s="575">
        <v>696</v>
      </c>
      <c r="U34" s="575">
        <v>805</v>
      </c>
      <c r="V34" s="575">
        <v>86</v>
      </c>
      <c r="W34" s="567">
        <v>4</v>
      </c>
      <c r="X34" s="567">
        <v>0</v>
      </c>
      <c r="Y34" s="545">
        <v>55</v>
      </c>
      <c r="Z34" s="519"/>
      <c r="AA34" s="519"/>
    </row>
    <row r="35">
      <c r="A35" s="534"/>
      <c r="B35" s="535" t="s">
        <v>961</v>
      </c>
      <c r="C35" s="552" t="s">
        <v>950</v>
      </c>
      <c r="D35" s="535">
        <v>2094.25</v>
      </c>
      <c r="E35" s="519">
        <v>4</v>
      </c>
      <c r="F35" s="519">
        <v>3</v>
      </c>
      <c r="G35" s="576">
        <v>5246.8</v>
      </c>
      <c r="H35" s="538">
        <f t="shared" si="1"/>
      </c>
      <c r="I35" s="538">
        <f t="shared" si="36"/>
      </c>
      <c r="J35" s="538">
        <f t="shared" si="89"/>
      </c>
      <c r="K35" s="539">
        <f t="shared" si="140"/>
      </c>
      <c r="L35" s="540">
        <f t="shared" si="234"/>
      </c>
      <c r="M35" s="541">
        <f t="shared" si="157"/>
      </c>
      <c r="N35" s="541">
        <f t="shared" si="253"/>
      </c>
      <c r="O35" s="541">
        <f t="shared" si="270"/>
      </c>
      <c r="P35" s="542">
        <f t="shared" si="17"/>
      </c>
      <c r="Q35" s="543" t="s">
        <v>923</v>
      </c>
      <c r="R35" s="544" t="s">
        <v>962</v>
      </c>
      <c r="S35" s="567">
        <v>8300</v>
      </c>
      <c r="T35" s="575">
        <v>734</v>
      </c>
      <c r="U35" s="575">
        <v>873</v>
      </c>
      <c r="V35" s="575">
        <v>99</v>
      </c>
      <c r="W35" s="567">
        <v>5</v>
      </c>
      <c r="X35" s="567">
        <v>0</v>
      </c>
      <c r="Y35" s="545">
        <v>56</v>
      </c>
      <c r="Z35" s="519"/>
      <c r="AA35" s="519"/>
    </row>
    <row r="36">
      <c r="A36" s="534"/>
      <c r="B36" s="554" t="s">
        <v>936</v>
      </c>
      <c r="C36" s="554"/>
      <c r="D36" s="555">
        <f>SUM(D31:D35)</f>
      </c>
      <c r="E36" s="555">
        <f>SUM(E31:E35)</f>
      </c>
      <c r="F36" s="555">
        <f>SUM(F31:F35)</f>
      </c>
      <c r="G36" s="555">
        <f>SUM(G31:G35)</f>
      </c>
      <c r="H36" s="556">
        <f t="shared" si="1"/>
      </c>
      <c r="I36" s="557">
        <f t="shared" si="36"/>
      </c>
      <c r="J36" s="558">
        <f t="shared" si="89"/>
      </c>
      <c r="K36" s="559">
        <f t="shared" si="140"/>
      </c>
      <c r="L36" s="560">
        <f t="shared" si="234"/>
      </c>
      <c r="M36" s="559">
        <f t="shared" si="157"/>
      </c>
      <c r="N36" s="559">
        <f t="shared" si="253"/>
      </c>
      <c r="O36" s="561">
        <f t="shared" si="270"/>
      </c>
      <c r="P36" s="562">
        <f t="shared" si="17"/>
      </c>
      <c r="Q36" s="560"/>
      <c r="R36" s="560"/>
      <c r="S36" s="563">
        <f>SUM(S31:S35)</f>
      </c>
      <c r="T36" s="563">
        <f>SUM(T31:T35)</f>
      </c>
      <c r="U36" s="563">
        <f>SUM(U31:U35)</f>
      </c>
      <c r="V36" s="563">
        <f>SUM(V31:V35)</f>
      </c>
      <c r="W36" s="563">
        <f>SUM(W31:W35)</f>
      </c>
      <c r="X36" s="563">
        <f>SUM(X31:X35)</f>
      </c>
      <c r="Y36" s="563">
        <f>SUM(Y31:Y35)</f>
      </c>
      <c r="Z36" s="519"/>
      <c r="AA36" s="519"/>
    </row>
    <row r="37">
      <c r="A37" s="534"/>
      <c r="B37" s="535" t="s">
        <v>930</v>
      </c>
      <c r="C37" s="552" t="s">
        <v>951</v>
      </c>
      <c r="D37" s="535">
        <v>1806.06</v>
      </c>
      <c r="E37" s="519">
        <v>0</v>
      </c>
      <c r="F37" s="519">
        <v>0</v>
      </c>
      <c r="G37" s="574">
        <v>0</v>
      </c>
      <c r="H37" s="538">
        <f t="shared" si="1"/>
      </c>
      <c r="I37" s="538">
        <f t="shared" si="36"/>
      </c>
      <c r="J37" s="538">
        <f t="shared" si="89"/>
      </c>
      <c r="K37" s="539">
        <f t="shared" si="140"/>
      </c>
      <c r="L37" s="540">
        <f t="shared" si="234"/>
      </c>
      <c r="M37" s="541">
        <f t="shared" si="157"/>
      </c>
      <c r="N37" s="541">
        <f t="shared" si="253"/>
      </c>
      <c r="O37" s="541">
        <f t="shared" si="270"/>
      </c>
      <c r="P37" s="542">
        <f t="shared" si="17"/>
      </c>
      <c r="Q37" s="543" t="s">
        <v>952</v>
      </c>
      <c r="R37" s="544" t="s">
        <v>962</v>
      </c>
      <c r="S37" s="575">
        <v>8526</v>
      </c>
      <c r="T37" s="575">
        <v>848</v>
      </c>
      <c r="U37" s="575">
        <v>1003</v>
      </c>
      <c r="V37" s="575">
        <v>94</v>
      </c>
      <c r="W37" s="567">
        <v>2</v>
      </c>
      <c r="X37" s="567">
        <v>0</v>
      </c>
      <c r="Y37" s="577">
        <v>50</v>
      </c>
      <c r="Z37" s="519"/>
      <c r="AA37" s="519"/>
    </row>
    <row r="38">
      <c r="A38" s="534"/>
      <c r="B38" s="535" t="s">
        <v>930</v>
      </c>
      <c r="C38" s="552" t="s">
        <v>953</v>
      </c>
      <c r="D38" s="535">
        <v>1434.73</v>
      </c>
      <c r="E38" s="519">
        <v>0</v>
      </c>
      <c r="F38" s="519">
        <v>0</v>
      </c>
      <c r="G38" s="574">
        <v>0</v>
      </c>
      <c r="H38" s="538">
        <f t="shared" si="1"/>
      </c>
      <c r="I38" s="538">
        <f t="shared" si="36"/>
      </c>
      <c r="J38" s="538">
        <f t="shared" si="89"/>
      </c>
      <c r="K38" s="539">
        <f t="shared" si="140"/>
      </c>
      <c r="L38" s="540">
        <f t="shared" si="234"/>
      </c>
      <c r="M38" s="541">
        <f t="shared" si="157"/>
      </c>
      <c r="N38" s="541">
        <f t="shared" si="253"/>
      </c>
      <c r="O38" s="541">
        <f t="shared" si="270"/>
      </c>
      <c r="P38" s="542">
        <f t="shared" si="17"/>
      </c>
      <c r="Q38" s="543" t="s">
        <v>952</v>
      </c>
      <c r="R38" s="544" t="s">
        <v>962</v>
      </c>
      <c r="S38" s="575">
        <v>6971</v>
      </c>
      <c r="T38" s="575">
        <v>774</v>
      </c>
      <c r="U38" s="575">
        <v>912</v>
      </c>
      <c r="V38" s="575">
        <v>70</v>
      </c>
      <c r="W38" s="567">
        <v>1</v>
      </c>
      <c r="X38" s="567">
        <v>0</v>
      </c>
      <c r="Y38" s="577">
        <v>25</v>
      </c>
      <c r="Z38" s="519"/>
      <c r="AA38" s="519"/>
    </row>
    <row r="39">
      <c r="A39" s="534"/>
      <c r="B39" s="535" t="s">
        <v>930</v>
      </c>
      <c r="C39" s="552" t="s">
        <v>954</v>
      </c>
      <c r="D39" s="535">
        <v>2330.9</v>
      </c>
      <c r="E39" s="519">
        <v>0</v>
      </c>
      <c r="F39" s="519">
        <v>0</v>
      </c>
      <c r="G39" s="574">
        <v>0</v>
      </c>
      <c r="H39" s="538">
        <f t="shared" si="1"/>
      </c>
      <c r="I39" s="538">
        <f t="shared" si="36"/>
      </c>
      <c r="J39" s="538">
        <f t="shared" si="89"/>
      </c>
      <c r="K39" s="539">
        <f t="shared" si="140"/>
      </c>
      <c r="L39" s="540">
        <f t="shared" si="234"/>
      </c>
      <c r="M39" s="541">
        <f t="shared" si="157"/>
      </c>
      <c r="N39" s="541">
        <f t="shared" si="253"/>
      </c>
      <c r="O39" s="541">
        <f t="shared" si="270"/>
      </c>
      <c r="P39" s="542">
        <f t="shared" si="17"/>
      </c>
      <c r="Q39" s="543" t="s">
        <v>952</v>
      </c>
      <c r="R39" s="544" t="s">
        <v>962</v>
      </c>
      <c r="S39" s="575">
        <v>8624</v>
      </c>
      <c r="T39" s="575">
        <v>1128</v>
      </c>
      <c r="U39" s="575">
        <v>1361</v>
      </c>
      <c r="V39" s="575">
        <v>122</v>
      </c>
      <c r="W39" s="567">
        <v>0</v>
      </c>
      <c r="X39" s="567">
        <v>0</v>
      </c>
      <c r="Y39" s="577">
        <v>76</v>
      </c>
      <c r="Z39" s="519"/>
      <c r="AA39" s="519"/>
    </row>
    <row r="40">
      <c r="A40" s="534"/>
      <c r="B40" s="535" t="s">
        <v>930</v>
      </c>
      <c r="C40" s="536" t="s">
        <v>955</v>
      </c>
      <c r="D40" s="535">
        <v>2455.3</v>
      </c>
      <c r="E40" s="519">
        <v>4</v>
      </c>
      <c r="F40" s="519">
        <v>2</v>
      </c>
      <c r="G40" s="576">
        <v>7302</v>
      </c>
      <c r="H40" s="538">
        <f t="shared" si="1"/>
      </c>
      <c r="I40" s="538">
        <f t="shared" si="36"/>
      </c>
      <c r="J40" s="538">
        <f t="shared" si="89"/>
      </c>
      <c r="K40" s="539">
        <f t="shared" si="140"/>
      </c>
      <c r="L40" s="540">
        <f t="shared" si="234"/>
      </c>
      <c r="M40" s="541">
        <f t="shared" si="157"/>
      </c>
      <c r="N40" s="541">
        <f t="shared" si="253"/>
      </c>
      <c r="O40" s="541">
        <f t="shared" si="270"/>
      </c>
      <c r="P40" s="542">
        <f t="shared" si="17"/>
      </c>
      <c r="Q40" s="543" t="s">
        <v>952</v>
      </c>
      <c r="R40" s="544" t="s">
        <v>962</v>
      </c>
      <c r="S40" s="575">
        <v>6378</v>
      </c>
      <c r="T40" s="575">
        <v>968</v>
      </c>
      <c r="U40" s="575">
        <v>1173</v>
      </c>
      <c r="V40" s="575">
        <v>103</v>
      </c>
      <c r="W40" s="567">
        <v>7</v>
      </c>
      <c r="X40" s="567">
        <v>1</v>
      </c>
      <c r="Y40" s="577">
        <v>49</v>
      </c>
      <c r="Z40" s="519"/>
      <c r="AA40" s="519"/>
    </row>
    <row r="41">
      <c r="A41" s="534"/>
      <c r="B41" s="535" t="s">
        <v>930</v>
      </c>
      <c r="C41" s="536" t="s">
        <v>956</v>
      </c>
      <c r="D41" s="535">
        <v>2110.51</v>
      </c>
      <c r="E41" s="519">
        <v>1</v>
      </c>
      <c r="F41" s="519">
        <v>1</v>
      </c>
      <c r="G41" s="578">
        <v>652.8</v>
      </c>
      <c r="H41" s="538">
        <f t="shared" si="1"/>
      </c>
      <c r="I41" s="538">
        <f t="shared" si="36"/>
      </c>
      <c r="J41" s="538">
        <f t="shared" si="89"/>
      </c>
      <c r="K41" s="539">
        <f t="shared" si="140"/>
      </c>
      <c r="L41" s="540">
        <f t="shared" si="234"/>
      </c>
      <c r="M41" s="541">
        <f t="shared" si="157"/>
      </c>
      <c r="N41" s="541">
        <f t="shared" si="253"/>
      </c>
      <c r="O41" s="541">
        <f t="shared" si="270"/>
      </c>
      <c r="P41" s="542">
        <f t="shared" si="17"/>
      </c>
      <c r="Q41" s="543" t="s">
        <v>952</v>
      </c>
      <c r="R41" s="544" t="s">
        <v>962</v>
      </c>
      <c r="S41" s="575">
        <v>5727</v>
      </c>
      <c r="T41" s="575">
        <v>869</v>
      </c>
      <c r="U41" s="575">
        <v>1021</v>
      </c>
      <c r="V41" s="575">
        <v>96</v>
      </c>
      <c r="W41" s="567">
        <v>3</v>
      </c>
      <c r="X41" s="567">
        <v>0</v>
      </c>
      <c r="Y41" s="577">
        <v>46</v>
      </c>
      <c r="Z41" s="519"/>
      <c r="AA41" s="519"/>
    </row>
    <row r="42">
      <c r="A42" s="534"/>
      <c r="B42" s="535" t="s">
        <v>930</v>
      </c>
      <c r="C42" s="536" t="s">
        <v>957</v>
      </c>
      <c r="D42" s="535">
        <v>929.09</v>
      </c>
      <c r="E42" s="519">
        <v>1</v>
      </c>
      <c r="F42" s="519">
        <v>1</v>
      </c>
      <c r="G42" s="576">
        <v>1098</v>
      </c>
      <c r="H42" s="538">
        <f t="shared" si="1"/>
      </c>
      <c r="I42" s="538">
        <f t="shared" si="36"/>
      </c>
      <c r="J42" s="538">
        <f t="shared" si="89"/>
      </c>
      <c r="K42" s="539">
        <f t="shared" si="140"/>
      </c>
      <c r="L42" s="540">
        <f t="shared" si="234"/>
      </c>
      <c r="M42" s="541">
        <f t="shared" si="157"/>
      </c>
      <c r="N42" s="541">
        <f t="shared" si="253"/>
      </c>
      <c r="O42" s="541">
        <f t="shared" si="270"/>
      </c>
      <c r="P42" s="542">
        <f t="shared" si="17"/>
      </c>
      <c r="Q42" s="543" t="s">
        <v>952</v>
      </c>
      <c r="R42" s="544" t="s">
        <v>962</v>
      </c>
      <c r="S42" s="567">
        <v>5727</v>
      </c>
      <c r="T42" s="567">
        <v>869</v>
      </c>
      <c r="U42" s="575">
        <v>1021</v>
      </c>
      <c r="V42" s="575">
        <v>96</v>
      </c>
      <c r="W42" s="567">
        <v>5</v>
      </c>
      <c r="X42" s="567">
        <v>0</v>
      </c>
      <c r="Y42" s="577">
        <v>26</v>
      </c>
      <c r="Z42" s="519"/>
      <c r="AA42" s="519"/>
    </row>
    <row r="43">
      <c r="A43" s="534"/>
      <c r="B43" s="554" t="s">
        <v>936</v>
      </c>
      <c r="C43" s="554"/>
      <c r="D43" s="555">
        <f>SUM(D37:D42)</f>
      </c>
      <c r="E43" s="555">
        <f>SUM(E37:E42)</f>
      </c>
      <c r="F43" s="555">
        <f>SUM(F37:F42)</f>
      </c>
      <c r="G43" s="555">
        <f>SUM(G37:G42)</f>
      </c>
      <c r="H43" s="556">
        <f t="shared" si="1"/>
      </c>
      <c r="I43" s="557">
        <f t="shared" si="36"/>
      </c>
      <c r="J43" s="558">
        <f t="shared" si="89"/>
      </c>
      <c r="K43" s="559">
        <f t="shared" si="140"/>
      </c>
      <c r="L43" s="560">
        <f t="shared" si="234"/>
      </c>
      <c r="M43" s="559">
        <f t="shared" si="157"/>
      </c>
      <c r="N43" s="559">
        <f t="shared" si="253"/>
      </c>
      <c r="O43" s="561">
        <f t="shared" si="270"/>
      </c>
      <c r="P43" s="562">
        <f t="shared" si="17"/>
      </c>
      <c r="Q43" s="560"/>
      <c r="R43" s="560"/>
      <c r="S43" s="563">
        <f>SUM(S37:S42)</f>
      </c>
      <c r="T43" s="563">
        <f>SUM(T37:T42)</f>
      </c>
      <c r="U43" s="563">
        <f>SUM(U37:U42)</f>
      </c>
      <c r="V43" s="563">
        <f>SUM(V37:V42)</f>
      </c>
      <c r="W43" s="563">
        <f>SUM(W37:W42)</f>
      </c>
      <c r="X43" s="563">
        <f>SUM(X37:X42)</f>
      </c>
      <c r="Y43" s="563">
        <f>SUM(Y37:Y42)</f>
      </c>
      <c r="Z43" s="519"/>
      <c r="AA43" s="519"/>
    </row>
    <row r="44">
      <c r="A44" s="534"/>
      <c r="B44" s="579" t="s">
        <v>958</v>
      </c>
      <c r="C44" s="579"/>
      <c r="D44" s="580">
        <f>D30+D36+D43</f>
      </c>
      <c r="E44" s="580">
        <f>E30+E36+E43</f>
      </c>
      <c r="F44" s="580">
        <f>F30+F36+F43</f>
      </c>
      <c r="G44" s="580">
        <f>G30+G36+G43</f>
      </c>
      <c r="H44" s="579">
        <f t="shared" si="1"/>
      </c>
      <c r="I44" s="579">
        <f t="shared" si="36"/>
      </c>
      <c r="J44" s="579">
        <f t="shared" si="89"/>
      </c>
      <c r="K44" s="581">
        <f t="shared" si="140"/>
      </c>
      <c r="L44" s="579">
        <f t="shared" si="234"/>
      </c>
      <c r="M44" s="581">
        <f t="shared" si="157"/>
      </c>
      <c r="N44" s="581">
        <f t="shared" si="253"/>
      </c>
      <c r="O44" s="581">
        <f t="shared" si="270"/>
      </c>
      <c r="P44" s="579">
        <f t="shared" si="17"/>
      </c>
      <c r="Q44" s="582"/>
      <c r="R44" s="582"/>
      <c r="S44" s="583">
        <f>S30+S36+S43</f>
      </c>
      <c r="T44" s="583">
        <f>T30+T36+T43</f>
      </c>
      <c r="U44" s="583">
        <f>U30+U36+U43</f>
      </c>
      <c r="V44" s="583">
        <f>V30+V36+V43</f>
      </c>
      <c r="W44" s="583">
        <f>W30+W36+W43</f>
      </c>
      <c r="X44" s="583">
        <f>X30+X36+X43</f>
      </c>
      <c r="Y44" s="583">
        <f>Y30+Y36+Y43</f>
      </c>
      <c r="Z44" s="519"/>
      <c r="AA44" s="519"/>
    </row>
    <row customHeight="true" ht="20.238095238095237" r="45">
      <c r="A45" s="515" t="s">
        <v>882</v>
      </c>
      <c r="B45" s="515"/>
      <c r="C45" s="515"/>
      <c r="D45" s="516" t="s">
        <v>883</v>
      </c>
      <c r="E45" s="516"/>
      <c r="F45" s="516"/>
      <c r="G45" s="516"/>
      <c r="H45" s="516"/>
      <c r="I45" s="516"/>
      <c r="J45" s="516"/>
      <c r="K45" s="517" t="s">
        <v>884</v>
      </c>
      <c r="L45" s="517"/>
      <c r="M45" s="517"/>
      <c r="N45" s="517"/>
      <c r="O45" s="517"/>
      <c r="P45" s="517"/>
      <c r="Q45" s="517"/>
      <c r="R45" s="517"/>
      <c r="S45" s="518" t="s">
        <v>885</v>
      </c>
      <c r="T45" s="518"/>
      <c r="U45" s="518"/>
      <c r="V45" s="518"/>
      <c r="W45" s="518"/>
      <c r="X45" s="518"/>
      <c r="Y45" s="518"/>
      <c r="Z45" s="519"/>
      <c r="AA45" s="520" t="s">
        <v>963</v>
      </c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</row>
    <row r="46">
      <c r="A46" s="521" t="s">
        <v>887</v>
      </c>
      <c r="B46" s="521" t="s">
        <v>888</v>
      </c>
      <c r="C46" s="521" t="s">
        <v>889</v>
      </c>
      <c r="D46" s="522" t="s">
        <v>890</v>
      </c>
      <c r="E46" s="523" t="s">
        <v>891</v>
      </c>
      <c r="F46" s="524" t="s">
        <v>892</v>
      </c>
      <c r="G46" s="522" t="s">
        <v>893</v>
      </c>
      <c r="H46" s="525" t="s">
        <v>894</v>
      </c>
      <c r="I46" s="526" t="s">
        <v>895</v>
      </c>
      <c r="J46" s="522" t="s">
        <v>896</v>
      </c>
      <c r="K46" s="527" t="s">
        <v>897</v>
      </c>
      <c r="L46" s="528" t="s">
        <v>898</v>
      </c>
      <c r="M46" s="527" t="s">
        <v>899</v>
      </c>
      <c r="N46" s="527" t="s">
        <v>900</v>
      </c>
      <c r="O46" s="529" t="s">
        <v>901</v>
      </c>
      <c r="P46" s="529" t="s">
        <v>902</v>
      </c>
      <c r="Q46" s="530" t="s">
        <v>903</v>
      </c>
      <c r="R46" s="530" t="s">
        <v>904</v>
      </c>
      <c r="S46" s="585" t="s">
        <v>905</v>
      </c>
      <c r="T46" s="585" t="s">
        <v>906</v>
      </c>
      <c r="U46" s="585" t="s">
        <v>907</v>
      </c>
      <c r="V46" s="585" t="s">
        <v>908</v>
      </c>
      <c r="W46" s="585" t="s">
        <v>909</v>
      </c>
      <c r="X46" s="585" t="s">
        <v>910</v>
      </c>
      <c r="Y46" s="586" t="s">
        <v>911</v>
      </c>
      <c r="Z46" s="519"/>
      <c r="AA46" s="533" t="s">
        <v>912</v>
      </c>
      <c r="AB46" s="533" t="s">
        <v>913</v>
      </c>
      <c r="AC46" s="533" t="s">
        <v>914</v>
      </c>
      <c r="AD46" s="533" t="s">
        <v>915</v>
      </c>
      <c r="AE46" s="533" t="s">
        <v>916</v>
      </c>
      <c r="AF46" s="533" t="s">
        <v>917</v>
      </c>
      <c r="AG46" s="533" t="s">
        <v>896</v>
      </c>
      <c r="AH46" s="533" t="s">
        <v>918</v>
      </c>
      <c r="AI46" s="533" t="s">
        <v>894</v>
      </c>
      <c r="AJ46" s="533" t="s">
        <v>919</v>
      </c>
      <c r="AK46" s="533"/>
    </row>
    <row r="47">
      <c r="A47" s="534" t="s">
        <v>964</v>
      </c>
      <c r="B47" s="535" t="s">
        <v>927</v>
      </c>
      <c r="C47" s="536" t="s">
        <v>922</v>
      </c>
      <c r="D47" s="535">
        <v>1897.99</v>
      </c>
      <c r="E47" s="519">
        <v>1</v>
      </c>
      <c r="F47" s="519">
        <v>1</v>
      </c>
      <c r="G47" s="535">
        <v>402</v>
      </c>
      <c r="H47" s="538">
        <f t="shared" ref="H47:H67" si="2">G47/D47</f>
      </c>
      <c r="I47" s="538">
        <f>D47/E47</f>
      </c>
      <c r="J47" s="538">
        <f>G47/E47</f>
      </c>
      <c r="K47" s="539">
        <f t="shared" ref="K47:K67" si="141">T47/S47</f>
      </c>
      <c r="L47" s="540">
        <f t="shared" ref="L47:L67" si="235">D47/U47</f>
      </c>
      <c r="M47" s="541">
        <f t="shared" ref="M47:M67" si="158">V47/U47</f>
      </c>
      <c r="N47" s="541">
        <f t="shared" ref="N47:N67" si="254">E47/W47</f>
      </c>
      <c r="O47" s="541">
        <f t="shared" ref="O47:O67" si="271">X47/E47</f>
      </c>
      <c r="P47" s="542">
        <f t="shared" ref="P47:P67" si="18">(Y47*1000)/D47</f>
      </c>
      <c r="Q47" s="543" t="s">
        <v>923</v>
      </c>
      <c r="R47" s="544" t="s">
        <v>924</v>
      </c>
      <c r="S47" s="567">
        <v>7815</v>
      </c>
      <c r="T47" s="567">
        <v>985</v>
      </c>
      <c r="U47" s="567">
        <v>1180</v>
      </c>
      <c r="V47" s="567">
        <v>87</v>
      </c>
      <c r="W47" s="567">
        <v>1</v>
      </c>
      <c r="X47" s="567">
        <v>0</v>
      </c>
      <c r="Y47" s="567">
        <v>53</v>
      </c>
      <c r="Z47" s="519"/>
      <c r="AA47" s="546" t="s">
        <v>927</v>
      </c>
      <c r="AB47" s="547" t="s">
        <v>925</v>
      </c>
      <c r="AC47" s="546">
        <v>5</v>
      </c>
      <c r="AD47" s="548">
        <v>11605.51</v>
      </c>
      <c r="AE47" s="548">
        <v>11199.6</v>
      </c>
      <c r="AF47" s="546">
        <v>11</v>
      </c>
      <c r="AG47" s="549">
        <f t="shared" ref="AG47:AG51" si="72">AE47/AF47</f>
      </c>
      <c r="AH47" s="549">
        <f t="shared" ref="AH47:AH51" si="125">AD47/AF47</f>
      </c>
      <c r="AI47" s="549">
        <f t="shared" ref="AI47:AI51" si="190">AE47/AD47</f>
      </c>
      <c r="AJ47" s="548">
        <f t="shared" ref="AJ47:AJ51" si="219">AD47/AC47</f>
      </c>
      <c r="AK47" s="548"/>
    </row>
    <row r="48">
      <c r="A48" s="534"/>
      <c r="B48" s="535" t="s">
        <v>927</v>
      </c>
      <c r="C48" s="535" t="s">
        <v>926</v>
      </c>
      <c r="D48" s="535">
        <v>2411.97</v>
      </c>
      <c r="E48" s="519">
        <v>1</v>
      </c>
      <c r="F48" s="519">
        <v>1</v>
      </c>
      <c r="G48" s="535">
        <v>1197.6</v>
      </c>
      <c r="H48" s="538">
        <f t="shared" si="2"/>
      </c>
      <c r="I48" s="538">
        <v>2161</v>
      </c>
      <c r="J48" s="538">
        <v>234</v>
      </c>
      <c r="K48" s="539">
        <f t="shared" si="141"/>
      </c>
      <c r="L48" s="540">
        <f t="shared" si="235"/>
      </c>
      <c r="M48" s="541">
        <f t="shared" si="158"/>
      </c>
      <c r="N48" s="541">
        <f t="shared" si="254"/>
      </c>
      <c r="O48" s="541">
        <f t="shared" si="271"/>
      </c>
      <c r="P48" s="542">
        <f t="shared" si="18"/>
      </c>
      <c r="Q48" s="543" t="s">
        <v>923</v>
      </c>
      <c r="R48" s="544" t="s">
        <v>924</v>
      </c>
      <c r="S48" s="567">
        <v>10102</v>
      </c>
      <c r="T48" s="567">
        <v>765</v>
      </c>
      <c r="U48" s="567">
        <v>915</v>
      </c>
      <c r="V48" s="567">
        <v>93</v>
      </c>
      <c r="W48" s="567">
        <v>2</v>
      </c>
      <c r="X48" s="567">
        <v>0</v>
      </c>
      <c r="Y48" s="567">
        <v>53</v>
      </c>
      <c r="Z48" s="519"/>
      <c r="AA48" s="546" t="s">
        <v>961</v>
      </c>
      <c r="AB48" s="547" t="s">
        <v>965</v>
      </c>
      <c r="AC48" s="546">
        <v>4</v>
      </c>
      <c r="AD48" s="546">
        <v>8421.25</v>
      </c>
      <c r="AE48" s="546">
        <v>10062.400000000003</v>
      </c>
      <c r="AF48" s="546">
        <v>6</v>
      </c>
      <c r="AG48" s="549">
        <f t="shared" si="72"/>
      </c>
      <c r="AH48" s="549">
        <f t="shared" si="125"/>
      </c>
      <c r="AI48" s="549">
        <f t="shared" si="190"/>
      </c>
      <c r="AJ48" s="548">
        <f t="shared" si="219"/>
      </c>
      <c r="AK48" s="548"/>
    </row>
    <row r="49">
      <c r="A49" s="534"/>
      <c r="B49" s="535" t="s">
        <v>927</v>
      </c>
      <c r="C49" s="535" t="s">
        <v>929</v>
      </c>
      <c r="D49" s="535">
        <v>1865.26</v>
      </c>
      <c r="E49" s="519">
        <v>2</v>
      </c>
      <c r="F49" s="519">
        <v>2</v>
      </c>
      <c r="G49" s="535">
        <v>1305.6</v>
      </c>
      <c r="H49" s="538">
        <f t="shared" si="2"/>
      </c>
      <c r="I49" s="538">
        <f t="shared" ref="I49:I54" si="37">D49/E49</f>
      </c>
      <c r="J49" s="538">
        <f t="shared" ref="J49:J54" si="90">G49/E49</f>
      </c>
      <c r="K49" s="539">
        <f t="shared" si="141"/>
      </c>
      <c r="L49" s="540">
        <f t="shared" si="235"/>
      </c>
      <c r="M49" s="541">
        <f t="shared" si="158"/>
      </c>
      <c r="N49" s="541">
        <f t="shared" si="254"/>
      </c>
      <c r="O49" s="541">
        <f t="shared" si="271"/>
      </c>
      <c r="P49" s="542">
        <f t="shared" si="18"/>
      </c>
      <c r="Q49" s="543" t="s">
        <v>923</v>
      </c>
      <c r="R49" s="544" t="s">
        <v>924</v>
      </c>
      <c r="S49" s="567">
        <v>7969</v>
      </c>
      <c r="T49" s="567">
        <v>736</v>
      </c>
      <c r="U49" s="567">
        <v>904</v>
      </c>
      <c r="V49" s="567">
        <v>84</v>
      </c>
      <c r="W49" s="567">
        <v>3</v>
      </c>
      <c r="X49" s="567">
        <v>0</v>
      </c>
      <c r="Y49" s="567">
        <v>27</v>
      </c>
      <c r="Z49" s="519"/>
      <c r="AA49" s="546" t="s">
        <v>966</v>
      </c>
      <c r="AB49" s="547" t="s">
        <v>967</v>
      </c>
      <c r="AC49" s="546">
        <v>3</v>
      </c>
      <c r="AD49" s="546">
        <v>5281.149999999994</v>
      </c>
      <c r="AE49" s="546">
        <v>3816.399999999998</v>
      </c>
      <c r="AF49" s="546">
        <v>6</v>
      </c>
      <c r="AG49" s="549">
        <f t="shared" si="72"/>
      </c>
      <c r="AH49" s="549">
        <f t="shared" si="125"/>
      </c>
      <c r="AI49" s="549">
        <f t="shared" si="190"/>
      </c>
      <c r="AJ49" s="548">
        <f t="shared" si="219"/>
      </c>
      <c r="AK49" s="548"/>
    </row>
    <row r="50">
      <c r="A50" s="534"/>
      <c r="B50" s="535" t="s">
        <v>927</v>
      </c>
      <c r="C50" s="535" t="s">
        <v>932</v>
      </c>
      <c r="D50" s="535">
        <v>2404.93</v>
      </c>
      <c r="E50" s="519">
        <v>1</v>
      </c>
      <c r="F50" s="519">
        <v>0</v>
      </c>
      <c r="G50" s="535">
        <v>402</v>
      </c>
      <c r="H50" s="538">
        <f t="shared" si="2"/>
      </c>
      <c r="I50" s="538">
        <f t="shared" si="37"/>
      </c>
      <c r="J50" s="538">
        <f t="shared" si="90"/>
      </c>
      <c r="K50" s="539">
        <f t="shared" si="141"/>
      </c>
      <c r="L50" s="540">
        <f t="shared" si="235"/>
      </c>
      <c r="M50" s="541">
        <f t="shared" si="158"/>
      </c>
      <c r="N50" s="541">
        <f t="shared" si="254"/>
      </c>
      <c r="O50" s="541">
        <f t="shared" si="271"/>
      </c>
      <c r="P50" s="542">
        <f t="shared" si="18"/>
      </c>
      <c r="Q50" s="543" t="s">
        <v>923</v>
      </c>
      <c r="R50" s="544" t="s">
        <v>924</v>
      </c>
      <c r="S50" s="567">
        <v>8385</v>
      </c>
      <c r="T50" s="567">
        <v>840</v>
      </c>
      <c r="U50" s="567">
        <v>1002</v>
      </c>
      <c r="V50" s="567">
        <v>106</v>
      </c>
      <c r="W50" s="567">
        <v>1</v>
      </c>
      <c r="X50" s="567">
        <v>0</v>
      </c>
      <c r="Y50" s="567">
        <v>59</v>
      </c>
      <c r="Z50" s="519"/>
      <c r="AA50" s="546" t="s">
        <v>930</v>
      </c>
      <c r="AB50" s="547" t="s">
        <v>968</v>
      </c>
      <c r="AC50" s="546">
        <v>4</v>
      </c>
      <c r="AD50" s="546">
        <v>8314.269999999997</v>
      </c>
      <c r="AE50" s="546">
        <v>18268.899999999998</v>
      </c>
      <c r="AF50" s="546">
        <v>13</v>
      </c>
      <c r="AG50" s="549">
        <f t="shared" si="72"/>
      </c>
      <c r="AH50" s="549">
        <f t="shared" si="125"/>
      </c>
      <c r="AI50" s="549">
        <f t="shared" si="190"/>
      </c>
      <c r="AJ50" s="548">
        <f t="shared" si="219"/>
      </c>
      <c r="AK50" s="548"/>
    </row>
    <row r="51">
      <c r="A51" s="534"/>
      <c r="B51" s="535" t="s">
        <v>927</v>
      </c>
      <c r="C51" s="552" t="s">
        <v>934</v>
      </c>
      <c r="D51" s="535">
        <v>3025.36</v>
      </c>
      <c r="E51" s="519">
        <v>6</v>
      </c>
      <c r="F51" s="519">
        <v>3</v>
      </c>
      <c r="G51" s="535">
        <v>7892.4</v>
      </c>
      <c r="H51" s="538">
        <f t="shared" si="2"/>
      </c>
      <c r="I51" s="538">
        <f t="shared" si="37"/>
      </c>
      <c r="J51" s="538">
        <f t="shared" si="90"/>
      </c>
      <c r="K51" s="539">
        <f t="shared" si="141"/>
      </c>
      <c r="L51" s="540">
        <f t="shared" si="235"/>
      </c>
      <c r="M51" s="541">
        <f t="shared" si="158"/>
      </c>
      <c r="N51" s="541">
        <f t="shared" si="254"/>
      </c>
      <c r="O51" s="541">
        <f t="shared" si="271"/>
      </c>
      <c r="P51" s="542">
        <f t="shared" si="18"/>
      </c>
      <c r="Q51" s="543" t="s">
        <v>923</v>
      </c>
      <c r="R51" s="544" t="s">
        <v>924</v>
      </c>
      <c r="S51" s="567">
        <v>929</v>
      </c>
      <c r="T51" s="567">
        <v>97</v>
      </c>
      <c r="U51" s="567">
        <v>126</v>
      </c>
      <c r="V51" s="567">
        <v>17</v>
      </c>
      <c r="W51" s="567">
        <v>8</v>
      </c>
      <c r="X51" s="567">
        <v>2</v>
      </c>
      <c r="Y51" s="567">
        <v>44</v>
      </c>
      <c r="Z51" s="519"/>
      <c r="AA51" s="533" t="s">
        <v>933</v>
      </c>
      <c r="AB51" s="533"/>
      <c r="AC51" s="533">
        <f>SUM(AC47:AC50)</f>
      </c>
      <c r="AD51" s="533">
        <f>SUM(AD47:AD50)</f>
      </c>
      <c r="AE51" s="533">
        <f>SUM(AE47:AE50)</f>
      </c>
      <c r="AF51" s="533">
        <f>SUM(AF47:AF50)</f>
      </c>
      <c r="AG51" s="551">
        <f t="shared" si="72"/>
      </c>
      <c r="AH51" s="551">
        <f t="shared" si="125"/>
      </c>
      <c r="AI51" s="551">
        <f t="shared" si="190"/>
      </c>
      <c r="AJ51" s="550">
        <f t="shared" si="219"/>
      </c>
      <c r="AK51" s="550"/>
    </row>
    <row r="52">
      <c r="A52" s="534"/>
      <c r="B52" s="554" t="s">
        <v>936</v>
      </c>
      <c r="C52" s="554"/>
      <c r="D52" s="555">
        <f>SUM(D47:D51)</f>
      </c>
      <c r="E52" s="555">
        <f>SUM(E47:E51)</f>
      </c>
      <c r="F52" s="555">
        <f>SUM(F47:F51)</f>
      </c>
      <c r="G52" s="555">
        <f>SUM(G47:G51)</f>
      </c>
      <c r="H52" s="556">
        <f t="shared" si="2"/>
      </c>
      <c r="I52" s="557">
        <f t="shared" si="37"/>
      </c>
      <c r="J52" s="558">
        <f t="shared" si="90"/>
      </c>
      <c r="K52" s="559">
        <f t="shared" si="141"/>
      </c>
      <c r="L52" s="560">
        <f t="shared" si="235"/>
      </c>
      <c r="M52" s="559">
        <f t="shared" si="158"/>
      </c>
      <c r="N52" s="559">
        <f t="shared" si="254"/>
      </c>
      <c r="O52" s="561">
        <f t="shared" si="271"/>
      </c>
      <c r="P52" s="562">
        <f t="shared" si="18"/>
      </c>
      <c r="Q52" s="560"/>
      <c r="R52" s="560"/>
      <c r="S52" s="563">
        <f>SUM(S47:S51)</f>
      </c>
      <c r="T52" s="563">
        <f>SUM(T47:T51)</f>
      </c>
      <c r="U52" s="563">
        <f>SUM(U47:U51)</f>
      </c>
      <c r="V52" s="563">
        <f>SUM(V47:V51)</f>
      </c>
      <c r="W52" s="563">
        <f>SUM(W47:W51)</f>
      </c>
      <c r="X52" s="563">
        <f>SUM(X47:X51)</f>
      </c>
      <c r="Y52" s="563">
        <f>SUM(Y47:Y51)</f>
      </c>
      <c r="Z52" s="519"/>
      <c r="AA52" s="553" t="s">
        <v>935</v>
      </c>
      <c r="AB52" s="553"/>
      <c r="AC52" s="553"/>
      <c r="AD52" s="553"/>
      <c r="AE52" s="553"/>
      <c r="AF52" s="553"/>
      <c r="AG52" s="553"/>
      <c r="AH52" s="553"/>
      <c r="AI52" s="553"/>
      <c r="AJ52" s="553"/>
      <c r="AK52" s="553"/>
    </row>
    <row r="53">
      <c r="A53" s="534"/>
      <c r="B53" s="535" t="s">
        <v>961</v>
      </c>
      <c r="C53" s="566" t="s">
        <v>945</v>
      </c>
      <c r="D53" s="535">
        <v>2540.13</v>
      </c>
      <c r="E53" s="519">
        <v>1</v>
      </c>
      <c r="F53" s="519">
        <v>0</v>
      </c>
      <c r="G53" s="535">
        <v>2648.4</v>
      </c>
      <c r="H53" s="538">
        <f t="shared" si="2"/>
      </c>
      <c r="I53" s="538">
        <f t="shared" si="37"/>
      </c>
      <c r="J53" s="538">
        <f t="shared" si="90"/>
      </c>
      <c r="K53" s="539">
        <f t="shared" si="141"/>
      </c>
      <c r="L53" s="540">
        <f t="shared" si="235"/>
      </c>
      <c r="M53" s="541">
        <f t="shared" si="158"/>
      </c>
      <c r="N53" s="541">
        <f t="shared" si="254"/>
      </c>
      <c r="O53" s="541">
        <f t="shared" si="271"/>
      </c>
      <c r="P53" s="542">
        <f t="shared" si="18"/>
      </c>
      <c r="Q53" s="543" t="s">
        <v>923</v>
      </c>
      <c r="R53" s="544" t="s">
        <v>924</v>
      </c>
      <c r="S53" s="567">
        <v>8293</v>
      </c>
      <c r="T53" s="567">
        <v>865</v>
      </c>
      <c r="U53" s="567">
        <v>1070</v>
      </c>
      <c r="V53" s="567">
        <v>130</v>
      </c>
      <c r="W53" s="567">
        <v>1</v>
      </c>
      <c r="X53" s="567">
        <v>0</v>
      </c>
      <c r="Y53" s="567">
        <v>55</v>
      </c>
      <c r="Z53" s="519"/>
      <c r="AA53" s="564" t="s">
        <v>915</v>
      </c>
      <c r="AB53" s="564" t="s">
        <v>937</v>
      </c>
      <c r="AC53" s="564" t="s">
        <v>938</v>
      </c>
      <c r="AD53" s="564" t="s">
        <v>939</v>
      </c>
      <c r="AE53" s="564" t="s">
        <v>940</v>
      </c>
      <c r="AF53" s="564" t="s">
        <v>941</v>
      </c>
      <c r="AG53" s="564" t="s">
        <v>942</v>
      </c>
      <c r="AH53" s="565" t="s">
        <v>910</v>
      </c>
      <c r="AI53" s="565" t="s">
        <v>943</v>
      </c>
      <c r="AJ53" s="565" t="s">
        <v>944</v>
      </c>
      <c r="AK53" s="565" t="s">
        <v>914</v>
      </c>
    </row>
    <row r="54">
      <c r="A54" s="534"/>
      <c r="B54" s="535" t="s">
        <v>961</v>
      </c>
      <c r="C54" s="566" t="s">
        <v>946</v>
      </c>
      <c r="D54" s="535">
        <v>1822.22</v>
      </c>
      <c r="E54" s="519">
        <v>3</v>
      </c>
      <c r="F54" s="519">
        <v>3</v>
      </c>
      <c r="G54" s="535">
        <v>5663.2</v>
      </c>
      <c r="H54" s="538">
        <f t="shared" si="2"/>
      </c>
      <c r="I54" s="538">
        <f t="shared" si="37"/>
      </c>
      <c r="J54" s="538">
        <f t="shared" si="90"/>
      </c>
      <c r="K54" s="539">
        <f t="shared" si="141"/>
      </c>
      <c r="L54" s="540">
        <f t="shared" si="235"/>
      </c>
      <c r="M54" s="541">
        <f t="shared" si="158"/>
      </c>
      <c r="N54" s="541">
        <f t="shared" si="254"/>
      </c>
      <c r="O54" s="541">
        <f t="shared" si="271"/>
      </c>
      <c r="P54" s="542">
        <f t="shared" si="18"/>
      </c>
      <c r="Q54" s="543" t="s">
        <v>923</v>
      </c>
      <c r="R54" s="544" t="s">
        <v>924</v>
      </c>
      <c r="S54" s="567">
        <v>6107</v>
      </c>
      <c r="T54" s="567">
        <v>609</v>
      </c>
      <c r="U54" s="567">
        <v>762</v>
      </c>
      <c r="V54" s="567">
        <v>99</v>
      </c>
      <c r="W54" s="567">
        <v>5</v>
      </c>
      <c r="X54" s="567">
        <v>2</v>
      </c>
      <c r="Y54" s="567">
        <v>25</v>
      </c>
      <c r="Z54" s="519"/>
      <c r="AA54" s="568">
        <f>SUM(AD47:AD50)</f>
      </c>
      <c r="AB54" s="568">
        <f>SUM(AE47:AE50)</f>
      </c>
      <c r="AC54" s="569">
        <f>AB54/((AK54*300)+AA54)</f>
      </c>
      <c r="AD54" s="570">
        <f>AA54/AJ54</f>
      </c>
      <c r="AE54" s="569">
        <f>AB54/AJ54</f>
      </c>
      <c r="AF54" s="571">
        <f>AJ54/AI54</f>
      </c>
      <c r="AG54" s="571">
        <f>AH54/AJ54</f>
      </c>
      <c r="AH54" s="572">
        <v>4</v>
      </c>
      <c r="AI54" s="572">
        <v>68</v>
      </c>
      <c r="AJ54" s="572">
        <f>AF51</f>
      </c>
      <c r="AK54" s="573">
        <f>AC51</f>
      </c>
    </row>
    <row r="55">
      <c r="A55" s="534"/>
      <c r="B55" s="535" t="s">
        <v>961</v>
      </c>
      <c r="C55" s="566" t="s">
        <v>947</v>
      </c>
      <c r="D55" s="535">
        <v>2172.49</v>
      </c>
      <c r="E55" s="519">
        <v>1</v>
      </c>
      <c r="F55" s="519">
        <v>0</v>
      </c>
      <c r="G55" s="574">
        <v>652.8</v>
      </c>
      <c r="H55" s="538">
        <f t="shared" si="2"/>
      </c>
      <c r="I55" s="538">
        <v>1323</v>
      </c>
      <c r="J55" s="538">
        <v>145</v>
      </c>
      <c r="K55" s="539">
        <f t="shared" si="141"/>
      </c>
      <c r="L55" s="540">
        <f t="shared" si="235"/>
      </c>
      <c r="M55" s="541">
        <f t="shared" si="158"/>
      </c>
      <c r="N55" s="541">
        <f t="shared" si="254"/>
      </c>
      <c r="O55" s="541">
        <f t="shared" si="271"/>
      </c>
      <c r="P55" s="542">
        <f t="shared" si="18"/>
      </c>
      <c r="Q55" s="543" t="s">
        <v>923</v>
      </c>
      <c r="R55" s="544" t="s">
        <v>924</v>
      </c>
      <c r="S55" s="567">
        <v>13234</v>
      </c>
      <c r="T55" s="567">
        <v>1241</v>
      </c>
      <c r="U55" s="567">
        <v>1518</v>
      </c>
      <c r="V55" s="567">
        <v>201</v>
      </c>
      <c r="W55" s="567">
        <v>3</v>
      </c>
      <c r="X55" s="567">
        <v>0</v>
      </c>
      <c r="Y55" s="567">
        <v>35</v>
      </c>
      <c r="Z55" s="519"/>
      <c r="AA55" s="519"/>
    </row>
    <row r="56">
      <c r="A56" s="534"/>
      <c r="B56" s="535" t="s">
        <v>961</v>
      </c>
      <c r="C56" s="566" t="s">
        <v>948</v>
      </c>
      <c r="D56" s="535">
        <v>1886.4099999999999</v>
      </c>
      <c r="E56" s="519">
        <v>1</v>
      </c>
      <c r="F56" s="519">
        <v>1</v>
      </c>
      <c r="G56" s="576">
        <v>1098.0000000000036</v>
      </c>
      <c r="H56" s="538">
        <f t="shared" si="2"/>
      </c>
      <c r="I56" s="538">
        <f t="shared" ref="I56:I67" si="38">D56/E56</f>
      </c>
      <c r="J56" s="538">
        <f t="shared" ref="J56:J67" si="91">G56/E56</f>
      </c>
      <c r="K56" s="539">
        <f t="shared" si="141"/>
      </c>
      <c r="L56" s="540">
        <f t="shared" si="235"/>
      </c>
      <c r="M56" s="541">
        <f t="shared" si="158"/>
      </c>
      <c r="N56" s="541">
        <f t="shared" si="254"/>
      </c>
      <c r="O56" s="541">
        <f t="shared" si="271"/>
      </c>
      <c r="P56" s="542">
        <f t="shared" si="18"/>
      </c>
      <c r="Q56" s="543" t="s">
        <v>923</v>
      </c>
      <c r="R56" s="544" t="s">
        <v>969</v>
      </c>
      <c r="S56" s="567">
        <v>6082</v>
      </c>
      <c r="T56" s="575">
        <v>514</v>
      </c>
      <c r="U56" s="575">
        <v>639</v>
      </c>
      <c r="V56" s="575">
        <v>67</v>
      </c>
      <c r="W56" s="567">
        <v>5</v>
      </c>
      <c r="X56" s="567">
        <v>0</v>
      </c>
      <c r="Y56" s="545">
        <v>26</v>
      </c>
      <c r="Z56" s="519"/>
      <c r="AA56" s="519"/>
    </row>
    <row customHeight="true" ht="16.666666666666668" r="57">
      <c r="A57" s="534"/>
      <c r="B57" s="587" t="s">
        <v>936</v>
      </c>
      <c r="C57" s="587"/>
      <c r="D57" s="555">
        <f>SUM(D53:D56)</f>
      </c>
      <c r="E57" s="555">
        <f>SUM(E53:E56)</f>
      </c>
      <c r="F57" s="555">
        <f>SUM(F53:F56)</f>
      </c>
      <c r="G57" s="555">
        <f>SUM(G53:G56)</f>
      </c>
      <c r="H57" s="556">
        <f t="shared" si="2"/>
      </c>
      <c r="I57" s="557">
        <f t="shared" si="38"/>
      </c>
      <c r="J57" s="558">
        <f t="shared" si="91"/>
      </c>
      <c r="K57" s="559">
        <f t="shared" si="141"/>
      </c>
      <c r="L57" s="560">
        <f t="shared" si="235"/>
      </c>
      <c r="M57" s="559">
        <f t="shared" si="158"/>
      </c>
      <c r="N57" s="559">
        <f t="shared" si="254"/>
      </c>
      <c r="O57" s="561">
        <f t="shared" si="271"/>
      </c>
      <c r="P57" s="562">
        <f t="shared" si="18"/>
      </c>
      <c r="Q57" s="560"/>
      <c r="R57" s="560"/>
      <c r="S57" s="563">
        <f>SUM(S53:S56)</f>
      </c>
      <c r="T57" s="563">
        <f>SUM(T53:T56)</f>
      </c>
      <c r="U57" s="563">
        <f>SUM(U53:U56)</f>
      </c>
      <c r="V57" s="563">
        <f>SUM(V53:V56)</f>
      </c>
      <c r="W57" s="563">
        <f>SUM(W53:W56)</f>
      </c>
      <c r="X57" s="563">
        <f>SUM(X53:X56)</f>
      </c>
      <c r="Y57" s="563">
        <f>SUM(Y53:Y56)</f>
      </c>
      <c r="Z57" s="588"/>
      <c r="AA57" s="519"/>
    </row>
    <row r="58">
      <c r="A58" s="534"/>
      <c r="B58" s="535" t="s">
        <v>966</v>
      </c>
      <c r="C58" s="552" t="s">
        <v>950</v>
      </c>
      <c r="D58" s="535">
        <v>1257.6299999999974</v>
      </c>
      <c r="E58" s="519">
        <v>0</v>
      </c>
      <c r="F58" s="519">
        <v>0</v>
      </c>
      <c r="G58" s="576">
        <v>0</v>
      </c>
      <c r="H58" s="538">
        <f t="shared" si="2"/>
      </c>
      <c r="I58" s="538">
        <f t="shared" si="38"/>
      </c>
      <c r="J58" s="538">
        <f t="shared" si="91"/>
      </c>
      <c r="K58" s="539">
        <f t="shared" si="141"/>
      </c>
      <c r="L58" s="540">
        <f t="shared" si="235"/>
      </c>
      <c r="M58" s="541">
        <f t="shared" si="158"/>
      </c>
      <c r="N58" s="541">
        <f t="shared" si="254"/>
      </c>
      <c r="O58" s="541">
        <f t="shared" si="271"/>
      </c>
      <c r="P58" s="542">
        <f t="shared" si="18"/>
      </c>
      <c r="Q58" s="543" t="s">
        <v>923</v>
      </c>
      <c r="R58" s="544" t="s">
        <v>969</v>
      </c>
      <c r="S58" s="567">
        <v>5711</v>
      </c>
      <c r="T58" s="575">
        <v>434</v>
      </c>
      <c r="U58" s="575">
        <v>528</v>
      </c>
      <c r="V58" s="575">
        <v>63</v>
      </c>
      <c r="W58" s="567">
        <v>2</v>
      </c>
      <c r="X58" s="567">
        <v>0</v>
      </c>
      <c r="Y58" s="545">
        <v>20</v>
      </c>
      <c r="Z58" s="519"/>
      <c r="AA58" s="519"/>
    </row>
    <row customHeight="true" ht="16.666666666666668" r="59">
      <c r="A59" s="534"/>
      <c r="B59" s="535" t="s">
        <v>966</v>
      </c>
      <c r="C59" s="552" t="s">
        <v>951</v>
      </c>
      <c r="D59" s="535">
        <v>1485.0699999999997</v>
      </c>
      <c r="E59" s="519">
        <v>2</v>
      </c>
      <c r="F59" s="519">
        <v>2</v>
      </c>
      <c r="G59" s="576">
        <v>1565.5999999999985</v>
      </c>
      <c r="H59" s="538">
        <f t="shared" si="2"/>
      </c>
      <c r="I59" s="538">
        <f t="shared" si="38"/>
      </c>
      <c r="J59" s="538">
        <f t="shared" si="91"/>
      </c>
      <c r="K59" s="539">
        <f t="shared" si="141"/>
      </c>
      <c r="L59" s="540">
        <f t="shared" si="235"/>
      </c>
      <c r="M59" s="541">
        <f t="shared" si="158"/>
      </c>
      <c r="N59" s="541">
        <f t="shared" si="254"/>
      </c>
      <c r="O59" s="541">
        <f t="shared" si="271"/>
      </c>
      <c r="P59" s="542">
        <f t="shared" si="18"/>
      </c>
      <c r="Q59" s="543" t="s">
        <v>923</v>
      </c>
      <c r="R59" s="544" t="s">
        <v>969</v>
      </c>
      <c r="S59" s="567">
        <v>5150</v>
      </c>
      <c r="T59" s="575">
        <v>634</v>
      </c>
      <c r="U59" s="575">
        <v>753</v>
      </c>
      <c r="V59" s="575">
        <v>82</v>
      </c>
      <c r="W59" s="567">
        <v>3</v>
      </c>
      <c r="X59" s="567">
        <v>0</v>
      </c>
      <c r="Y59" s="545">
        <v>41</v>
      </c>
      <c r="Z59" s="519"/>
      <c r="AA59" s="519"/>
    </row>
    <row customHeight="true" ht="16.666666666666668" r="60">
      <c r="A60" s="534"/>
      <c r="B60" s="535" t="s">
        <v>966</v>
      </c>
      <c r="C60" s="552" t="s">
        <v>953</v>
      </c>
      <c r="D60" s="535">
        <v>2538.449999999997</v>
      </c>
      <c r="E60" s="519">
        <v>4</v>
      </c>
      <c r="F60" s="519">
        <v>2</v>
      </c>
      <c r="G60" s="576">
        <v>2250.7999999999993</v>
      </c>
      <c r="H60" s="538">
        <f t="shared" si="2"/>
      </c>
      <c r="I60" s="538">
        <f t="shared" si="38"/>
      </c>
      <c r="J60" s="538">
        <f t="shared" si="91"/>
      </c>
      <c r="K60" s="539">
        <f t="shared" si="141"/>
      </c>
      <c r="L60" s="540">
        <f t="shared" si="235"/>
      </c>
      <c r="M60" s="541">
        <f t="shared" si="158"/>
      </c>
      <c r="N60" s="541">
        <f t="shared" si="254"/>
      </c>
      <c r="O60" s="541">
        <f t="shared" si="271"/>
      </c>
      <c r="P60" s="542">
        <f t="shared" si="18"/>
      </c>
      <c r="Q60" s="543" t="s">
        <v>923</v>
      </c>
      <c r="R60" s="544" t="s">
        <v>969</v>
      </c>
      <c r="S60" s="567">
        <v>6254</v>
      </c>
      <c r="T60" s="575">
        <v>820</v>
      </c>
      <c r="U60" s="575">
        <v>953</v>
      </c>
      <c r="V60" s="575">
        <v>112</v>
      </c>
      <c r="W60" s="567">
        <v>3</v>
      </c>
      <c r="X60" s="567">
        <v>0</v>
      </c>
      <c r="Y60" s="545">
        <v>53</v>
      </c>
      <c r="Z60" s="519"/>
      <c r="AA60" s="519"/>
    </row>
    <row r="61">
      <c r="A61" s="534"/>
      <c r="B61" s="554" t="s">
        <v>936</v>
      </c>
      <c r="C61" s="554"/>
      <c r="D61" s="555">
        <f>SUM(D58:D60)</f>
      </c>
      <c r="E61" s="555">
        <f>SUM(E58:E60)</f>
      </c>
      <c r="F61" s="555">
        <f>SUM(F58:F60)</f>
      </c>
      <c r="G61" s="555">
        <f>SUM(G58:G60)</f>
      </c>
      <c r="H61" s="556">
        <f t="shared" si="2"/>
      </c>
      <c r="I61" s="557">
        <f t="shared" si="38"/>
      </c>
      <c r="J61" s="558">
        <f t="shared" si="91"/>
      </c>
      <c r="K61" s="559">
        <f t="shared" si="141"/>
      </c>
      <c r="L61" s="560">
        <f t="shared" si="235"/>
      </c>
      <c r="M61" s="559">
        <f t="shared" si="158"/>
      </c>
      <c r="N61" s="559">
        <f t="shared" si="254"/>
      </c>
      <c r="O61" s="561">
        <f t="shared" si="271"/>
      </c>
      <c r="P61" s="562">
        <f t="shared" si="18"/>
      </c>
      <c r="Q61" s="560"/>
      <c r="R61" s="560"/>
      <c r="S61" s="563">
        <f>SUM(S58:S60)</f>
      </c>
      <c r="T61" s="563">
        <f>SUM(T58:T60)</f>
      </c>
      <c r="U61" s="563">
        <f>SUM(U58:U60)</f>
      </c>
      <c r="V61" s="563">
        <f>SUM(V58:V60)</f>
      </c>
      <c r="W61" s="563">
        <f>SUM(W58:W60)</f>
      </c>
      <c r="X61" s="563">
        <f>SUM(X58:X60)</f>
      </c>
      <c r="Y61" s="563">
        <f>SUM(Y58:Y60)</f>
      </c>
      <c r="Z61" s="563">
        <f>SUM(Z58:Z60)</f>
      </c>
      <c r="AA61" s="519"/>
    </row>
    <row r="62">
      <c r="A62" s="534"/>
      <c r="B62" s="535" t="s">
        <v>930</v>
      </c>
      <c r="C62" s="552" t="s">
        <v>954</v>
      </c>
      <c r="D62" s="535">
        <v>2677.9300000000003</v>
      </c>
      <c r="E62" s="519">
        <v>0</v>
      </c>
      <c r="F62" s="519">
        <v>2</v>
      </c>
      <c r="G62" s="574">
        <v>0</v>
      </c>
      <c r="H62" s="538">
        <f t="shared" si="2"/>
      </c>
      <c r="I62" s="538">
        <f t="shared" si="38"/>
      </c>
      <c r="J62" s="538">
        <f t="shared" si="91"/>
      </c>
      <c r="K62" s="539">
        <f t="shared" si="141"/>
      </c>
      <c r="L62" s="540">
        <f t="shared" si="235"/>
      </c>
      <c r="M62" s="541">
        <f t="shared" si="158"/>
      </c>
      <c r="N62" s="541">
        <f t="shared" si="254"/>
      </c>
      <c r="O62" s="541">
        <f t="shared" si="271"/>
      </c>
      <c r="P62" s="542">
        <f t="shared" si="18"/>
      </c>
      <c r="Q62" s="543" t="s">
        <v>952</v>
      </c>
      <c r="R62" s="544" t="s">
        <v>969</v>
      </c>
      <c r="S62" s="575">
        <v>7806</v>
      </c>
      <c r="T62" s="575">
        <v>968</v>
      </c>
      <c r="U62" s="575">
        <v>1140</v>
      </c>
      <c r="V62" s="575">
        <v>105</v>
      </c>
      <c r="W62" s="567">
        <v>1</v>
      </c>
      <c r="X62" s="567">
        <v>0</v>
      </c>
      <c r="Y62" s="577">
        <v>40</v>
      </c>
      <c r="Z62" s="519"/>
      <c r="AA62" s="519"/>
    </row>
    <row r="63">
      <c r="A63" s="534"/>
      <c r="B63" s="535" t="s">
        <v>930</v>
      </c>
      <c r="C63" s="536" t="s">
        <v>955</v>
      </c>
      <c r="D63" s="535">
        <v>2598.040000000001</v>
      </c>
      <c r="E63" s="519">
        <v>9</v>
      </c>
      <c r="F63" s="519">
        <v>3</v>
      </c>
      <c r="G63" s="576">
        <v>14177.7</v>
      </c>
      <c r="H63" s="538">
        <f t="shared" si="2"/>
      </c>
      <c r="I63" s="538">
        <f t="shared" si="38"/>
      </c>
      <c r="J63" s="538">
        <f t="shared" si="91"/>
      </c>
      <c r="K63" s="539">
        <f t="shared" si="141"/>
      </c>
      <c r="L63" s="540">
        <f t="shared" si="235"/>
      </c>
      <c r="M63" s="541">
        <f t="shared" si="158"/>
      </c>
      <c r="N63" s="541">
        <f t="shared" si="254"/>
      </c>
      <c r="O63" s="541">
        <f t="shared" si="271"/>
      </c>
      <c r="P63" s="542">
        <f t="shared" si="18"/>
      </c>
      <c r="Q63" s="543" t="s">
        <v>952</v>
      </c>
      <c r="R63" s="544" t="s">
        <v>969</v>
      </c>
      <c r="S63" s="575">
        <v>7629</v>
      </c>
      <c r="T63" s="575">
        <v>968</v>
      </c>
      <c r="U63" s="575">
        <v>1063</v>
      </c>
      <c r="V63" s="575">
        <v>125</v>
      </c>
      <c r="W63" s="567">
        <v>5</v>
      </c>
      <c r="X63" s="567">
        <v>1</v>
      </c>
      <c r="Y63" s="577">
        <v>56</v>
      </c>
      <c r="Z63" s="519"/>
      <c r="AA63" s="519"/>
    </row>
    <row r="64">
      <c r="A64" s="534"/>
      <c r="B64" s="535" t="s">
        <v>930</v>
      </c>
      <c r="C64" s="536" t="s">
        <v>956</v>
      </c>
      <c r="D64" s="535">
        <v>1993.569999999996</v>
      </c>
      <c r="E64" s="519">
        <v>1</v>
      </c>
      <c r="F64" s="519">
        <v>4</v>
      </c>
      <c r="G64" s="578">
        <v>1197.5999999999985</v>
      </c>
      <c r="H64" s="538">
        <f t="shared" si="2"/>
      </c>
      <c r="I64" s="538">
        <f t="shared" si="38"/>
      </c>
      <c r="J64" s="538">
        <f t="shared" si="91"/>
      </c>
      <c r="K64" s="539">
        <f t="shared" si="141"/>
      </c>
      <c r="L64" s="540">
        <f t="shared" si="235"/>
      </c>
      <c r="M64" s="541">
        <f t="shared" si="158"/>
      </c>
      <c r="N64" s="541">
        <f t="shared" si="254"/>
      </c>
      <c r="O64" s="541">
        <f t="shared" si="271"/>
      </c>
      <c r="P64" s="542">
        <f t="shared" si="18"/>
      </c>
      <c r="Q64" s="543" t="s">
        <v>952</v>
      </c>
      <c r="R64" s="544" t="s">
        <v>969</v>
      </c>
      <c r="S64" s="575">
        <v>6751</v>
      </c>
      <c r="T64" s="575">
        <v>894</v>
      </c>
      <c r="U64" s="575">
        <v>1040</v>
      </c>
      <c r="V64" s="575">
        <v>94</v>
      </c>
      <c r="W64" s="567">
        <v>4</v>
      </c>
      <c r="X64" s="567">
        <v>0</v>
      </c>
      <c r="Y64" s="577">
        <v>30</v>
      </c>
      <c r="Z64" s="519"/>
      <c r="AA64" s="519"/>
    </row>
    <row r="65">
      <c r="A65" s="534"/>
      <c r="B65" s="535" t="s">
        <v>930</v>
      </c>
      <c r="C65" s="536" t="s">
        <v>957</v>
      </c>
      <c r="D65" s="535">
        <v>1044.73</v>
      </c>
      <c r="E65" s="519">
        <v>3</v>
      </c>
      <c r="F65" s="519">
        <v>3</v>
      </c>
      <c r="G65" s="576">
        <v>2893.5999999999985</v>
      </c>
      <c r="H65" s="538">
        <f t="shared" si="2"/>
      </c>
      <c r="I65" s="538">
        <f t="shared" si="38"/>
      </c>
      <c r="J65" s="538">
        <f t="shared" si="91"/>
      </c>
      <c r="K65" s="539">
        <f t="shared" si="141"/>
      </c>
      <c r="L65" s="540">
        <f t="shared" si="235"/>
      </c>
      <c r="M65" s="541">
        <f t="shared" si="158"/>
      </c>
      <c r="N65" s="541">
        <f t="shared" si="254"/>
      </c>
      <c r="O65" s="541">
        <f t="shared" si="271"/>
      </c>
      <c r="P65" s="542">
        <f t="shared" si="18"/>
      </c>
      <c r="Q65" s="543" t="s">
        <v>952</v>
      </c>
      <c r="R65" s="544" t="s">
        <v>969</v>
      </c>
      <c r="S65" s="567">
        <v>3841</v>
      </c>
      <c r="T65" s="567">
        <v>472</v>
      </c>
      <c r="U65" s="575">
        <v>578</v>
      </c>
      <c r="V65" s="575">
        <v>64</v>
      </c>
      <c r="W65" s="567">
        <v>5</v>
      </c>
      <c r="X65" s="567">
        <v>0</v>
      </c>
      <c r="Y65" s="577">
        <v>20</v>
      </c>
      <c r="Z65" s="519"/>
      <c r="AA65" s="519"/>
    </row>
    <row r="66">
      <c r="A66" s="534"/>
      <c r="B66" s="554" t="s">
        <v>936</v>
      </c>
      <c r="C66" s="554"/>
      <c r="D66" s="555">
        <f>SUM(D62:D65)</f>
      </c>
      <c r="E66" s="555">
        <f>SUM(E62:E65)</f>
      </c>
      <c r="F66" s="555">
        <f>SUM(F62:F65)</f>
      </c>
      <c r="G66" s="555">
        <f>SUM(G62:G65)</f>
      </c>
      <c r="H66" s="556">
        <f t="shared" si="2"/>
      </c>
      <c r="I66" s="557">
        <f t="shared" si="38"/>
      </c>
      <c r="J66" s="558">
        <f t="shared" si="91"/>
      </c>
      <c r="K66" s="559">
        <f t="shared" si="141"/>
      </c>
      <c r="L66" s="560">
        <f t="shared" si="235"/>
      </c>
      <c r="M66" s="559">
        <f t="shared" si="158"/>
      </c>
      <c r="N66" s="559">
        <f t="shared" si="254"/>
      </c>
      <c r="O66" s="561">
        <f t="shared" si="271"/>
      </c>
      <c r="P66" s="562">
        <f t="shared" si="18"/>
      </c>
      <c r="Q66" s="560"/>
      <c r="R66" s="560"/>
      <c r="S66" s="563">
        <f>SUM(S62:S65)</f>
      </c>
      <c r="T66" s="563">
        <f>SUM(T62:T65)</f>
      </c>
      <c r="U66" s="563">
        <f>SUM(U62:U65)</f>
      </c>
      <c r="V66" s="563">
        <f>SUM(V62:V65)</f>
      </c>
      <c r="W66" s="563">
        <f>SUM(W62:W65)</f>
      </c>
      <c r="X66" s="563">
        <f>SUM(X62:X65)</f>
      </c>
      <c r="Y66" s="563">
        <f>SUM(Y62:Y65)</f>
      </c>
      <c r="Z66" s="519"/>
      <c r="AA66" s="519"/>
    </row>
    <row r="67">
      <c r="A67" s="534"/>
      <c r="B67" s="579" t="s">
        <v>958</v>
      </c>
      <c r="C67" s="579"/>
      <c r="D67" s="580">
        <f>D52+D57+D61+D66</f>
      </c>
      <c r="E67" s="580">
        <f>E52+E57+E61+E66</f>
      </c>
      <c r="F67" s="580">
        <f>F52+F57+F61+F66</f>
      </c>
      <c r="G67" s="580">
        <f>G52+G57+G61+G66</f>
      </c>
      <c r="H67" s="579">
        <f t="shared" si="2"/>
      </c>
      <c r="I67" s="579">
        <f t="shared" si="38"/>
      </c>
      <c r="J67" s="579">
        <f t="shared" si="91"/>
      </c>
      <c r="K67" s="581">
        <f t="shared" si="141"/>
      </c>
      <c r="L67" s="579">
        <f t="shared" si="235"/>
      </c>
      <c r="M67" s="581">
        <f t="shared" si="158"/>
      </c>
      <c r="N67" s="581">
        <f t="shared" si="254"/>
      </c>
      <c r="O67" s="581">
        <f t="shared" si="271"/>
      </c>
      <c r="P67" s="579">
        <f t="shared" si="18"/>
      </c>
      <c r="Q67" s="582"/>
      <c r="R67" s="582"/>
      <c r="S67" s="583">
        <f>S52+S57+S61+S66</f>
      </c>
      <c r="T67" s="583">
        <f>T52+T57+T61+T66</f>
      </c>
      <c r="U67" s="583">
        <f>U52+U57+U61+U66</f>
      </c>
      <c r="V67" s="583">
        <f>V52+V57+V61+V66</f>
      </c>
      <c r="W67" s="583">
        <f>W52+W57+W61+W66</f>
      </c>
      <c r="X67" s="583">
        <f>X52+X57+X61+X66</f>
      </c>
      <c r="Y67" s="583">
        <f>Y52+Y57+Y61+Y66</f>
      </c>
      <c r="Z67" s="519"/>
      <c r="AA67" s="519"/>
    </row>
    <row customHeight="true" ht="20.238095238095237" r="68">
      <c r="A68" s="515" t="s">
        <v>882</v>
      </c>
      <c r="B68" s="515"/>
      <c r="C68" s="515"/>
      <c r="D68" s="516" t="s">
        <v>883</v>
      </c>
      <c r="E68" s="516"/>
      <c r="F68" s="516"/>
      <c r="G68" s="516"/>
      <c r="H68" s="516"/>
      <c r="I68" s="516"/>
      <c r="J68" s="516"/>
      <c r="K68" s="517" t="s">
        <v>884</v>
      </c>
      <c r="L68" s="517"/>
      <c r="M68" s="517"/>
      <c r="N68" s="517"/>
      <c r="O68" s="517"/>
      <c r="P68" s="517"/>
      <c r="Q68" s="517"/>
      <c r="R68" s="517"/>
      <c r="S68" s="518" t="s">
        <v>885</v>
      </c>
      <c r="T68" s="518"/>
      <c r="U68" s="518"/>
      <c r="V68" s="518"/>
      <c r="W68" s="518"/>
      <c r="X68" s="518"/>
      <c r="Y68" s="518"/>
      <c r="Z68" s="519"/>
      <c r="AA68" s="520" t="s">
        <v>970</v>
      </c>
      <c r="AB68" s="520"/>
      <c r="AC68" s="520"/>
      <c r="AD68" s="520"/>
      <c r="AE68" s="520"/>
      <c r="AF68" s="520"/>
      <c r="AG68" s="520"/>
      <c r="AH68" s="520"/>
      <c r="AI68" s="520"/>
      <c r="AJ68" s="520"/>
      <c r="AK68" s="520"/>
    </row>
    <row customHeight="true" ht="20.238095238095237" r="69">
      <c r="A69" s="521" t="s">
        <v>887</v>
      </c>
      <c r="B69" s="521" t="s">
        <v>888</v>
      </c>
      <c r="C69" s="521" t="s">
        <v>889</v>
      </c>
      <c r="D69" s="522" t="s">
        <v>890</v>
      </c>
      <c r="E69" s="523" t="s">
        <v>891</v>
      </c>
      <c r="F69" s="524" t="s">
        <v>892</v>
      </c>
      <c r="G69" s="522" t="s">
        <v>893</v>
      </c>
      <c r="H69" s="525" t="s">
        <v>894</v>
      </c>
      <c r="I69" s="526" t="s">
        <v>895</v>
      </c>
      <c r="J69" s="522" t="s">
        <v>896</v>
      </c>
      <c r="K69" s="527" t="s">
        <v>897</v>
      </c>
      <c r="L69" s="528" t="s">
        <v>898</v>
      </c>
      <c r="M69" s="527" t="s">
        <v>899</v>
      </c>
      <c r="N69" s="527" t="s">
        <v>900</v>
      </c>
      <c r="O69" s="529" t="s">
        <v>901</v>
      </c>
      <c r="P69" s="529" t="s">
        <v>902</v>
      </c>
      <c r="Q69" s="530" t="s">
        <v>903</v>
      </c>
      <c r="R69" s="530" t="s">
        <v>904</v>
      </c>
      <c r="S69" s="585" t="s">
        <v>905</v>
      </c>
      <c r="T69" s="585" t="s">
        <v>906</v>
      </c>
      <c r="U69" s="585" t="s">
        <v>907</v>
      </c>
      <c r="V69" s="585" t="s">
        <v>908</v>
      </c>
      <c r="W69" s="585" t="s">
        <v>909</v>
      </c>
      <c r="X69" s="585" t="s">
        <v>910</v>
      </c>
      <c r="Y69" s="586" t="s">
        <v>911</v>
      </c>
      <c r="Z69" s="519"/>
      <c r="AA69" s="533" t="s">
        <v>912</v>
      </c>
      <c r="AB69" s="533" t="s">
        <v>913</v>
      </c>
      <c r="AC69" s="533" t="s">
        <v>914</v>
      </c>
      <c r="AD69" s="533" t="s">
        <v>915</v>
      </c>
      <c r="AE69" s="533" t="s">
        <v>916</v>
      </c>
      <c r="AF69" s="533" t="s">
        <v>917</v>
      </c>
      <c r="AG69" s="533" t="s">
        <v>896</v>
      </c>
      <c r="AH69" s="533" t="s">
        <v>918</v>
      </c>
      <c r="AI69" s="533" t="s">
        <v>894</v>
      </c>
      <c r="AJ69" s="533" t="s">
        <v>919</v>
      </c>
      <c r="AK69" s="533"/>
    </row>
    <row customHeight="true" ht="20.238095238095237" r="70">
      <c r="A70" s="534" t="s">
        <v>971</v>
      </c>
      <c r="B70" s="535" t="s">
        <v>927</v>
      </c>
      <c r="C70" s="536" t="s">
        <v>922</v>
      </c>
      <c r="D70" s="535">
        <v>1427.51</v>
      </c>
      <c r="E70" s="519">
        <v>0</v>
      </c>
      <c r="F70" s="519">
        <v>0</v>
      </c>
      <c r="G70" s="535">
        <v>402</v>
      </c>
      <c r="H70" s="538">
        <f t="shared" ref="H70:H90" si="3">G70/D70</f>
      </c>
      <c r="I70" s="538">
        <f>D70/E70</f>
      </c>
      <c r="J70" s="538">
        <f>G70/E70</f>
      </c>
      <c r="K70" s="539">
        <f t="shared" ref="K70:K90" si="142">T70/S70</f>
      </c>
      <c r="L70" s="540">
        <f t="shared" ref="L70:L90" si="236">D70/U70</f>
      </c>
      <c r="M70" s="541">
        <f t="shared" ref="M70:M90" si="159">V70/U70</f>
      </c>
      <c r="N70" s="541">
        <f t="shared" ref="N70:N90" si="255">E70/W70</f>
      </c>
      <c r="O70" s="541">
        <f t="shared" ref="O70:O90" si="272">X70/E70</f>
      </c>
      <c r="P70" s="542">
        <f t="shared" ref="P70:P90" si="19">(Y70*1000)/D70</f>
      </c>
      <c r="Q70" s="543" t="s">
        <v>923</v>
      </c>
      <c r="R70" s="544" t="s">
        <v>924</v>
      </c>
      <c r="S70" s="567">
        <v>7815</v>
      </c>
      <c r="T70" s="567">
        <v>985</v>
      </c>
      <c r="U70" s="567">
        <v>1180</v>
      </c>
      <c r="V70" s="567">
        <v>87</v>
      </c>
      <c r="W70" s="567">
        <v>1</v>
      </c>
      <c r="X70" s="567">
        <v>0</v>
      </c>
      <c r="Y70" s="567">
        <v>53</v>
      </c>
      <c r="Z70" s="519"/>
      <c r="AA70" s="546" t="s">
        <v>927</v>
      </c>
      <c r="AB70" s="547" t="s">
        <v>925</v>
      </c>
      <c r="AC70" s="546">
        <v>5</v>
      </c>
      <c r="AD70" s="548">
        <v>11619.19</v>
      </c>
      <c r="AE70" s="548">
        <v>11199.599999999999</v>
      </c>
      <c r="AF70" s="546">
        <v>10</v>
      </c>
      <c r="AG70" s="549">
        <f t="shared" ref="AG70:AG74" si="73">AE70/AF70</f>
      </c>
      <c r="AH70" s="549">
        <f t="shared" ref="AH70:AH74" si="126">AD70/AF70</f>
      </c>
      <c r="AI70" s="549">
        <f t="shared" ref="AI70:AI74" si="191">AE70/AD70</f>
      </c>
      <c r="AJ70" s="548">
        <f t="shared" ref="AJ70:AJ74" si="220">AD70/AC70</f>
      </c>
      <c r="AK70" s="548"/>
    </row>
    <row customHeight="true" ht="20.238095238095237" r="71">
      <c r="A71" s="534"/>
      <c r="B71" s="535" t="s">
        <v>927</v>
      </c>
      <c r="C71" s="535" t="s">
        <v>926</v>
      </c>
      <c r="D71" s="535">
        <v>2420.8</v>
      </c>
      <c r="E71" s="519">
        <v>4</v>
      </c>
      <c r="F71" s="519">
        <v>4</v>
      </c>
      <c r="G71" s="535">
        <v>1197.6</v>
      </c>
      <c r="H71" s="538">
        <f t="shared" si="3"/>
      </c>
      <c r="I71" s="538">
        <v>2161</v>
      </c>
      <c r="J71" s="538">
        <v>234</v>
      </c>
      <c r="K71" s="539">
        <f t="shared" si="142"/>
      </c>
      <c r="L71" s="540">
        <f t="shared" si="236"/>
      </c>
      <c r="M71" s="541">
        <f t="shared" si="159"/>
      </c>
      <c r="N71" s="541">
        <f t="shared" si="255"/>
      </c>
      <c r="O71" s="541">
        <f t="shared" si="272"/>
      </c>
      <c r="P71" s="542">
        <f t="shared" si="19"/>
      </c>
      <c r="Q71" s="543" t="s">
        <v>923</v>
      </c>
      <c r="R71" s="544" t="s">
        <v>924</v>
      </c>
      <c r="S71" s="567">
        <v>10102</v>
      </c>
      <c r="T71" s="567">
        <v>765</v>
      </c>
      <c r="U71" s="567">
        <v>915</v>
      </c>
      <c r="V71" s="567">
        <v>93</v>
      </c>
      <c r="W71" s="567">
        <v>2</v>
      </c>
      <c r="X71" s="567">
        <v>0</v>
      </c>
      <c r="Y71" s="567">
        <v>53</v>
      </c>
      <c r="Z71" s="519"/>
      <c r="AA71" s="546" t="s">
        <v>961</v>
      </c>
      <c r="AB71" s="547" t="s">
        <v>965</v>
      </c>
      <c r="AC71" s="546">
        <v>4</v>
      </c>
      <c r="AD71" s="546">
        <v>8850.6</v>
      </c>
      <c r="AE71" s="546">
        <v>10062.400000000003</v>
      </c>
      <c r="AF71" s="546">
        <v>9</v>
      </c>
      <c r="AG71" s="549">
        <f t="shared" si="73"/>
      </c>
      <c r="AH71" s="549">
        <f t="shared" si="126"/>
      </c>
      <c r="AI71" s="549">
        <f t="shared" si="191"/>
      </c>
      <c r="AJ71" s="548">
        <f t="shared" si="220"/>
      </c>
      <c r="AK71" s="548"/>
    </row>
    <row customHeight="true" ht="20.238095238095237" r="72">
      <c r="A72" s="534"/>
      <c r="B72" s="535" t="s">
        <v>927</v>
      </c>
      <c r="C72" s="535" t="s">
        <v>929</v>
      </c>
      <c r="D72" s="535">
        <v>1935.76</v>
      </c>
      <c r="E72" s="519">
        <v>1</v>
      </c>
      <c r="F72" s="519">
        <v>1</v>
      </c>
      <c r="G72" s="535">
        <v>1305.6</v>
      </c>
      <c r="H72" s="538">
        <f t="shared" si="3"/>
      </c>
      <c r="I72" s="538">
        <f t="shared" ref="I72:I77" si="39">D72/E72</f>
      </c>
      <c r="J72" s="538">
        <f t="shared" ref="J72:J77" si="92">G72/E72</f>
      </c>
      <c r="K72" s="539">
        <f t="shared" si="142"/>
      </c>
      <c r="L72" s="540">
        <f t="shared" si="236"/>
      </c>
      <c r="M72" s="541">
        <f t="shared" si="159"/>
      </c>
      <c r="N72" s="541">
        <f t="shared" si="255"/>
      </c>
      <c r="O72" s="541">
        <f t="shared" si="272"/>
      </c>
      <c r="P72" s="542">
        <f t="shared" si="19"/>
      </c>
      <c r="Q72" s="543" t="s">
        <v>923</v>
      </c>
      <c r="R72" s="544" t="s">
        <v>924</v>
      </c>
      <c r="S72" s="567">
        <v>7969</v>
      </c>
      <c r="T72" s="567">
        <v>736</v>
      </c>
      <c r="U72" s="567">
        <v>904</v>
      </c>
      <c r="V72" s="567">
        <v>84</v>
      </c>
      <c r="W72" s="567">
        <v>3</v>
      </c>
      <c r="X72" s="567">
        <v>0</v>
      </c>
      <c r="Y72" s="567">
        <v>27</v>
      </c>
      <c r="Z72" s="519"/>
      <c r="AA72" s="546" t="s">
        <v>966</v>
      </c>
      <c r="AB72" s="547" t="s">
        <v>967</v>
      </c>
      <c r="AC72" s="546">
        <v>3</v>
      </c>
      <c r="AD72" s="546">
        <v>5550.34</v>
      </c>
      <c r="AE72" s="546">
        <v>3816.399999999998</v>
      </c>
      <c r="AF72" s="546">
        <v>3</v>
      </c>
      <c r="AG72" s="549">
        <f t="shared" si="73"/>
      </c>
      <c r="AH72" s="549">
        <f t="shared" si="126"/>
      </c>
      <c r="AI72" s="549">
        <f t="shared" si="191"/>
      </c>
      <c r="AJ72" s="548">
        <f t="shared" si="220"/>
      </c>
      <c r="AK72" s="548"/>
    </row>
    <row customHeight="true" ht="20.238095238095237" r="73">
      <c r="A73" s="534"/>
      <c r="B73" s="535" t="s">
        <v>927</v>
      </c>
      <c r="C73" s="535" t="s">
        <v>932</v>
      </c>
      <c r="D73" s="535">
        <v>2835.12</v>
      </c>
      <c r="E73" s="519">
        <v>3</v>
      </c>
      <c r="F73" s="519">
        <v>2</v>
      </c>
      <c r="G73" s="535">
        <v>402</v>
      </c>
      <c r="H73" s="538">
        <f t="shared" si="3"/>
      </c>
      <c r="I73" s="538">
        <f t="shared" si="39"/>
      </c>
      <c r="J73" s="538">
        <f t="shared" si="92"/>
      </c>
      <c r="K73" s="539">
        <f t="shared" si="142"/>
      </c>
      <c r="L73" s="540">
        <f t="shared" si="236"/>
      </c>
      <c r="M73" s="541">
        <f t="shared" si="159"/>
      </c>
      <c r="N73" s="541">
        <f t="shared" si="255"/>
      </c>
      <c r="O73" s="541">
        <f t="shared" si="272"/>
      </c>
      <c r="P73" s="542">
        <f t="shared" si="19"/>
      </c>
      <c r="Q73" s="543" t="s">
        <v>923</v>
      </c>
      <c r="R73" s="544" t="s">
        <v>924</v>
      </c>
      <c r="S73" s="567">
        <v>8385</v>
      </c>
      <c r="T73" s="567">
        <v>840</v>
      </c>
      <c r="U73" s="567">
        <v>1002</v>
      </c>
      <c r="V73" s="567">
        <v>106</v>
      </c>
      <c r="W73" s="567">
        <v>1</v>
      </c>
      <c r="X73" s="567">
        <v>0</v>
      </c>
      <c r="Y73" s="567">
        <v>59</v>
      </c>
      <c r="Z73" s="519"/>
      <c r="AA73" s="546" t="s">
        <v>930</v>
      </c>
      <c r="AB73" s="547" t="s">
        <v>968</v>
      </c>
      <c r="AC73" s="546">
        <v>4</v>
      </c>
      <c r="AD73" s="546">
        <v>10489.04</v>
      </c>
      <c r="AE73" s="546">
        <v>18268.899999999998</v>
      </c>
      <c r="AF73" s="546">
        <v>12</v>
      </c>
      <c r="AG73" s="549">
        <f t="shared" si="73"/>
      </c>
      <c r="AH73" s="549">
        <f t="shared" si="126"/>
      </c>
      <c r="AI73" s="549">
        <f t="shared" si="191"/>
      </c>
      <c r="AJ73" s="548">
        <f t="shared" si="220"/>
      </c>
      <c r="AK73" s="548"/>
    </row>
    <row customHeight="true" ht="20.238095238095237" r="74">
      <c r="A74" s="534"/>
      <c r="B74" s="535" t="s">
        <v>927</v>
      </c>
      <c r="C74" s="552" t="s">
        <v>934</v>
      </c>
      <c r="D74" s="535">
        <v>3000</v>
      </c>
      <c r="E74" s="519">
        <v>2</v>
      </c>
      <c r="F74" s="519">
        <v>1</v>
      </c>
      <c r="G74" s="535">
        <v>7892.4</v>
      </c>
      <c r="H74" s="538">
        <f t="shared" si="3"/>
      </c>
      <c r="I74" s="538">
        <f t="shared" si="39"/>
      </c>
      <c r="J74" s="538">
        <f t="shared" si="92"/>
      </c>
      <c r="K74" s="539">
        <f t="shared" si="142"/>
      </c>
      <c r="L74" s="540">
        <f t="shared" si="236"/>
      </c>
      <c r="M74" s="541">
        <f t="shared" si="159"/>
      </c>
      <c r="N74" s="541">
        <f t="shared" si="255"/>
      </c>
      <c r="O74" s="541">
        <f t="shared" si="272"/>
      </c>
      <c r="P74" s="542">
        <f t="shared" si="19"/>
      </c>
      <c r="Q74" s="543" t="s">
        <v>923</v>
      </c>
      <c r="R74" s="544" t="s">
        <v>924</v>
      </c>
      <c r="S74" s="567">
        <v>929</v>
      </c>
      <c r="T74" s="567">
        <v>97</v>
      </c>
      <c r="U74" s="567">
        <v>126</v>
      </c>
      <c r="V74" s="567">
        <v>17</v>
      </c>
      <c r="W74" s="567">
        <v>8</v>
      </c>
      <c r="X74" s="567">
        <v>1</v>
      </c>
      <c r="Y74" s="567">
        <v>44</v>
      </c>
      <c r="Z74" s="519"/>
      <c r="AA74" s="533" t="s">
        <v>933</v>
      </c>
      <c r="AB74" s="533"/>
      <c r="AC74" s="533">
        <f>SUM(AC70:AC73)</f>
      </c>
      <c r="AD74" s="533">
        <f>SUM(AD70:AD73)</f>
      </c>
      <c r="AE74" s="533">
        <f>SUM(AE70:AE73)</f>
      </c>
      <c r="AF74" s="533">
        <f>SUM(AF70:AF73)</f>
      </c>
      <c r="AG74" s="551">
        <f t="shared" si="73"/>
      </c>
      <c r="AH74" s="551">
        <f t="shared" si="126"/>
      </c>
      <c r="AI74" s="551">
        <f t="shared" si="191"/>
      </c>
      <c r="AJ74" s="550">
        <f t="shared" si="220"/>
      </c>
      <c r="AK74" s="550"/>
    </row>
    <row customHeight="true" ht="20.238095238095237" r="75">
      <c r="A75" s="534"/>
      <c r="B75" s="554" t="s">
        <v>936</v>
      </c>
      <c r="C75" s="554"/>
      <c r="D75" s="555">
        <f>SUM(D70:D74)</f>
      </c>
      <c r="E75" s="555">
        <f>SUM(E70:E74)</f>
      </c>
      <c r="F75" s="555">
        <f>SUM(F70:F74)</f>
      </c>
      <c r="G75" s="555">
        <f>SUM(G70:G74)</f>
      </c>
      <c r="H75" s="556">
        <f t="shared" si="3"/>
      </c>
      <c r="I75" s="557">
        <f t="shared" si="39"/>
      </c>
      <c r="J75" s="558">
        <f t="shared" si="92"/>
      </c>
      <c r="K75" s="559">
        <f t="shared" si="142"/>
      </c>
      <c r="L75" s="560">
        <f t="shared" si="236"/>
      </c>
      <c r="M75" s="559">
        <f t="shared" si="159"/>
      </c>
      <c r="N75" s="559">
        <f t="shared" si="255"/>
      </c>
      <c r="O75" s="561">
        <f t="shared" si="272"/>
      </c>
      <c r="P75" s="562">
        <f t="shared" si="19"/>
      </c>
      <c r="Q75" s="560"/>
      <c r="R75" s="560"/>
      <c r="S75" s="563">
        <f>SUM(S70:S74)</f>
      </c>
      <c r="T75" s="563">
        <f>SUM(T70:T74)</f>
      </c>
      <c r="U75" s="563">
        <f>SUM(U70:U74)</f>
      </c>
      <c r="V75" s="563">
        <f>SUM(V70:V74)</f>
      </c>
      <c r="W75" s="563">
        <f>SUM(W70:W74)</f>
      </c>
      <c r="X75" s="563">
        <f>SUM(X70:X74)</f>
      </c>
      <c r="Y75" s="563">
        <f>SUM(Y70:Y74)</f>
      </c>
      <c r="Z75" s="519"/>
      <c r="AA75" s="553" t="s">
        <v>935</v>
      </c>
      <c r="AB75" s="553"/>
      <c r="AC75" s="553"/>
      <c r="AD75" s="553"/>
      <c r="AE75" s="553"/>
      <c r="AF75" s="553"/>
      <c r="AG75" s="553"/>
      <c r="AH75" s="553"/>
      <c r="AI75" s="553"/>
      <c r="AJ75" s="553"/>
      <c r="AK75" s="553"/>
    </row>
    <row customHeight="true" ht="20.238095238095237" r="76">
      <c r="A76" s="534"/>
      <c r="B76" s="535" t="s">
        <v>961</v>
      </c>
      <c r="C76" s="566" t="s">
        <v>945</v>
      </c>
      <c r="D76" s="535">
        <v>2373.82</v>
      </c>
      <c r="E76" s="519">
        <v>1</v>
      </c>
      <c r="F76" s="519">
        <v>1</v>
      </c>
      <c r="G76" s="535">
        <v>2648.4</v>
      </c>
      <c r="H76" s="538">
        <f t="shared" si="3"/>
      </c>
      <c r="I76" s="538">
        <f t="shared" si="39"/>
      </c>
      <c r="J76" s="538">
        <f t="shared" si="92"/>
      </c>
      <c r="K76" s="539">
        <f t="shared" si="142"/>
      </c>
      <c r="L76" s="540">
        <f t="shared" si="236"/>
      </c>
      <c r="M76" s="541">
        <f t="shared" si="159"/>
      </c>
      <c r="N76" s="541">
        <f t="shared" si="255"/>
      </c>
      <c r="O76" s="541">
        <f t="shared" si="272"/>
      </c>
      <c r="P76" s="542">
        <f t="shared" si="19"/>
      </c>
      <c r="Q76" s="543" t="s">
        <v>923</v>
      </c>
      <c r="R76" s="544" t="s">
        <v>924</v>
      </c>
      <c r="S76" s="567">
        <v>8293</v>
      </c>
      <c r="T76" s="567">
        <v>865</v>
      </c>
      <c r="U76" s="567">
        <v>1070</v>
      </c>
      <c r="V76" s="567">
        <v>130</v>
      </c>
      <c r="W76" s="567">
        <v>1</v>
      </c>
      <c r="X76" s="567">
        <v>0</v>
      </c>
      <c r="Y76" s="567">
        <v>55</v>
      </c>
      <c r="Z76" s="519"/>
      <c r="AA76" s="564" t="s">
        <v>915</v>
      </c>
      <c r="AB76" s="564" t="s">
        <v>937</v>
      </c>
      <c r="AC76" s="564" t="s">
        <v>938</v>
      </c>
      <c r="AD76" s="564" t="s">
        <v>939</v>
      </c>
      <c r="AE76" s="564" t="s">
        <v>940</v>
      </c>
      <c r="AF76" s="564" t="s">
        <v>941</v>
      </c>
      <c r="AG76" s="564" t="s">
        <v>942</v>
      </c>
      <c r="AH76" s="565" t="s">
        <v>910</v>
      </c>
      <c r="AI76" s="565" t="s">
        <v>943</v>
      </c>
      <c r="AJ76" s="565" t="s">
        <v>944</v>
      </c>
      <c r="AK76" s="565" t="s">
        <v>914</v>
      </c>
    </row>
    <row customHeight="true" ht="20.238095238095237" r="77">
      <c r="A77" s="534"/>
      <c r="B77" s="535" t="s">
        <v>961</v>
      </c>
      <c r="C77" s="566" t="s">
        <v>946</v>
      </c>
      <c r="D77" s="535">
        <v>1837.77</v>
      </c>
      <c r="E77" s="519">
        <v>6</v>
      </c>
      <c r="F77" s="519">
        <v>5</v>
      </c>
      <c r="G77" s="535">
        <v>5663.2</v>
      </c>
      <c r="H77" s="538">
        <f t="shared" si="3"/>
      </c>
      <c r="I77" s="538">
        <f t="shared" si="39"/>
      </c>
      <c r="J77" s="538">
        <f t="shared" si="92"/>
      </c>
      <c r="K77" s="539">
        <f t="shared" si="142"/>
      </c>
      <c r="L77" s="540">
        <f t="shared" si="236"/>
      </c>
      <c r="M77" s="541">
        <f t="shared" si="159"/>
      </c>
      <c r="N77" s="541">
        <f t="shared" si="255"/>
      </c>
      <c r="O77" s="541">
        <f t="shared" si="272"/>
      </c>
      <c r="P77" s="542">
        <f t="shared" si="19"/>
      </c>
      <c r="Q77" s="543" t="s">
        <v>923</v>
      </c>
      <c r="R77" s="544" t="s">
        <v>924</v>
      </c>
      <c r="S77" s="567">
        <v>6107</v>
      </c>
      <c r="T77" s="567">
        <v>609</v>
      </c>
      <c r="U77" s="567">
        <v>762</v>
      </c>
      <c r="V77" s="567">
        <v>99</v>
      </c>
      <c r="W77" s="567">
        <v>5</v>
      </c>
      <c r="X77" s="567">
        <v>0</v>
      </c>
      <c r="Y77" s="567">
        <v>25</v>
      </c>
      <c r="Z77" s="519"/>
      <c r="AA77" s="568">
        <f>SUM(AD70:AD73)</f>
      </c>
      <c r="AB77" s="568">
        <f>SUM(AE70:AE73)</f>
      </c>
      <c r="AC77" s="569">
        <f>AB77/((AK77*300)+AA77)</f>
      </c>
      <c r="AD77" s="570">
        <f>AA77/AJ77</f>
      </c>
      <c r="AE77" s="569">
        <f>AB77/AJ77</f>
      </c>
      <c r="AF77" s="571">
        <f>AJ77/AI77</f>
      </c>
      <c r="AG77" s="571">
        <f>AH77/AJ77</f>
      </c>
      <c r="AH77" s="572">
        <v>3</v>
      </c>
      <c r="AI77" s="572">
        <v>73</v>
      </c>
      <c r="AJ77" s="572">
        <f>AF74</f>
      </c>
      <c r="AK77" s="573">
        <f>AC74</f>
      </c>
    </row>
    <row customHeight="true" ht="20.238095238095237" r="78">
      <c r="A78" s="534"/>
      <c r="B78" s="535" t="s">
        <v>961</v>
      </c>
      <c r="C78" s="566" t="s">
        <v>947</v>
      </c>
      <c r="D78" s="535">
        <v>2651.55</v>
      </c>
      <c r="E78" s="519">
        <v>0</v>
      </c>
      <c r="F78" s="519">
        <v>0</v>
      </c>
      <c r="G78" s="574">
        <v>652.8</v>
      </c>
      <c r="H78" s="538">
        <f t="shared" si="3"/>
      </c>
      <c r="I78" s="538">
        <v>1323</v>
      </c>
      <c r="J78" s="538">
        <v>145</v>
      </c>
      <c r="K78" s="539">
        <f t="shared" si="142"/>
      </c>
      <c r="L78" s="540">
        <f t="shared" si="236"/>
      </c>
      <c r="M78" s="541">
        <f t="shared" si="159"/>
      </c>
      <c r="N78" s="541">
        <f t="shared" si="255"/>
      </c>
      <c r="O78" s="541">
        <f t="shared" si="272"/>
      </c>
      <c r="P78" s="542">
        <f t="shared" si="19"/>
      </c>
      <c r="Q78" s="543" t="s">
        <v>923</v>
      </c>
      <c r="R78" s="544" t="s">
        <v>924</v>
      </c>
      <c r="S78" s="567">
        <v>13234</v>
      </c>
      <c r="T78" s="567">
        <v>1241</v>
      </c>
      <c r="U78" s="567">
        <v>1518</v>
      </c>
      <c r="V78" s="567">
        <v>201</v>
      </c>
      <c r="W78" s="567">
        <v>3</v>
      </c>
      <c r="X78" s="567">
        <v>0</v>
      </c>
      <c r="Y78" s="567">
        <v>35</v>
      </c>
      <c r="Z78" s="519"/>
      <c r="AA78" s="519"/>
    </row>
    <row customHeight="true" ht="20.238095238095237" r="79">
      <c r="A79" s="534"/>
      <c r="B79" s="535" t="s">
        <v>961</v>
      </c>
      <c r="C79" s="566" t="s">
        <v>948</v>
      </c>
      <c r="D79" s="535">
        <v>1987.46</v>
      </c>
      <c r="E79" s="519">
        <v>2</v>
      </c>
      <c r="F79" s="519">
        <v>2</v>
      </c>
      <c r="G79" s="576">
        <v>1098.0000000000036</v>
      </c>
      <c r="H79" s="538">
        <f t="shared" si="3"/>
      </c>
      <c r="I79" s="538">
        <f t="shared" ref="I79:I90" si="40">D79/E79</f>
      </c>
      <c r="J79" s="538">
        <f t="shared" ref="J79:J90" si="93">G79/E79</f>
      </c>
      <c r="K79" s="539">
        <f t="shared" si="142"/>
      </c>
      <c r="L79" s="540">
        <f t="shared" si="236"/>
      </c>
      <c r="M79" s="541">
        <f t="shared" si="159"/>
      </c>
      <c r="N79" s="541">
        <f t="shared" si="255"/>
      </c>
      <c r="O79" s="541">
        <f t="shared" si="272"/>
      </c>
      <c r="P79" s="542">
        <f t="shared" si="19"/>
      </c>
      <c r="Q79" s="543" t="s">
        <v>923</v>
      </c>
      <c r="R79" s="544" t="s">
        <v>969</v>
      </c>
      <c r="S79" s="567">
        <v>6082</v>
      </c>
      <c r="T79" s="575">
        <v>514</v>
      </c>
      <c r="U79" s="575">
        <v>639</v>
      </c>
      <c r="V79" s="575">
        <v>67</v>
      </c>
      <c r="W79" s="567">
        <v>5</v>
      </c>
      <c r="X79" s="567">
        <v>0</v>
      </c>
      <c r="Y79" s="545">
        <v>26</v>
      </c>
      <c r="Z79" s="519"/>
      <c r="AA79" s="519"/>
    </row>
    <row customHeight="true" ht="20.238095238095237" r="80">
      <c r="A80" s="534"/>
      <c r="B80" s="587" t="s">
        <v>936</v>
      </c>
      <c r="C80" s="587"/>
      <c r="D80" s="555">
        <f>SUM(D76:D79)</f>
      </c>
      <c r="E80" s="555">
        <f>SUM(E76:E79)</f>
      </c>
      <c r="F80" s="555">
        <f>SUM(F76:F79)</f>
      </c>
      <c r="G80" s="555">
        <f>SUM(G76:G79)</f>
      </c>
      <c r="H80" s="556">
        <f t="shared" si="3"/>
      </c>
      <c r="I80" s="557">
        <f t="shared" si="40"/>
      </c>
      <c r="J80" s="558">
        <f t="shared" si="93"/>
      </c>
      <c r="K80" s="559">
        <f t="shared" si="142"/>
      </c>
      <c r="L80" s="560">
        <f t="shared" si="236"/>
      </c>
      <c r="M80" s="559">
        <f t="shared" si="159"/>
      </c>
      <c r="N80" s="559">
        <f t="shared" si="255"/>
      </c>
      <c r="O80" s="561">
        <f t="shared" si="272"/>
      </c>
      <c r="P80" s="562">
        <f t="shared" si="19"/>
      </c>
      <c r="Q80" s="560"/>
      <c r="R80" s="560"/>
      <c r="S80" s="563">
        <f>SUM(S76:S79)</f>
      </c>
      <c r="T80" s="563">
        <f>SUM(T76:T79)</f>
      </c>
      <c r="U80" s="563">
        <f>SUM(U76:U79)</f>
      </c>
      <c r="V80" s="563">
        <f>SUM(V76:V79)</f>
      </c>
      <c r="W80" s="563">
        <f>SUM(W76:W79)</f>
      </c>
      <c r="X80" s="563">
        <f>SUM(X76:X79)</f>
      </c>
      <c r="Y80" s="563">
        <f>SUM(Y76:Y79)</f>
      </c>
      <c r="Z80" s="588"/>
      <c r="AA80" s="519"/>
    </row>
    <row customHeight="true" ht="20.238095238095237" r="81">
      <c r="A81" s="534"/>
      <c r="B81" s="535" t="s">
        <v>966</v>
      </c>
      <c r="C81" s="552" t="s">
        <v>950</v>
      </c>
      <c r="D81" s="535">
        <v>1743.98</v>
      </c>
      <c r="E81" s="519">
        <v>1</v>
      </c>
      <c r="F81" s="519">
        <v>1</v>
      </c>
      <c r="G81" s="576">
        <v>0</v>
      </c>
      <c r="H81" s="538">
        <f t="shared" si="3"/>
      </c>
      <c r="I81" s="538">
        <f t="shared" si="40"/>
      </c>
      <c r="J81" s="538">
        <f t="shared" si="93"/>
      </c>
      <c r="K81" s="539">
        <f t="shared" si="142"/>
      </c>
      <c r="L81" s="540">
        <f t="shared" si="236"/>
      </c>
      <c r="M81" s="541">
        <f t="shared" si="159"/>
      </c>
      <c r="N81" s="541">
        <f t="shared" si="255"/>
      </c>
      <c r="O81" s="541">
        <f t="shared" si="272"/>
      </c>
      <c r="P81" s="542">
        <f t="shared" si="19"/>
      </c>
      <c r="Q81" s="543" t="s">
        <v>923</v>
      </c>
      <c r="R81" s="544" t="s">
        <v>969</v>
      </c>
      <c r="S81" s="567">
        <v>5711</v>
      </c>
      <c r="T81" s="575">
        <v>434</v>
      </c>
      <c r="U81" s="575">
        <v>528</v>
      </c>
      <c r="V81" s="575">
        <v>63</v>
      </c>
      <c r="W81" s="567">
        <v>2</v>
      </c>
      <c r="X81" s="567">
        <v>0</v>
      </c>
      <c r="Y81" s="545">
        <v>20</v>
      </c>
      <c r="Z81" s="519"/>
      <c r="AA81" s="519"/>
    </row>
    <row customHeight="true" ht="20.238095238095237" r="82">
      <c r="A82" s="534"/>
      <c r="B82" s="535" t="s">
        <v>966</v>
      </c>
      <c r="C82" s="552" t="s">
        <v>951</v>
      </c>
      <c r="D82" s="535">
        <v>1610.55</v>
      </c>
      <c r="E82" s="519">
        <v>0</v>
      </c>
      <c r="F82" s="519">
        <v>0</v>
      </c>
      <c r="G82" s="576">
        <v>1565.5999999999985</v>
      </c>
      <c r="H82" s="538">
        <f t="shared" si="3"/>
      </c>
      <c r="I82" s="538">
        <f t="shared" si="40"/>
      </c>
      <c r="J82" s="538">
        <f t="shared" si="93"/>
      </c>
      <c r="K82" s="539">
        <f t="shared" si="142"/>
      </c>
      <c r="L82" s="540">
        <f t="shared" si="236"/>
      </c>
      <c r="M82" s="541">
        <f t="shared" si="159"/>
      </c>
      <c r="N82" s="541">
        <f t="shared" si="255"/>
      </c>
      <c r="O82" s="541">
        <f t="shared" si="272"/>
      </c>
      <c r="P82" s="542">
        <f t="shared" si="19"/>
      </c>
      <c r="Q82" s="543" t="s">
        <v>923</v>
      </c>
      <c r="R82" s="544" t="s">
        <v>969</v>
      </c>
      <c r="S82" s="567">
        <v>5150</v>
      </c>
      <c r="T82" s="575">
        <v>634</v>
      </c>
      <c r="U82" s="575">
        <v>753</v>
      </c>
      <c r="V82" s="575">
        <v>82</v>
      </c>
      <c r="W82" s="567">
        <v>3</v>
      </c>
      <c r="X82" s="567">
        <v>0</v>
      </c>
      <c r="Y82" s="545">
        <v>41</v>
      </c>
      <c r="Z82" s="519"/>
      <c r="AA82" s="519"/>
    </row>
    <row customHeight="true" ht="20.238095238095237" r="83">
      <c r="A83" s="534"/>
      <c r="B83" s="535" t="s">
        <v>966</v>
      </c>
      <c r="C83" s="552" t="s">
        <v>953</v>
      </c>
      <c r="D83" s="535">
        <v>2195.81</v>
      </c>
      <c r="E83" s="519">
        <v>2</v>
      </c>
      <c r="F83" s="519">
        <v>0</v>
      </c>
      <c r="G83" s="576">
        <v>2250.7999999999993</v>
      </c>
      <c r="H83" s="538">
        <f t="shared" si="3"/>
      </c>
      <c r="I83" s="538">
        <f t="shared" si="40"/>
      </c>
      <c r="J83" s="538">
        <f t="shared" si="93"/>
      </c>
      <c r="K83" s="539">
        <f t="shared" si="142"/>
      </c>
      <c r="L83" s="540">
        <f t="shared" si="236"/>
      </c>
      <c r="M83" s="541">
        <f t="shared" si="159"/>
      </c>
      <c r="N83" s="541">
        <f t="shared" si="255"/>
      </c>
      <c r="O83" s="541">
        <f t="shared" si="272"/>
      </c>
      <c r="P83" s="542">
        <f t="shared" si="19"/>
      </c>
      <c r="Q83" s="543" t="s">
        <v>923</v>
      </c>
      <c r="R83" s="544" t="s">
        <v>969</v>
      </c>
      <c r="S83" s="567">
        <v>6254</v>
      </c>
      <c r="T83" s="575">
        <v>820</v>
      </c>
      <c r="U83" s="575">
        <v>953</v>
      </c>
      <c r="V83" s="575">
        <v>112</v>
      </c>
      <c r="W83" s="567">
        <v>3</v>
      </c>
      <c r="X83" s="567">
        <v>0</v>
      </c>
      <c r="Y83" s="545">
        <v>53</v>
      </c>
      <c r="Z83" s="519"/>
      <c r="AA83" s="519"/>
    </row>
    <row customHeight="true" ht="20.238095238095237" r="84">
      <c r="A84" s="534"/>
      <c r="B84" s="554" t="s">
        <v>936</v>
      </c>
      <c r="C84" s="554"/>
      <c r="D84" s="555">
        <f>SUM(D81:D83)</f>
      </c>
      <c r="E84" s="555">
        <f>SUM(E81:E83)</f>
      </c>
      <c r="F84" s="555">
        <f>SUM(F81:F83)</f>
      </c>
      <c r="G84" s="555">
        <f>SUM(G81:G83)</f>
      </c>
      <c r="H84" s="556">
        <f t="shared" si="3"/>
      </c>
      <c r="I84" s="557">
        <f t="shared" si="40"/>
      </c>
      <c r="J84" s="558">
        <f t="shared" si="93"/>
      </c>
      <c r="K84" s="559">
        <f t="shared" si="142"/>
      </c>
      <c r="L84" s="560">
        <f t="shared" si="236"/>
      </c>
      <c r="M84" s="559">
        <f t="shared" si="159"/>
      </c>
      <c r="N84" s="559">
        <f t="shared" si="255"/>
      </c>
      <c r="O84" s="561">
        <f t="shared" si="272"/>
      </c>
      <c r="P84" s="562">
        <f t="shared" si="19"/>
      </c>
      <c r="Q84" s="560"/>
      <c r="R84" s="560"/>
      <c r="S84" s="563">
        <f>SUM(S81:S83)</f>
      </c>
      <c r="T84" s="563">
        <f>SUM(T81:T83)</f>
      </c>
      <c r="U84" s="563">
        <f>SUM(U81:U83)</f>
      </c>
      <c r="V84" s="563">
        <f>SUM(V81:V83)</f>
      </c>
      <c r="W84" s="563">
        <f>SUM(W81:W83)</f>
      </c>
      <c r="X84" s="563">
        <f>SUM(X81:X83)</f>
      </c>
      <c r="Y84" s="563">
        <f>SUM(Y81:Y83)</f>
      </c>
      <c r="Z84" s="563">
        <f>SUM(Z81:Z83)</f>
      </c>
      <c r="AA84" s="519"/>
    </row>
    <row customHeight="true" ht="20.238095238095237" r="85">
      <c r="A85" s="534"/>
      <c r="B85" s="535" t="s">
        <v>930</v>
      </c>
      <c r="C85" s="552" t="s">
        <v>954</v>
      </c>
      <c r="D85" s="535">
        <v>2549.48</v>
      </c>
      <c r="E85" s="519">
        <v>2</v>
      </c>
      <c r="F85" s="519">
        <v>4</v>
      </c>
      <c r="G85" s="574">
        <v>0</v>
      </c>
      <c r="H85" s="538">
        <f t="shared" si="3"/>
      </c>
      <c r="I85" s="538">
        <f t="shared" si="40"/>
      </c>
      <c r="J85" s="538">
        <f t="shared" si="93"/>
      </c>
      <c r="K85" s="539">
        <f t="shared" si="142"/>
      </c>
      <c r="L85" s="540">
        <f t="shared" si="236"/>
      </c>
      <c r="M85" s="541">
        <f t="shared" si="159"/>
      </c>
      <c r="N85" s="541">
        <f t="shared" si="255"/>
      </c>
      <c r="O85" s="541">
        <f t="shared" si="272"/>
      </c>
      <c r="P85" s="542">
        <f t="shared" si="19"/>
      </c>
      <c r="Q85" s="543" t="s">
        <v>952</v>
      </c>
      <c r="R85" s="544" t="s">
        <v>969</v>
      </c>
      <c r="S85" s="575">
        <v>7806</v>
      </c>
      <c r="T85" s="575">
        <v>968</v>
      </c>
      <c r="U85" s="575">
        <v>1140</v>
      </c>
      <c r="V85" s="575">
        <v>105</v>
      </c>
      <c r="W85" s="567">
        <v>1</v>
      </c>
      <c r="X85" s="567">
        <v>0</v>
      </c>
      <c r="Y85" s="577">
        <v>40</v>
      </c>
      <c r="Z85" s="519"/>
      <c r="AA85" s="519"/>
    </row>
    <row customHeight="true" ht="20.238095238095237" r="86">
      <c r="A86" s="534"/>
      <c r="B86" s="535" t="s">
        <v>930</v>
      </c>
      <c r="C86" s="536" t="s">
        <v>955</v>
      </c>
      <c r="D86" s="535">
        <v>3221.49</v>
      </c>
      <c r="E86" s="519">
        <v>6</v>
      </c>
      <c r="F86" s="519">
        <v>4</v>
      </c>
      <c r="G86" s="576">
        <v>14177.7</v>
      </c>
      <c r="H86" s="538">
        <f t="shared" si="3"/>
      </c>
      <c r="I86" s="538">
        <f t="shared" si="40"/>
      </c>
      <c r="J86" s="538">
        <f t="shared" si="93"/>
      </c>
      <c r="K86" s="539">
        <f t="shared" si="142"/>
      </c>
      <c r="L86" s="540">
        <f t="shared" si="236"/>
      </c>
      <c r="M86" s="541">
        <f t="shared" si="159"/>
      </c>
      <c r="N86" s="541">
        <f t="shared" si="255"/>
      </c>
      <c r="O86" s="541">
        <f t="shared" si="272"/>
      </c>
      <c r="P86" s="542">
        <f t="shared" si="19"/>
      </c>
      <c r="Q86" s="543" t="s">
        <v>952</v>
      </c>
      <c r="R86" s="544" t="s">
        <v>969</v>
      </c>
      <c r="S86" s="575">
        <v>7629</v>
      </c>
      <c r="T86" s="575">
        <v>968</v>
      </c>
      <c r="U86" s="575">
        <v>1063</v>
      </c>
      <c r="V86" s="575">
        <v>125</v>
      </c>
      <c r="W86" s="567">
        <v>5</v>
      </c>
      <c r="X86" s="567">
        <v>2</v>
      </c>
      <c r="Y86" s="577">
        <v>56</v>
      </c>
      <c r="Z86" s="519"/>
      <c r="AA86" s="519"/>
    </row>
    <row customHeight="true" ht="20.238095238095237" r="87">
      <c r="A87" s="534"/>
      <c r="B87" s="535" t="s">
        <v>930</v>
      </c>
      <c r="C87" s="536" t="s">
        <v>956</v>
      </c>
      <c r="D87" s="535">
        <v>3172.87</v>
      </c>
      <c r="E87" s="519">
        <v>0</v>
      </c>
      <c r="F87" s="519">
        <v>0</v>
      </c>
      <c r="G87" s="578">
        <v>1197.5999999999985</v>
      </c>
      <c r="H87" s="538">
        <f t="shared" si="3"/>
      </c>
      <c r="I87" s="538">
        <f t="shared" si="40"/>
      </c>
      <c r="J87" s="538">
        <f t="shared" si="93"/>
      </c>
      <c r="K87" s="539">
        <f t="shared" si="142"/>
      </c>
      <c r="L87" s="540">
        <f t="shared" si="236"/>
      </c>
      <c r="M87" s="541">
        <f t="shared" si="159"/>
      </c>
      <c r="N87" s="541">
        <f t="shared" si="255"/>
      </c>
      <c r="O87" s="541">
        <f t="shared" si="272"/>
      </c>
      <c r="P87" s="542">
        <f t="shared" si="19"/>
      </c>
      <c r="Q87" s="543" t="s">
        <v>952</v>
      </c>
      <c r="R87" s="544" t="s">
        <v>969</v>
      </c>
      <c r="S87" s="575">
        <v>6751</v>
      </c>
      <c r="T87" s="575">
        <v>894</v>
      </c>
      <c r="U87" s="575">
        <v>1040</v>
      </c>
      <c r="V87" s="575">
        <v>94</v>
      </c>
      <c r="W87" s="567">
        <v>4</v>
      </c>
      <c r="X87" s="567">
        <v>0</v>
      </c>
      <c r="Y87" s="577">
        <v>30</v>
      </c>
      <c r="Z87" s="519"/>
      <c r="AA87" s="519"/>
    </row>
    <row customHeight="true" ht="20.238095238095237" r="88">
      <c r="A88" s="534"/>
      <c r="B88" s="535" t="s">
        <v>930</v>
      </c>
      <c r="C88" s="536" t="s">
        <v>957</v>
      </c>
      <c r="D88" s="535">
        <v>1545.2</v>
      </c>
      <c r="E88" s="519">
        <v>4</v>
      </c>
      <c r="F88" s="519">
        <v>3</v>
      </c>
      <c r="G88" s="576">
        <v>2893.5999999999985</v>
      </c>
      <c r="H88" s="538">
        <f t="shared" si="3"/>
      </c>
      <c r="I88" s="538">
        <f t="shared" si="40"/>
      </c>
      <c r="J88" s="538">
        <f t="shared" si="93"/>
      </c>
      <c r="K88" s="539">
        <f t="shared" si="142"/>
      </c>
      <c r="L88" s="540">
        <f t="shared" si="236"/>
      </c>
      <c r="M88" s="541">
        <f t="shared" si="159"/>
      </c>
      <c r="N88" s="541">
        <f t="shared" si="255"/>
      </c>
      <c r="O88" s="541">
        <f t="shared" si="272"/>
      </c>
      <c r="P88" s="542">
        <f t="shared" si="19"/>
      </c>
      <c r="Q88" s="543" t="s">
        <v>952</v>
      </c>
      <c r="R88" s="544" t="s">
        <v>969</v>
      </c>
      <c r="S88" s="567">
        <v>3841</v>
      </c>
      <c r="T88" s="567">
        <v>472</v>
      </c>
      <c r="U88" s="575">
        <v>578</v>
      </c>
      <c r="V88" s="575">
        <v>64</v>
      </c>
      <c r="W88" s="567">
        <v>5</v>
      </c>
      <c r="X88" s="567">
        <v>0</v>
      </c>
      <c r="Y88" s="577">
        <v>20</v>
      </c>
      <c r="Z88" s="519"/>
      <c r="AA88" s="519"/>
    </row>
    <row customHeight="true" ht="20.238095238095237" r="89">
      <c r="A89" s="534"/>
      <c r="B89" s="554" t="s">
        <v>936</v>
      </c>
      <c r="C89" s="554"/>
      <c r="D89" s="555">
        <f>SUM(D85:D88)</f>
      </c>
      <c r="E89" s="555">
        <f>SUM(E85:E88)</f>
      </c>
      <c r="F89" s="555">
        <f>SUM(F85:F88)</f>
      </c>
      <c r="G89" s="555">
        <f>SUM(G85:G88)</f>
      </c>
      <c r="H89" s="556">
        <f t="shared" si="3"/>
      </c>
      <c r="I89" s="557">
        <f t="shared" si="40"/>
      </c>
      <c r="J89" s="558">
        <f t="shared" si="93"/>
      </c>
      <c r="K89" s="559">
        <f t="shared" si="142"/>
      </c>
      <c r="L89" s="560">
        <f t="shared" si="236"/>
      </c>
      <c r="M89" s="559">
        <f t="shared" si="159"/>
      </c>
      <c r="N89" s="559">
        <f t="shared" si="255"/>
      </c>
      <c r="O89" s="561">
        <f t="shared" si="272"/>
      </c>
      <c r="P89" s="562">
        <f t="shared" si="19"/>
      </c>
      <c r="Q89" s="560"/>
      <c r="R89" s="560"/>
      <c r="S89" s="563">
        <f>SUM(S85:S88)</f>
      </c>
      <c r="T89" s="563">
        <f>SUM(T85:T88)</f>
      </c>
      <c r="U89" s="563">
        <f>SUM(U85:U88)</f>
      </c>
      <c r="V89" s="563">
        <f>SUM(V85:V88)</f>
      </c>
      <c r="W89" s="563">
        <f>SUM(W85:W88)</f>
      </c>
      <c r="X89" s="563">
        <f>SUM(X85:X88)</f>
      </c>
      <c r="Y89" s="563">
        <f>SUM(Y85:Y88)</f>
      </c>
      <c r="Z89" s="519"/>
      <c r="AA89" s="519"/>
    </row>
    <row customHeight="true" ht="20.238095238095237" r="90">
      <c r="A90" s="534"/>
      <c r="B90" s="579" t="s">
        <v>958</v>
      </c>
      <c r="C90" s="579"/>
      <c r="D90" s="580">
        <f>D75+D80+D84+D89</f>
      </c>
      <c r="E90" s="580">
        <f>E75+E80+E84+E89</f>
      </c>
      <c r="F90" s="580">
        <f>F75+F80+F84+F89</f>
      </c>
      <c r="G90" s="580">
        <f>G75+G80+G84+G89</f>
      </c>
      <c r="H90" s="579">
        <f t="shared" si="3"/>
      </c>
      <c r="I90" s="579">
        <f t="shared" si="40"/>
      </c>
      <c r="J90" s="579">
        <f t="shared" si="93"/>
      </c>
      <c r="K90" s="581">
        <f t="shared" si="142"/>
      </c>
      <c r="L90" s="579">
        <f t="shared" si="236"/>
      </c>
      <c r="M90" s="581">
        <f t="shared" si="159"/>
      </c>
      <c r="N90" s="581">
        <f t="shared" si="255"/>
      </c>
      <c r="O90" s="581">
        <f t="shared" si="272"/>
      </c>
      <c r="P90" s="579">
        <f t="shared" si="19"/>
      </c>
      <c r="Q90" s="582"/>
      <c r="R90" s="582"/>
      <c r="S90" s="583">
        <f>S75+S80+S84+S89</f>
      </c>
      <c r="T90" s="583">
        <f>T75+T80+T84+T89</f>
      </c>
      <c r="U90" s="583">
        <f>U75+U80+U84+U89</f>
      </c>
      <c r="V90" s="583">
        <f>V75+V80+V84+V89</f>
      </c>
      <c r="W90" s="583">
        <f>W75+W80+W84+W89</f>
      </c>
      <c r="X90" s="583">
        <f>X75+X80+X84+X89</f>
      </c>
      <c r="Y90" s="583">
        <f>Y75+Y80+Y84+Y89</f>
      </c>
      <c r="Z90" s="519"/>
      <c r="AA90" s="519"/>
    </row>
    <row r="91">
      <c r="A91" s="515" t="s">
        <v>882</v>
      </c>
      <c r="B91" s="515"/>
      <c r="C91" s="515"/>
      <c r="D91" s="516" t="s">
        <v>883</v>
      </c>
      <c r="E91" s="516"/>
      <c r="F91" s="516"/>
      <c r="G91" s="516"/>
      <c r="H91" s="516"/>
      <c r="I91" s="516"/>
      <c r="J91" s="516"/>
      <c r="K91" s="517" t="s">
        <v>884</v>
      </c>
      <c r="L91" s="517"/>
      <c r="M91" s="517"/>
      <c r="N91" s="517"/>
      <c r="O91" s="517"/>
      <c r="P91" s="517"/>
      <c r="Q91" s="517"/>
      <c r="R91" s="517"/>
      <c r="S91" s="518" t="s">
        <v>885</v>
      </c>
      <c r="T91" s="518"/>
      <c r="U91" s="518"/>
      <c r="V91" s="518"/>
      <c r="W91" s="518"/>
      <c r="X91" s="518"/>
      <c r="Y91" s="518"/>
      <c r="Z91" s="519"/>
      <c r="AA91" s="520" t="s">
        <v>972</v>
      </c>
      <c r="AB91" s="520"/>
      <c r="AC91" s="520"/>
      <c r="AD91" s="520"/>
      <c r="AE91" s="520"/>
      <c r="AF91" s="520"/>
      <c r="AG91" s="520"/>
      <c r="AH91" s="520"/>
      <c r="AI91" s="520"/>
      <c r="AJ91" s="520"/>
      <c r="AK91" s="520"/>
    </row>
    <row r="92">
      <c r="A92" s="521" t="s">
        <v>887</v>
      </c>
      <c r="B92" s="521" t="s">
        <v>888</v>
      </c>
      <c r="C92" s="521" t="s">
        <v>889</v>
      </c>
      <c r="D92" s="522" t="s">
        <v>890</v>
      </c>
      <c r="E92" s="523" t="s">
        <v>891</v>
      </c>
      <c r="F92" s="524" t="s">
        <v>892</v>
      </c>
      <c r="G92" s="522" t="s">
        <v>893</v>
      </c>
      <c r="H92" s="525" t="s">
        <v>894</v>
      </c>
      <c r="I92" s="526" t="s">
        <v>895</v>
      </c>
      <c r="J92" s="522" t="s">
        <v>896</v>
      </c>
      <c r="K92" s="527" t="s">
        <v>897</v>
      </c>
      <c r="L92" s="528" t="s">
        <v>898</v>
      </c>
      <c r="M92" s="527" t="s">
        <v>899</v>
      </c>
      <c r="N92" s="527" t="s">
        <v>900</v>
      </c>
      <c r="O92" s="529" t="s">
        <v>901</v>
      </c>
      <c r="P92" s="529" t="s">
        <v>902</v>
      </c>
      <c r="Q92" s="530" t="s">
        <v>903</v>
      </c>
      <c r="R92" s="530" t="s">
        <v>904</v>
      </c>
      <c r="S92" s="585" t="s">
        <v>905</v>
      </c>
      <c r="T92" s="585" t="s">
        <v>906</v>
      </c>
      <c r="U92" s="585" t="s">
        <v>907</v>
      </c>
      <c r="V92" s="585" t="s">
        <v>908</v>
      </c>
      <c r="W92" s="585" t="s">
        <v>909</v>
      </c>
      <c r="X92" s="585" t="s">
        <v>910</v>
      </c>
      <c r="Y92" s="586" t="s">
        <v>911</v>
      </c>
      <c r="Z92" s="519"/>
      <c r="AA92" s="533" t="s">
        <v>912</v>
      </c>
      <c r="AB92" s="533" t="s">
        <v>913</v>
      </c>
      <c r="AC92" s="533" t="s">
        <v>914</v>
      </c>
      <c r="AD92" s="533" t="s">
        <v>915</v>
      </c>
      <c r="AE92" s="533" t="s">
        <v>916</v>
      </c>
      <c r="AF92" s="533" t="s">
        <v>917</v>
      </c>
      <c r="AG92" s="533" t="s">
        <v>896</v>
      </c>
      <c r="AH92" s="533" t="s">
        <v>918</v>
      </c>
      <c r="AI92" s="533" t="s">
        <v>894</v>
      </c>
      <c r="AJ92" s="533" t="s">
        <v>919</v>
      </c>
      <c r="AK92" s="533"/>
    </row>
    <row r="93">
      <c r="A93" s="534" t="s">
        <v>973</v>
      </c>
      <c r="B93" s="535" t="s">
        <v>927</v>
      </c>
      <c r="C93" s="536" t="s">
        <v>922</v>
      </c>
      <c r="D93" s="535">
        <v>2854.01</v>
      </c>
      <c r="E93" s="519">
        <v>1</v>
      </c>
      <c r="F93" s="519">
        <v>1</v>
      </c>
      <c r="G93" s="535">
        <v>368</v>
      </c>
      <c r="H93" s="538">
        <f t="shared" ref="H93:H113" si="4">G93/D93</f>
      </c>
      <c r="I93" s="538">
        <f>D93/E93</f>
      </c>
      <c r="J93" s="538">
        <f>G93/E93</f>
      </c>
      <c r="K93" s="539">
        <f t="shared" ref="K93:K113" si="143">T93/S93</f>
      </c>
      <c r="L93" s="540">
        <f t="shared" ref="L93:L113" si="237">D93/U93</f>
      </c>
      <c r="M93" s="541">
        <f t="shared" ref="M93:M113" si="160">V93/U93</f>
      </c>
      <c r="N93" s="541">
        <f t="shared" ref="N93:N113" si="256">E93/W93</f>
      </c>
      <c r="O93" s="541">
        <f t="shared" ref="O93:O113" si="273">X93/E93</f>
      </c>
      <c r="P93" s="542">
        <f t="shared" ref="P93:P113" si="20">(Y93*1000)/D93</f>
      </c>
      <c r="Q93" s="543" t="s">
        <v>923</v>
      </c>
      <c r="R93" s="544" t="s">
        <v>924</v>
      </c>
      <c r="S93" s="567">
        <v>8070</v>
      </c>
      <c r="T93" s="567">
        <v>835</v>
      </c>
      <c r="U93" s="567">
        <v>1058</v>
      </c>
      <c r="V93" s="567">
        <v>101</v>
      </c>
      <c r="W93" s="567">
        <v>1</v>
      </c>
      <c r="X93" s="567">
        <v>0</v>
      </c>
      <c r="Y93" s="584">
        <v>69</v>
      </c>
      <c r="Z93" s="519"/>
      <c r="AA93" s="546" t="s">
        <v>927</v>
      </c>
      <c r="AB93" s="547" t="s">
        <v>974</v>
      </c>
      <c r="AC93" s="546">
        <v>4</v>
      </c>
      <c r="AD93" s="546">
        <v>9908.92</v>
      </c>
      <c r="AE93" s="546">
        <v>11786.9</v>
      </c>
      <c r="AF93" s="546">
        <v>10</v>
      </c>
      <c r="AG93" s="549">
        <f t="shared" ref="AG93:AG97" si="74">AE93/AF93</f>
      </c>
      <c r="AH93" s="549">
        <f t="shared" ref="AH93:AH97" si="127">AD93/AF93</f>
      </c>
      <c r="AI93" s="549">
        <f t="shared" ref="AI93:AI97" si="192">AE93/AD93</f>
      </c>
      <c r="AJ93" s="548">
        <f t="shared" ref="AJ93:AJ97" si="221">AD93/AC93</f>
      </c>
      <c r="AK93" s="548"/>
      <c r="AL93" s="565"/>
      <c r="AM93" s="565"/>
    </row>
    <row r="94">
      <c r="A94" s="534"/>
      <c r="B94" s="535" t="s">
        <v>927</v>
      </c>
      <c r="C94" s="535" t="s">
        <v>926</v>
      </c>
      <c r="D94" s="535">
        <v>1571.53</v>
      </c>
      <c r="E94" s="519">
        <v>1</v>
      </c>
      <c r="F94" s="519">
        <v>1</v>
      </c>
      <c r="G94" s="535">
        <v>619.2</v>
      </c>
      <c r="H94" s="538">
        <f t="shared" si="4"/>
      </c>
      <c r="I94" s="538">
        <v>2161</v>
      </c>
      <c r="J94" s="538">
        <v>234</v>
      </c>
      <c r="K94" s="539">
        <f t="shared" si="143"/>
      </c>
      <c r="L94" s="540">
        <f t="shared" si="237"/>
      </c>
      <c r="M94" s="541">
        <f t="shared" si="160"/>
      </c>
      <c r="N94" s="541">
        <f t="shared" si="256"/>
      </c>
      <c r="O94" s="541">
        <f t="shared" si="273"/>
      </c>
      <c r="P94" s="542">
        <f t="shared" si="20"/>
      </c>
      <c r="Q94" s="543" t="s">
        <v>923</v>
      </c>
      <c r="R94" s="544" t="s">
        <v>924</v>
      </c>
      <c r="S94" s="567">
        <v>6466</v>
      </c>
      <c r="T94" s="567">
        <v>465</v>
      </c>
      <c r="U94" s="567">
        <v>605</v>
      </c>
      <c r="V94" s="567">
        <v>76</v>
      </c>
      <c r="W94" s="567">
        <v>1</v>
      </c>
      <c r="X94" s="567">
        <v>0</v>
      </c>
      <c r="Y94" s="584">
        <v>15</v>
      </c>
      <c r="Z94" s="519"/>
      <c r="AA94" s="546" t="s">
        <v>975</v>
      </c>
      <c r="AB94" s="547" t="s">
        <v>976</v>
      </c>
      <c r="AC94" s="546">
        <v>4</v>
      </c>
      <c r="AD94" s="546">
        <v>10380.79</v>
      </c>
      <c r="AE94" s="546">
        <v>16012.8</v>
      </c>
      <c r="AF94" s="546">
        <v>9</v>
      </c>
      <c r="AG94" s="549">
        <f t="shared" si="74"/>
      </c>
      <c r="AH94" s="549">
        <f t="shared" si="127"/>
      </c>
      <c r="AI94" s="549">
        <f t="shared" si="192"/>
      </c>
      <c r="AJ94" s="548">
        <f t="shared" si="221"/>
      </c>
      <c r="AK94" s="548"/>
      <c r="AL94" s="572"/>
      <c r="AM94" s="573"/>
    </row>
    <row r="95">
      <c r="A95" s="534"/>
      <c r="B95" s="535" t="s">
        <v>927</v>
      </c>
      <c r="C95" s="535" t="s">
        <v>929</v>
      </c>
      <c r="D95" s="535">
        <v>2067.61</v>
      </c>
      <c r="E95" s="519">
        <v>0</v>
      </c>
      <c r="F95" s="519">
        <v>0</v>
      </c>
      <c r="G95" s="535">
        <v>0</v>
      </c>
      <c r="H95" s="538">
        <f t="shared" si="4"/>
      </c>
      <c r="I95" s="538">
        <f t="shared" ref="I95:I99" si="41">D95/E95</f>
      </c>
      <c r="J95" s="538">
        <f t="shared" ref="J95:J99" si="94">G95/E95</f>
      </c>
      <c r="K95" s="539">
        <f t="shared" si="143"/>
      </c>
      <c r="L95" s="540">
        <f t="shared" si="237"/>
      </c>
      <c r="M95" s="541">
        <f t="shared" si="160"/>
      </c>
      <c r="N95" s="541">
        <f t="shared" si="256"/>
      </c>
      <c r="O95" s="541">
        <f t="shared" si="273"/>
      </c>
      <c r="P95" s="542">
        <f t="shared" si="20"/>
      </c>
      <c r="Q95" s="543" t="s">
        <v>923</v>
      </c>
      <c r="R95" s="544" t="s">
        <v>924</v>
      </c>
      <c r="S95" s="567">
        <v>8184</v>
      </c>
      <c r="T95" s="567">
        <v>605</v>
      </c>
      <c r="U95" s="567">
        <v>846</v>
      </c>
      <c r="V95" s="567">
        <v>93</v>
      </c>
      <c r="W95" s="567">
        <v>0</v>
      </c>
      <c r="X95" s="567">
        <v>0</v>
      </c>
      <c r="Y95" s="584">
        <v>49</v>
      </c>
      <c r="Z95" s="519"/>
      <c r="AA95" s="546" t="s">
        <v>966</v>
      </c>
      <c r="AB95" s="547" t="s">
        <v>977</v>
      </c>
      <c r="AC95" s="546">
        <v>3</v>
      </c>
      <c r="AD95" s="546">
        <v>6167.82</v>
      </c>
      <c r="AE95" s="546">
        <v>14458.4</v>
      </c>
      <c r="AF95" s="546">
        <v>12</v>
      </c>
      <c r="AG95" s="549">
        <f t="shared" si="74"/>
      </c>
      <c r="AH95" s="549">
        <f t="shared" si="127"/>
      </c>
      <c r="AI95" s="549">
        <f t="shared" si="192"/>
      </c>
      <c r="AJ95" s="548">
        <f t="shared" si="221"/>
      </c>
      <c r="AK95" s="548"/>
    </row>
    <row r="96">
      <c r="A96" s="534"/>
      <c r="B96" s="535" t="s">
        <v>927</v>
      </c>
      <c r="C96" s="535" t="s">
        <v>932</v>
      </c>
      <c r="D96" s="535">
        <v>3415.77</v>
      </c>
      <c r="E96" s="519">
        <v>8</v>
      </c>
      <c r="F96" s="519">
        <v>2</v>
      </c>
      <c r="G96" s="535">
        <v>10799.7</v>
      </c>
      <c r="H96" s="538">
        <f t="shared" si="4"/>
      </c>
      <c r="I96" s="538">
        <f t="shared" si="41"/>
      </c>
      <c r="J96" s="538">
        <f t="shared" si="94"/>
      </c>
      <c r="K96" s="539">
        <f t="shared" si="143"/>
      </c>
      <c r="L96" s="540">
        <f t="shared" si="237"/>
      </c>
      <c r="M96" s="541">
        <f t="shared" si="160"/>
      </c>
      <c r="N96" s="541">
        <f t="shared" si="256"/>
      </c>
      <c r="O96" s="541">
        <f t="shared" si="273"/>
      </c>
      <c r="P96" s="542">
        <f t="shared" si="20"/>
      </c>
      <c r="Q96" s="543" t="s">
        <v>923</v>
      </c>
      <c r="R96" s="544" t="s">
        <v>924</v>
      </c>
      <c r="S96" s="567">
        <v>9630</v>
      </c>
      <c r="T96" s="567">
        <v>785</v>
      </c>
      <c r="U96" s="567">
        <v>986</v>
      </c>
      <c r="V96" s="567">
        <v>134</v>
      </c>
      <c r="W96" s="567">
        <v>9</v>
      </c>
      <c r="X96" s="567">
        <v>2</v>
      </c>
      <c r="Y96" s="567">
        <v>32</v>
      </c>
      <c r="Z96" s="519"/>
      <c r="AA96" s="546" t="s">
        <v>930</v>
      </c>
      <c r="AB96" s="547" t="s">
        <v>978</v>
      </c>
      <c r="AC96" s="546">
        <v>5</v>
      </c>
      <c r="AD96" s="546">
        <v>15970.67</v>
      </c>
      <c r="AE96" s="546">
        <v>16628.8</v>
      </c>
      <c r="AF96" s="546">
        <v>14</v>
      </c>
      <c r="AG96" s="549">
        <f t="shared" si="74"/>
      </c>
      <c r="AH96" s="549">
        <f t="shared" si="127"/>
      </c>
      <c r="AI96" s="549">
        <f t="shared" si="192"/>
      </c>
      <c r="AJ96" s="548">
        <f t="shared" si="221"/>
      </c>
      <c r="AK96" s="548"/>
    </row>
    <row r="97">
      <c r="A97" s="534"/>
      <c r="B97" s="554" t="s">
        <v>936</v>
      </c>
      <c r="C97" s="554"/>
      <c r="D97" s="555">
        <f>SUM(D93:D96)</f>
      </c>
      <c r="E97" s="555">
        <f>SUM(E93:E96)</f>
      </c>
      <c r="F97" s="555">
        <f>SUM(F93:F96)</f>
      </c>
      <c r="G97" s="555">
        <f>SUM(G93:G96)</f>
      </c>
      <c r="H97" s="556">
        <f t="shared" si="4"/>
      </c>
      <c r="I97" s="557">
        <f t="shared" si="41"/>
      </c>
      <c r="J97" s="558">
        <f t="shared" si="94"/>
      </c>
      <c r="K97" s="559">
        <f t="shared" si="143"/>
      </c>
      <c r="L97" s="560">
        <f t="shared" si="237"/>
      </c>
      <c r="M97" s="559">
        <f t="shared" si="160"/>
      </c>
      <c r="N97" s="559">
        <f t="shared" si="256"/>
      </c>
      <c r="O97" s="561">
        <f t="shared" si="273"/>
      </c>
      <c r="P97" s="562">
        <f t="shared" si="20"/>
      </c>
      <c r="Q97" s="560"/>
      <c r="R97" s="560"/>
      <c r="S97" s="563">
        <f>SUM(S93:S96)</f>
      </c>
      <c r="T97" s="563">
        <f>SUM(T93:T96)</f>
      </c>
      <c r="U97" s="563">
        <f>SUM(U93:U96)</f>
      </c>
      <c r="V97" s="563">
        <f>SUM(V93:V96)</f>
      </c>
      <c r="W97" s="563">
        <f>SUM(W93:W96)</f>
      </c>
      <c r="X97" s="563">
        <f>SUM(X93:X96)</f>
      </c>
      <c r="Y97" s="563">
        <f>SUM(Y93:Y96)</f>
      </c>
      <c r="Z97" s="519"/>
      <c r="AA97" s="533" t="s">
        <v>933</v>
      </c>
      <c r="AB97" s="533"/>
      <c r="AC97" s="533">
        <f>SUM(AC93:AC96)</f>
      </c>
      <c r="AD97" s="533">
        <f>SUM(AD93:AD96)</f>
      </c>
      <c r="AE97" s="533">
        <f>SUM(AE93:AE96)</f>
      </c>
      <c r="AF97" s="533">
        <f>SUM(AF93:AF96)</f>
      </c>
      <c r="AG97" s="551">
        <f t="shared" si="74"/>
      </c>
      <c r="AH97" s="551">
        <f t="shared" si="127"/>
      </c>
      <c r="AI97" s="551">
        <f t="shared" si="192"/>
      </c>
      <c r="AJ97" s="550">
        <f t="shared" si="221"/>
      </c>
      <c r="AK97" s="550"/>
    </row>
    <row r="98">
      <c r="A98" s="534"/>
      <c r="B98" s="535" t="s">
        <v>975</v>
      </c>
      <c r="C98" s="535" t="s">
        <v>934</v>
      </c>
      <c r="D98" s="535">
        <v>2619.26</v>
      </c>
      <c r="E98" s="567">
        <v>2</v>
      </c>
      <c r="F98" s="567">
        <v>2</v>
      </c>
      <c r="G98" s="584">
        <v>3345.6</v>
      </c>
      <c r="H98" s="538">
        <f t="shared" si="4"/>
      </c>
      <c r="I98" s="538">
        <f t="shared" si="41"/>
      </c>
      <c r="J98" s="538">
        <f t="shared" si="94"/>
      </c>
      <c r="K98" s="539">
        <f t="shared" si="143"/>
      </c>
      <c r="L98" s="540">
        <f t="shared" si="237"/>
      </c>
      <c r="M98" s="541">
        <f t="shared" si="160"/>
      </c>
      <c r="N98" s="541">
        <f t="shared" si="256"/>
      </c>
      <c r="O98" s="541">
        <f t="shared" si="273"/>
      </c>
      <c r="P98" s="542">
        <f t="shared" si="20"/>
      </c>
      <c r="Q98" s="543" t="s">
        <v>923</v>
      </c>
      <c r="R98" s="544" t="s">
        <v>924</v>
      </c>
      <c r="S98" s="567">
        <v>6731</v>
      </c>
      <c r="T98" s="567">
        <v>638</v>
      </c>
      <c r="U98" s="567">
        <v>788</v>
      </c>
      <c r="V98" s="567">
        <v>98</v>
      </c>
      <c r="W98" s="567">
        <v>4</v>
      </c>
      <c r="X98" s="567">
        <v>0</v>
      </c>
      <c r="Y98" s="567">
        <v>42</v>
      </c>
      <c r="Z98" s="519"/>
      <c r="AA98" s="553" t="s">
        <v>935</v>
      </c>
      <c r="AB98" s="553"/>
      <c r="AC98" s="553"/>
      <c r="AD98" s="553"/>
      <c r="AE98" s="553"/>
      <c r="AF98" s="553"/>
      <c r="AG98" s="553"/>
      <c r="AH98" s="553"/>
      <c r="AI98" s="553"/>
      <c r="AJ98" s="553"/>
      <c r="AK98" s="553"/>
    </row>
    <row r="99">
      <c r="A99" s="534"/>
      <c r="B99" s="535" t="s">
        <v>975</v>
      </c>
      <c r="C99" s="566" t="s">
        <v>945</v>
      </c>
      <c r="D99" s="535">
        <v>2782.72</v>
      </c>
      <c r="E99" s="567">
        <v>4</v>
      </c>
      <c r="F99" s="567">
        <v>4</v>
      </c>
      <c r="G99" s="584">
        <v>7737.6</v>
      </c>
      <c r="H99" s="538">
        <f t="shared" si="4"/>
      </c>
      <c r="I99" s="538">
        <f t="shared" si="41"/>
      </c>
      <c r="J99" s="538">
        <f t="shared" si="94"/>
      </c>
      <c r="K99" s="539">
        <f t="shared" si="143"/>
      </c>
      <c r="L99" s="540">
        <f t="shared" si="237"/>
      </c>
      <c r="M99" s="541">
        <f t="shared" si="160"/>
      </c>
      <c r="N99" s="541">
        <f t="shared" si="256"/>
      </c>
      <c r="O99" s="541">
        <f t="shared" si="273"/>
      </c>
      <c r="P99" s="542">
        <f t="shared" si="20"/>
      </c>
      <c r="Q99" s="543" t="s">
        <v>923</v>
      </c>
      <c r="R99" s="544" t="s">
        <v>924</v>
      </c>
      <c r="S99" s="567">
        <v>9237</v>
      </c>
      <c r="T99" s="567">
        <v>776</v>
      </c>
      <c r="U99" s="567">
        <v>939</v>
      </c>
      <c r="V99" s="567">
        <v>97</v>
      </c>
      <c r="W99" s="567">
        <v>7</v>
      </c>
      <c r="X99" s="567">
        <v>0</v>
      </c>
      <c r="Y99" s="574">
        <v>37</v>
      </c>
      <c r="Z99" s="519"/>
      <c r="AA99" s="564" t="s">
        <v>915</v>
      </c>
      <c r="AB99" s="564" t="s">
        <v>937</v>
      </c>
      <c r="AC99" s="564" t="s">
        <v>938</v>
      </c>
      <c r="AD99" s="564" t="s">
        <v>939</v>
      </c>
      <c r="AE99" s="564" t="s">
        <v>940</v>
      </c>
      <c r="AF99" s="564" t="s">
        <v>941</v>
      </c>
      <c r="AG99" s="564" t="s">
        <v>942</v>
      </c>
      <c r="AH99" s="565" t="s">
        <v>910</v>
      </c>
      <c r="AI99" s="565" t="s">
        <v>943</v>
      </c>
      <c r="AJ99" s="565" t="s">
        <v>944</v>
      </c>
      <c r="AK99" s="565" t="s">
        <v>914</v>
      </c>
    </row>
    <row r="100">
      <c r="A100" s="534"/>
      <c r="B100" s="535" t="s">
        <v>975</v>
      </c>
      <c r="C100" s="566" t="s">
        <v>946</v>
      </c>
      <c r="D100" s="535">
        <v>2859.25</v>
      </c>
      <c r="E100" s="519">
        <v>0</v>
      </c>
      <c r="F100" s="519">
        <v>0</v>
      </c>
      <c r="G100" s="574">
        <v>0</v>
      </c>
      <c r="H100" s="538">
        <f t="shared" si="4"/>
      </c>
      <c r="I100" s="538">
        <v>1323</v>
      </c>
      <c r="J100" s="538">
        <v>145</v>
      </c>
      <c r="K100" s="539">
        <f t="shared" si="143"/>
      </c>
      <c r="L100" s="540">
        <f t="shared" si="237"/>
      </c>
      <c r="M100" s="541">
        <f t="shared" si="160"/>
      </c>
      <c r="N100" s="541">
        <f t="shared" si="256"/>
      </c>
      <c r="O100" s="541">
        <f t="shared" si="273"/>
      </c>
      <c r="P100" s="542">
        <f t="shared" si="20"/>
      </c>
      <c r="Q100" s="543" t="s">
        <v>923</v>
      </c>
      <c r="R100" s="544" t="s">
        <v>924</v>
      </c>
      <c r="S100" s="567">
        <v>10444</v>
      </c>
      <c r="T100" s="567">
        <v>774</v>
      </c>
      <c r="U100" s="567">
        <v>948</v>
      </c>
      <c r="V100" s="567">
        <v>107</v>
      </c>
      <c r="W100" s="567">
        <v>4</v>
      </c>
      <c r="X100" s="567">
        <v>0</v>
      </c>
      <c r="Y100" s="567">
        <v>36</v>
      </c>
      <c r="Z100" s="519"/>
      <c r="AA100" s="568">
        <f>SUM(AD93:AD96)</f>
      </c>
      <c r="AB100" s="568">
        <f>SUM(AE93:AE96)</f>
      </c>
      <c r="AC100" s="569">
        <f>AB100/((AK100*300)+AA100)</f>
      </c>
      <c r="AD100" s="570">
        <f>AA100/AJ100</f>
      </c>
      <c r="AE100" s="569">
        <f>AB100/AJ100</f>
      </c>
      <c r="AF100" s="571">
        <f>AJ100/AI100</f>
      </c>
      <c r="AG100" s="571">
        <f>AH100/AJ100</f>
      </c>
      <c r="AH100" s="572">
        <v>3</v>
      </c>
      <c r="AI100" s="572">
        <v>82</v>
      </c>
      <c r="AJ100" s="572">
        <f>AF97</f>
      </c>
      <c r="AK100" s="573">
        <f>AC97</f>
      </c>
    </row>
    <row r="101">
      <c r="A101" s="534"/>
      <c r="B101" s="535" t="s">
        <v>975</v>
      </c>
      <c r="C101" s="566" t="s">
        <v>947</v>
      </c>
      <c r="D101" s="535">
        <v>2119.56</v>
      </c>
      <c r="E101" s="519">
        <v>3</v>
      </c>
      <c r="F101" s="519">
        <v>2</v>
      </c>
      <c r="G101" s="576">
        <v>4929.6</v>
      </c>
      <c r="H101" s="538">
        <f t="shared" si="4"/>
      </c>
      <c r="I101" s="538">
        <f t="shared" ref="I101:I113" si="42">D101/E101</f>
      </c>
      <c r="J101" s="538">
        <f t="shared" ref="J101:J113" si="95">G101/E101</f>
      </c>
      <c r="K101" s="539">
        <f t="shared" si="143"/>
      </c>
      <c r="L101" s="540">
        <f t="shared" si="237"/>
      </c>
      <c r="M101" s="541">
        <f t="shared" si="160"/>
      </c>
      <c r="N101" s="541">
        <f t="shared" si="256"/>
      </c>
      <c r="O101" s="541">
        <f t="shared" si="273"/>
      </c>
      <c r="P101" s="542">
        <f t="shared" si="20"/>
      </c>
      <c r="Q101" s="543" t="s">
        <v>923</v>
      </c>
      <c r="R101" s="544" t="s">
        <v>949</v>
      </c>
      <c r="S101" s="567">
        <v>7789</v>
      </c>
      <c r="T101" s="575">
        <v>509</v>
      </c>
      <c r="U101" s="575">
        <v>650</v>
      </c>
      <c r="V101" s="575">
        <v>73</v>
      </c>
      <c r="W101" s="567">
        <v>12</v>
      </c>
      <c r="X101" s="567">
        <v>1</v>
      </c>
      <c r="Y101" s="545">
        <v>21</v>
      </c>
      <c r="Z101" s="519"/>
      <c r="AA101" s="519"/>
    </row>
    <row r="102">
      <c r="A102" s="534"/>
      <c r="B102" s="587" t="s">
        <v>936</v>
      </c>
      <c r="C102" s="587"/>
      <c r="D102" s="555">
        <f>SUM(D98:D101)</f>
      </c>
      <c r="E102" s="555">
        <f>SUM(E98:E101)</f>
      </c>
      <c r="F102" s="555">
        <f>SUM(F98:F101)</f>
      </c>
      <c r="G102" s="555">
        <f>SUM(G98:G101)</f>
      </c>
      <c r="H102" s="556">
        <f t="shared" si="4"/>
      </c>
      <c r="I102" s="557">
        <f t="shared" si="42"/>
      </c>
      <c r="J102" s="558">
        <f t="shared" si="95"/>
      </c>
      <c r="K102" s="559">
        <f t="shared" si="143"/>
      </c>
      <c r="L102" s="560">
        <f t="shared" si="237"/>
      </c>
      <c r="M102" s="559">
        <f t="shared" si="160"/>
      </c>
      <c r="N102" s="559">
        <f t="shared" si="256"/>
      </c>
      <c r="O102" s="561">
        <f t="shared" si="273"/>
      </c>
      <c r="P102" s="562">
        <f t="shared" si="20"/>
      </c>
      <c r="Q102" s="560"/>
      <c r="R102" s="560"/>
      <c r="S102" s="563">
        <f>SUM(S98:S101)</f>
      </c>
      <c r="T102" s="563">
        <f>SUM(T98:T101)</f>
      </c>
      <c r="U102" s="563">
        <f>SUM(U98:U101)</f>
      </c>
      <c r="V102" s="563">
        <f>SUM(V98:V101)</f>
      </c>
      <c r="W102" s="563">
        <f>SUM(W98:W101)</f>
      </c>
      <c r="X102" s="563">
        <f>SUM(X98:X101)</f>
      </c>
      <c r="Y102" s="563">
        <f>SUM(Y98:Y101)</f>
      </c>
      <c r="Z102" s="588"/>
      <c r="AA102" s="519"/>
    </row>
    <row r="103">
      <c r="A103" s="534"/>
      <c r="B103" s="535" t="s">
        <v>966</v>
      </c>
      <c r="C103" s="566" t="s">
        <v>948</v>
      </c>
      <c r="D103" s="535">
        <v>2164.3</v>
      </c>
      <c r="E103" s="519">
        <v>2</v>
      </c>
      <c r="F103" s="519">
        <v>2</v>
      </c>
      <c r="G103" s="576">
        <v>3596.4</v>
      </c>
      <c r="H103" s="538">
        <f t="shared" si="4"/>
      </c>
      <c r="I103" s="538">
        <f t="shared" si="42"/>
      </c>
      <c r="J103" s="538">
        <f t="shared" si="95"/>
      </c>
      <c r="K103" s="539">
        <f t="shared" si="143"/>
      </c>
      <c r="L103" s="540">
        <f t="shared" si="237"/>
      </c>
      <c r="M103" s="541">
        <f t="shared" si="160"/>
      </c>
      <c r="N103" s="541">
        <f t="shared" si="256"/>
      </c>
      <c r="O103" s="541">
        <f t="shared" si="273"/>
      </c>
      <c r="P103" s="542">
        <f t="shared" si="20"/>
      </c>
      <c r="Q103" s="543" t="s">
        <v>923</v>
      </c>
      <c r="R103" s="544" t="s">
        <v>949</v>
      </c>
      <c r="S103" s="567">
        <v>6543</v>
      </c>
      <c r="T103" s="575">
        <v>408</v>
      </c>
      <c r="U103" s="575">
        <v>522</v>
      </c>
      <c r="V103" s="575">
        <v>64</v>
      </c>
      <c r="W103" s="567">
        <v>2</v>
      </c>
      <c r="X103" s="567">
        <v>0</v>
      </c>
      <c r="Y103" s="545">
        <v>19</v>
      </c>
      <c r="Z103" s="519"/>
      <c r="AA103" s="519"/>
    </row>
    <row r="104">
      <c r="A104" s="534"/>
      <c r="B104" s="535" t="s">
        <v>966</v>
      </c>
      <c r="C104" s="552" t="s">
        <v>950</v>
      </c>
      <c r="D104" s="535">
        <v>1876.35</v>
      </c>
      <c r="E104" s="519">
        <v>6</v>
      </c>
      <c r="F104" s="519">
        <v>6</v>
      </c>
      <c r="G104" s="576">
        <v>7446</v>
      </c>
      <c r="H104" s="538">
        <f t="shared" si="4"/>
      </c>
      <c r="I104" s="538">
        <f t="shared" si="42"/>
      </c>
      <c r="J104" s="538">
        <f t="shared" si="95"/>
      </c>
      <c r="K104" s="539">
        <f t="shared" si="143"/>
      </c>
      <c r="L104" s="540">
        <f t="shared" si="237"/>
      </c>
      <c r="M104" s="541">
        <f t="shared" si="160"/>
      </c>
      <c r="N104" s="541">
        <f t="shared" si="256"/>
      </c>
      <c r="O104" s="541">
        <f t="shared" si="273"/>
      </c>
      <c r="P104" s="542">
        <f t="shared" si="20"/>
      </c>
      <c r="Q104" s="543" t="s">
        <v>923</v>
      </c>
      <c r="R104" s="544" t="s">
        <v>949</v>
      </c>
      <c r="S104" s="567">
        <v>6260</v>
      </c>
      <c r="T104" s="575">
        <v>410</v>
      </c>
      <c r="U104" s="567">
        <v>539</v>
      </c>
      <c r="V104" s="575">
        <v>74</v>
      </c>
      <c r="W104" s="567">
        <v>7</v>
      </c>
      <c r="X104" s="567">
        <v>0</v>
      </c>
      <c r="Y104" s="545">
        <v>24</v>
      </c>
      <c r="Z104" s="519"/>
      <c r="AA104" s="519"/>
    </row>
    <row customHeight="true" ht="16.666666666666668" r="105">
      <c r="A105" s="534"/>
      <c r="B105" s="535" t="s">
        <v>966</v>
      </c>
      <c r="C105" s="552" t="s">
        <v>951</v>
      </c>
      <c r="D105" s="535">
        <v>2127.17</v>
      </c>
      <c r="E105" s="519">
        <v>4</v>
      </c>
      <c r="F105" s="519">
        <v>4</v>
      </c>
      <c r="G105" s="576">
        <v>3416</v>
      </c>
      <c r="H105" s="538">
        <f t="shared" si="4"/>
      </c>
      <c r="I105" s="538">
        <f t="shared" si="42"/>
      </c>
      <c r="J105" s="538">
        <f t="shared" si="95"/>
      </c>
      <c r="K105" s="539">
        <f t="shared" si="143"/>
      </c>
      <c r="L105" s="540">
        <f t="shared" si="237"/>
      </c>
      <c r="M105" s="541">
        <f t="shared" si="160"/>
      </c>
      <c r="N105" s="541">
        <f t="shared" si="256"/>
      </c>
      <c r="O105" s="541">
        <f t="shared" si="273"/>
      </c>
      <c r="P105" s="542">
        <f t="shared" si="20"/>
      </c>
      <c r="Q105" s="543" t="s">
        <v>923</v>
      </c>
      <c r="R105" s="544" t="s">
        <v>949</v>
      </c>
      <c r="S105" s="567">
        <v>8137</v>
      </c>
      <c r="T105" s="575">
        <v>603</v>
      </c>
      <c r="U105" s="575">
        <v>774</v>
      </c>
      <c r="V105" s="575">
        <v>105</v>
      </c>
      <c r="W105" s="567">
        <v>9</v>
      </c>
      <c r="X105" s="567">
        <v>0</v>
      </c>
      <c r="Y105" s="545">
        <v>31</v>
      </c>
      <c r="Z105" s="519"/>
      <c r="AA105" s="519"/>
      <c r="AC105" s="567"/>
    </row>
    <row r="106">
      <c r="A106" s="534"/>
      <c r="B106" s="554" t="s">
        <v>936</v>
      </c>
      <c r="C106" s="554"/>
      <c r="D106" s="555">
        <f>SUM(D103:D105)</f>
      </c>
      <c r="E106" s="555">
        <f>SUM(E103:E105)</f>
      </c>
      <c r="F106" s="555">
        <f>SUM(F103:F105)</f>
      </c>
      <c r="G106" s="555">
        <f>SUM(G103:G105)</f>
      </c>
      <c r="H106" s="556">
        <f t="shared" si="4"/>
      </c>
      <c r="I106" s="557">
        <f t="shared" si="42"/>
      </c>
      <c r="J106" s="558">
        <f t="shared" si="95"/>
      </c>
      <c r="K106" s="559">
        <f t="shared" si="143"/>
      </c>
      <c r="L106" s="560">
        <f t="shared" si="237"/>
      </c>
      <c r="M106" s="559">
        <f t="shared" si="160"/>
      </c>
      <c r="N106" s="559">
        <f t="shared" si="256"/>
      </c>
      <c r="O106" s="561">
        <f t="shared" si="273"/>
      </c>
      <c r="P106" s="562">
        <f t="shared" si="20"/>
      </c>
      <c r="Q106" s="560"/>
      <c r="R106" s="560"/>
      <c r="S106" s="563">
        <f>SUM(S103:S105)</f>
      </c>
      <c r="T106" s="563">
        <f>SUM(T103:T105)</f>
      </c>
      <c r="U106" s="563">
        <f>SUM(U103:U105)</f>
      </c>
      <c r="V106" s="563">
        <f>SUM(V103:V105)</f>
      </c>
      <c r="W106" s="563">
        <f>SUM(W103:W105)</f>
      </c>
      <c r="X106" s="563">
        <f>SUM(X103:X105)</f>
      </c>
      <c r="Y106" s="563">
        <f>SUM(Y103:Y105)</f>
      </c>
      <c r="Z106" s="563">
        <f>SUM(Z103:Z104)</f>
      </c>
      <c r="AA106" s="519"/>
    </row>
    <row r="107">
      <c r="A107" s="534"/>
      <c r="B107" s="535" t="s">
        <v>930</v>
      </c>
      <c r="C107" s="536" t="s">
        <v>953</v>
      </c>
      <c r="D107" s="535">
        <v>2773.32</v>
      </c>
      <c r="E107" s="519">
        <v>0</v>
      </c>
      <c r="F107" s="519">
        <v>0</v>
      </c>
      <c r="G107" s="574">
        <v>0</v>
      </c>
      <c r="H107" s="538">
        <f t="shared" si="4"/>
      </c>
      <c r="I107" s="538">
        <f t="shared" si="42"/>
      </c>
      <c r="J107" s="538">
        <f t="shared" si="95"/>
      </c>
      <c r="K107" s="539">
        <f t="shared" si="143"/>
      </c>
      <c r="L107" s="540">
        <f t="shared" si="237"/>
      </c>
      <c r="M107" s="541">
        <f t="shared" si="160"/>
      </c>
      <c r="N107" s="541">
        <f t="shared" si="256"/>
      </c>
      <c r="O107" s="541">
        <f t="shared" si="273"/>
      </c>
      <c r="P107" s="542">
        <f t="shared" si="20"/>
      </c>
      <c r="Q107" s="543" t="s">
        <v>952</v>
      </c>
      <c r="R107" s="544" t="s">
        <v>949</v>
      </c>
      <c r="S107" s="575">
        <v>9297</v>
      </c>
      <c r="T107" s="575">
        <v>680</v>
      </c>
      <c r="U107" s="575">
        <v>845</v>
      </c>
      <c r="V107" s="575">
        <v>114</v>
      </c>
      <c r="W107" s="567">
        <v>4</v>
      </c>
      <c r="X107" s="567">
        <v>0</v>
      </c>
      <c r="Y107" s="577">
        <v>34</v>
      </c>
      <c r="Z107" s="519"/>
      <c r="AA107" s="519"/>
    </row>
    <row customHeight="true" ht="16.666666666666668" r="108">
      <c r="A108" s="534"/>
      <c r="B108" s="535" t="s">
        <v>930</v>
      </c>
      <c r="C108" s="552" t="s">
        <v>954</v>
      </c>
      <c r="D108" s="535">
        <v>3359.61</v>
      </c>
      <c r="E108" s="519">
        <v>3</v>
      </c>
      <c r="F108" s="519">
        <v>3</v>
      </c>
      <c r="G108" s="574">
        <v>4249.2</v>
      </c>
      <c r="H108" s="538">
        <f t="shared" si="4"/>
      </c>
      <c r="I108" s="538">
        <f t="shared" si="42"/>
      </c>
      <c r="J108" s="538">
        <f t="shared" si="95"/>
      </c>
      <c r="K108" s="539">
        <f t="shared" si="143"/>
      </c>
      <c r="L108" s="540">
        <f t="shared" si="237"/>
      </c>
      <c r="M108" s="541">
        <f t="shared" si="160"/>
      </c>
      <c r="N108" s="541">
        <f t="shared" si="256"/>
      </c>
      <c r="O108" s="541">
        <f t="shared" si="273"/>
      </c>
      <c r="P108" s="542">
        <f t="shared" si="20"/>
      </c>
      <c r="Q108" s="543" t="s">
        <v>952</v>
      </c>
      <c r="R108" s="544" t="s">
        <v>949</v>
      </c>
      <c r="S108" s="575">
        <v>11024</v>
      </c>
      <c r="T108" s="575">
        <v>675</v>
      </c>
      <c r="U108" s="575">
        <v>871</v>
      </c>
      <c r="V108" s="575">
        <v>97</v>
      </c>
      <c r="W108" s="567">
        <v>7</v>
      </c>
      <c r="X108" s="567">
        <v>0</v>
      </c>
      <c r="Y108" s="577">
        <v>35</v>
      </c>
      <c r="Z108" s="519"/>
      <c r="AA108" s="519"/>
    </row>
    <row r="109">
      <c r="A109" s="534"/>
      <c r="B109" s="535" t="s">
        <v>930</v>
      </c>
      <c r="C109" s="536" t="s">
        <v>955</v>
      </c>
      <c r="D109" s="535">
        <v>3528.93</v>
      </c>
      <c r="E109" s="519">
        <v>1</v>
      </c>
      <c r="F109" s="519">
        <v>1</v>
      </c>
      <c r="G109" s="576">
        <v>382.8</v>
      </c>
      <c r="H109" s="538">
        <f t="shared" si="4"/>
      </c>
      <c r="I109" s="538">
        <f t="shared" si="42"/>
      </c>
      <c r="J109" s="538">
        <f t="shared" si="95"/>
      </c>
      <c r="K109" s="539">
        <f t="shared" si="143"/>
      </c>
      <c r="L109" s="540">
        <f t="shared" si="237"/>
      </c>
      <c r="M109" s="541">
        <f t="shared" si="160"/>
      </c>
      <c r="N109" s="541">
        <f t="shared" si="256"/>
      </c>
      <c r="O109" s="541">
        <f t="shared" si="273"/>
      </c>
      <c r="P109" s="542">
        <f t="shared" si="20"/>
      </c>
      <c r="Q109" s="543" t="s">
        <v>952</v>
      </c>
      <c r="R109" s="544" t="s">
        <v>949</v>
      </c>
      <c r="S109" s="575">
        <v>10742</v>
      </c>
      <c r="T109" s="575">
        <v>746</v>
      </c>
      <c r="U109" s="575">
        <v>979</v>
      </c>
      <c r="V109" s="575">
        <v>115</v>
      </c>
      <c r="W109" s="567">
        <v>3</v>
      </c>
      <c r="X109" s="567">
        <v>0</v>
      </c>
      <c r="Y109" s="577">
        <v>35</v>
      </c>
      <c r="Z109" s="519"/>
      <c r="AA109" s="519"/>
    </row>
    <row r="110">
      <c r="A110" s="534"/>
      <c r="B110" s="535" t="s">
        <v>930</v>
      </c>
      <c r="C110" s="536" t="s">
        <v>956</v>
      </c>
      <c r="D110" s="535">
        <v>4784.95</v>
      </c>
      <c r="E110" s="519">
        <v>6</v>
      </c>
      <c r="F110" s="519">
        <v>5</v>
      </c>
      <c r="G110" s="578">
        <v>8546.8</v>
      </c>
      <c r="H110" s="538">
        <f t="shared" si="4"/>
      </c>
      <c r="I110" s="538">
        <f t="shared" si="42"/>
      </c>
      <c r="J110" s="538">
        <f t="shared" si="95"/>
      </c>
      <c r="K110" s="539">
        <f t="shared" si="143"/>
      </c>
      <c r="L110" s="540">
        <f t="shared" si="237"/>
      </c>
      <c r="M110" s="541">
        <f t="shared" si="160"/>
      </c>
      <c r="N110" s="541">
        <f t="shared" si="256"/>
      </c>
      <c r="O110" s="541">
        <f t="shared" si="273"/>
      </c>
      <c r="P110" s="542">
        <f t="shared" si="20"/>
      </c>
      <c r="Q110" s="543" t="s">
        <v>952</v>
      </c>
      <c r="R110" s="544" t="s">
        <v>949</v>
      </c>
      <c r="S110" s="575">
        <v>15163</v>
      </c>
      <c r="T110" s="575">
        <v>919</v>
      </c>
      <c r="U110" s="575">
        <v>1176</v>
      </c>
      <c r="V110" s="575">
        <v>116</v>
      </c>
      <c r="W110" s="567">
        <v>8</v>
      </c>
      <c r="X110" s="567">
        <v>0</v>
      </c>
      <c r="Y110" s="577">
        <v>44</v>
      </c>
      <c r="Z110" s="519"/>
      <c r="AA110" s="519"/>
    </row>
    <row r="111">
      <c r="A111" s="534"/>
      <c r="B111" s="535" t="s">
        <v>930</v>
      </c>
      <c r="C111" s="536" t="s">
        <v>957</v>
      </c>
      <c r="D111" s="535">
        <v>1523.86</v>
      </c>
      <c r="E111" s="519">
        <v>4</v>
      </c>
      <c r="F111" s="519">
        <v>4</v>
      </c>
      <c r="G111" s="576">
        <v>3450</v>
      </c>
      <c r="H111" s="538">
        <f t="shared" si="4"/>
      </c>
      <c r="I111" s="538">
        <f t="shared" si="42"/>
      </c>
      <c r="J111" s="538">
        <f t="shared" si="95"/>
      </c>
      <c r="K111" s="539">
        <f t="shared" si="143"/>
      </c>
      <c r="L111" s="540">
        <f t="shared" si="237"/>
      </c>
      <c r="M111" s="541">
        <f t="shared" si="160"/>
      </c>
      <c r="N111" s="541">
        <f t="shared" si="256"/>
      </c>
      <c r="O111" s="541">
        <f t="shared" si="273"/>
      </c>
      <c r="P111" s="542">
        <f t="shared" si="20"/>
      </c>
      <c r="Q111" s="543" t="s">
        <v>952</v>
      </c>
      <c r="R111" s="544" t="s">
        <v>949</v>
      </c>
      <c r="S111" s="567">
        <v>4806</v>
      </c>
      <c r="T111" s="567">
        <v>351</v>
      </c>
      <c r="U111" s="575">
        <v>493</v>
      </c>
      <c r="V111" s="575">
        <v>53</v>
      </c>
      <c r="W111" s="567">
        <v>4</v>
      </c>
      <c r="X111" s="567">
        <v>0</v>
      </c>
      <c r="Y111" s="577">
        <v>19</v>
      </c>
      <c r="Z111" s="519"/>
      <c r="AA111" s="519"/>
    </row>
    <row r="112">
      <c r="A112" s="534"/>
      <c r="B112" s="554" t="s">
        <v>936</v>
      </c>
      <c r="C112" s="554"/>
      <c r="D112" s="555">
        <f>SUM(D107:D111)</f>
      </c>
      <c r="E112" s="555">
        <f>SUM(E107:E111)</f>
      </c>
      <c r="F112" s="555">
        <f>SUM(F107:F111)</f>
      </c>
      <c r="G112" s="555">
        <f>SUM(G107:G111)</f>
      </c>
      <c r="H112" s="556">
        <f t="shared" si="4"/>
      </c>
      <c r="I112" s="557">
        <f t="shared" si="42"/>
      </c>
      <c r="J112" s="558">
        <f t="shared" si="95"/>
      </c>
      <c r="K112" s="559">
        <f t="shared" si="143"/>
      </c>
      <c r="L112" s="560">
        <f t="shared" si="237"/>
      </c>
      <c r="M112" s="559">
        <f t="shared" si="160"/>
      </c>
      <c r="N112" s="559">
        <f t="shared" si="256"/>
      </c>
      <c r="O112" s="561">
        <f t="shared" si="273"/>
      </c>
      <c r="P112" s="562">
        <f t="shared" si="20"/>
      </c>
      <c r="Q112" s="560"/>
      <c r="R112" s="560"/>
      <c r="S112" s="563">
        <f>SUM(S107:S111)</f>
      </c>
      <c r="T112" s="563">
        <f>SUM(T107:T111)</f>
      </c>
      <c r="U112" s="563">
        <f>SUM(U107:U111)</f>
      </c>
      <c r="V112" s="563">
        <f>SUM(V107:V111)</f>
      </c>
      <c r="W112" s="563">
        <f>SUM(W107:W111)</f>
      </c>
      <c r="X112" s="563">
        <f>SUM(X107:X111)</f>
      </c>
      <c r="Y112" s="563">
        <f>SUM(Y107:Y111)</f>
      </c>
      <c r="Z112" s="519"/>
      <c r="AA112" s="519"/>
    </row>
    <row r="113">
      <c r="A113" s="534"/>
      <c r="B113" s="579" t="s">
        <v>958</v>
      </c>
      <c r="C113" s="579"/>
      <c r="D113" s="580">
        <f>D97+D102+D106+D112</f>
      </c>
      <c r="E113" s="580">
        <f>E97+E102+E106+E112</f>
      </c>
      <c r="F113" s="580">
        <f>F97+F102+F106+F112</f>
      </c>
      <c r="G113" s="580">
        <f>G97+G102+G106+G112</f>
      </c>
      <c r="H113" s="579">
        <f t="shared" si="4"/>
      </c>
      <c r="I113" s="579">
        <f t="shared" si="42"/>
      </c>
      <c r="J113" s="579">
        <f t="shared" si="95"/>
      </c>
      <c r="K113" s="581">
        <f t="shared" si="143"/>
      </c>
      <c r="L113" s="579">
        <f t="shared" si="237"/>
      </c>
      <c r="M113" s="581">
        <f t="shared" si="160"/>
      </c>
      <c r="N113" s="581">
        <f t="shared" si="256"/>
      </c>
      <c r="O113" s="581">
        <f t="shared" si="273"/>
      </c>
      <c r="P113" s="579">
        <f t="shared" si="20"/>
      </c>
      <c r="Q113" s="582"/>
      <c r="R113" s="582"/>
      <c r="S113" s="583">
        <f>S97+S102+S106+S112</f>
      </c>
      <c r="T113" s="583">
        <f>T97+T102+T106+T112</f>
      </c>
      <c r="U113" s="583">
        <f>U97+U102+U106+U112</f>
      </c>
      <c r="V113" s="583">
        <f>V97+V102+V106+V112</f>
      </c>
      <c r="W113" s="583">
        <f>W97+W102+W106+W112</f>
      </c>
      <c r="X113" s="583">
        <f>X97+X102+X106+X112</f>
      </c>
      <c r="Y113" s="583">
        <f>Y97+Y102+Y106+Y112</f>
      </c>
      <c r="Z113" s="519"/>
      <c r="AA113" s="519"/>
    </row>
    <row r="114">
      <c r="A114" s="515" t="s">
        <v>882</v>
      </c>
      <c r="B114" s="515"/>
      <c r="C114" s="515"/>
      <c r="D114" s="516" t="s">
        <v>883</v>
      </c>
      <c r="E114" s="516"/>
      <c r="F114" s="516"/>
      <c r="G114" s="516"/>
      <c r="H114" s="516"/>
      <c r="I114" s="516"/>
      <c r="J114" s="516"/>
      <c r="K114" s="517" t="s">
        <v>884</v>
      </c>
      <c r="L114" s="517"/>
      <c r="M114" s="517"/>
      <c r="N114" s="517"/>
      <c r="O114" s="517"/>
      <c r="P114" s="517"/>
      <c r="Q114" s="517"/>
      <c r="R114" s="517"/>
      <c r="S114" s="589" t="s">
        <v>885</v>
      </c>
      <c r="T114" s="589"/>
      <c r="U114" s="589"/>
      <c r="V114" s="589"/>
      <c r="W114" s="589"/>
      <c r="X114" s="589"/>
      <c r="Y114" s="589"/>
    </row>
    <row r="115">
      <c r="A115" s="521" t="s">
        <v>887</v>
      </c>
      <c r="B115" s="521" t="s">
        <v>888</v>
      </c>
      <c r="C115" s="521" t="s">
        <v>889</v>
      </c>
      <c r="D115" s="522" t="s">
        <v>890</v>
      </c>
      <c r="E115" s="523" t="s">
        <v>891</v>
      </c>
      <c r="F115" s="524" t="s">
        <v>892</v>
      </c>
      <c r="G115" s="522" t="s">
        <v>893</v>
      </c>
      <c r="H115" s="525" t="s">
        <v>894</v>
      </c>
      <c r="I115" s="526" t="s">
        <v>895</v>
      </c>
      <c r="J115" s="522" t="s">
        <v>896</v>
      </c>
      <c r="K115" s="527" t="s">
        <v>897</v>
      </c>
      <c r="L115" s="528" t="s">
        <v>898</v>
      </c>
      <c r="M115" s="527" t="s">
        <v>899</v>
      </c>
      <c r="N115" s="527" t="s">
        <v>900</v>
      </c>
      <c r="O115" s="529" t="s">
        <v>901</v>
      </c>
      <c r="P115" s="529" t="s">
        <v>902</v>
      </c>
      <c r="Q115" s="530" t="s">
        <v>903</v>
      </c>
      <c r="R115" s="530" t="s">
        <v>904</v>
      </c>
      <c r="S115" s="585" t="s">
        <v>905</v>
      </c>
      <c r="T115" s="585" t="s">
        <v>906</v>
      </c>
      <c r="U115" s="585" t="s">
        <v>907</v>
      </c>
      <c r="V115" s="585" t="s">
        <v>908</v>
      </c>
      <c r="W115" s="585" t="s">
        <v>909</v>
      </c>
      <c r="X115" s="585" t="s">
        <v>910</v>
      </c>
      <c r="Y115" s="586" t="s">
        <v>911</v>
      </c>
    </row>
    <row r="116">
      <c r="A116" s="534" t="s">
        <v>979</v>
      </c>
      <c r="B116" s="535" t="s">
        <v>927</v>
      </c>
      <c r="C116" s="536" t="s">
        <v>922</v>
      </c>
      <c r="D116" s="535">
        <v>3107.93</v>
      </c>
      <c r="E116" s="519">
        <v>5</v>
      </c>
      <c r="F116" s="519">
        <v>3</v>
      </c>
      <c r="G116" s="590">
        <v>3190.8</v>
      </c>
      <c r="H116" s="538">
        <f t="shared" ref="H116:H136" si="5">G116/D116</f>
      </c>
      <c r="I116" s="538">
        <f t="shared" ref="I116:I136" si="43">D116/E116</f>
      </c>
      <c r="J116" s="538">
        <f t="shared" ref="J116:J136" si="96">G116/E116</f>
      </c>
      <c r="K116" s="539">
        <f t="shared" ref="K116:K136" si="144">T116/S116</f>
      </c>
      <c r="L116" s="540">
        <f t="shared" ref="L116:L136" si="238">D116/U116</f>
      </c>
      <c r="M116" s="541">
        <f t="shared" ref="M116:M136" si="161">V116/U116</f>
      </c>
      <c r="N116" s="541">
        <f t="shared" ref="N116:N136" si="257">E116/W116</f>
      </c>
      <c r="O116" s="541">
        <f t="shared" ref="O116:O136" si="274">X116/E116</f>
      </c>
      <c r="P116" s="542">
        <f t="shared" ref="P116:P136" si="21">(Y116*1000)/D116</f>
      </c>
      <c r="Q116" s="543" t="s">
        <v>923</v>
      </c>
      <c r="R116" s="544" t="s">
        <v>924</v>
      </c>
      <c r="S116" s="545">
        <v>6077</v>
      </c>
      <c r="T116" s="545">
        <v>632</v>
      </c>
      <c r="U116" s="545">
        <v>835</v>
      </c>
      <c r="V116" s="545">
        <v>91</v>
      </c>
      <c r="W116" s="545">
        <v>9</v>
      </c>
      <c r="X116" s="545">
        <v>1</v>
      </c>
      <c r="Y116" s="584">
        <v>51</v>
      </c>
      <c r="AA116" s="520" t="s">
        <v>980</v>
      </c>
      <c r="AB116" s="520"/>
      <c r="AC116" s="520"/>
      <c r="AD116" s="520"/>
      <c r="AE116" s="520"/>
      <c r="AF116" s="520"/>
      <c r="AG116" s="520"/>
      <c r="AH116" s="520"/>
      <c r="AI116" s="520"/>
      <c r="AJ116" s="520"/>
      <c r="AK116" s="520"/>
    </row>
    <row r="117">
      <c r="A117" s="534"/>
      <c r="B117" s="535" t="s">
        <v>927</v>
      </c>
      <c r="C117" s="535" t="s">
        <v>926</v>
      </c>
      <c r="D117" s="535">
        <v>3332.69</v>
      </c>
      <c r="E117" s="519">
        <v>6</v>
      </c>
      <c r="F117" s="519">
        <v>8</v>
      </c>
      <c r="G117" s="584">
        <v>8604</v>
      </c>
      <c r="H117" s="538">
        <f t="shared" si="5"/>
      </c>
      <c r="I117" s="538">
        <f t="shared" si="43"/>
      </c>
      <c r="J117" s="538">
        <f t="shared" si="96"/>
      </c>
      <c r="K117" s="539">
        <f t="shared" si="144"/>
      </c>
      <c r="L117" s="540">
        <f t="shared" si="238"/>
      </c>
      <c r="M117" s="541">
        <f t="shared" si="161"/>
      </c>
      <c r="N117" s="541">
        <f t="shared" si="257"/>
      </c>
      <c r="O117" s="541">
        <f t="shared" si="274"/>
      </c>
      <c r="P117" s="542">
        <f t="shared" si="21"/>
      </c>
      <c r="Q117" s="543" t="s">
        <v>923</v>
      </c>
      <c r="R117" s="544" t="s">
        <v>924</v>
      </c>
      <c r="S117" s="545">
        <v>9071</v>
      </c>
      <c r="T117" s="545">
        <v>949</v>
      </c>
      <c r="U117" s="545">
        <v>1200</v>
      </c>
      <c r="V117" s="545">
        <v>146</v>
      </c>
      <c r="W117" s="545">
        <v>7</v>
      </c>
      <c r="X117" s="545">
        <v>1</v>
      </c>
      <c r="Y117" s="584">
        <v>49</v>
      </c>
      <c r="Z117" s="591">
        <v>2</v>
      </c>
      <c r="AA117" s="533" t="s">
        <v>912</v>
      </c>
      <c r="AB117" s="533" t="s">
        <v>913</v>
      </c>
      <c r="AC117" s="533" t="s">
        <v>914</v>
      </c>
      <c r="AD117" s="533" t="s">
        <v>915</v>
      </c>
      <c r="AE117" s="533" t="s">
        <v>916</v>
      </c>
      <c r="AF117" s="533" t="s">
        <v>917</v>
      </c>
      <c r="AG117" s="533" t="s">
        <v>896</v>
      </c>
      <c r="AH117" s="533" t="s">
        <v>918</v>
      </c>
      <c r="AI117" s="533" t="s">
        <v>894</v>
      </c>
      <c r="AJ117" s="533" t="s">
        <v>919</v>
      </c>
      <c r="AK117" s="533"/>
    </row>
    <row r="118">
      <c r="A118" s="534"/>
      <c r="B118" s="535" t="s">
        <v>927</v>
      </c>
      <c r="C118" s="535" t="s">
        <v>929</v>
      </c>
      <c r="D118" s="535">
        <v>3723.66</v>
      </c>
      <c r="E118" s="519">
        <v>1</v>
      </c>
      <c r="F118" s="519">
        <v>1</v>
      </c>
      <c r="G118" s="584">
        <v>2943.6</v>
      </c>
      <c r="H118" s="538">
        <f t="shared" si="5"/>
      </c>
      <c r="I118" s="538">
        <f t="shared" si="43"/>
      </c>
      <c r="J118" s="538">
        <f t="shared" si="96"/>
      </c>
      <c r="K118" s="539">
        <f t="shared" si="144"/>
      </c>
      <c r="L118" s="540">
        <f t="shared" si="238"/>
      </c>
      <c r="M118" s="541">
        <f t="shared" si="161"/>
      </c>
      <c r="N118" s="541">
        <f t="shared" si="257"/>
      </c>
      <c r="O118" s="541">
        <f t="shared" si="274"/>
      </c>
      <c r="P118" s="542">
        <f t="shared" si="21"/>
      </c>
      <c r="Q118" s="543" t="s">
        <v>923</v>
      </c>
      <c r="R118" s="544" t="s">
        <v>924</v>
      </c>
      <c r="S118" s="545">
        <v>10653</v>
      </c>
      <c r="T118" s="545">
        <v>886</v>
      </c>
      <c r="U118" s="545">
        <v>1098</v>
      </c>
      <c r="V118" s="545">
        <v>142</v>
      </c>
      <c r="W118" s="545">
        <v>6</v>
      </c>
      <c r="X118" s="545">
        <v>0</v>
      </c>
      <c r="Y118" s="584">
        <v>44</v>
      </c>
      <c r="AA118" s="546" t="s">
        <v>927</v>
      </c>
      <c r="AB118" s="547" t="s">
        <v>974</v>
      </c>
      <c r="AC118" s="546">
        <v>4</v>
      </c>
      <c r="AD118" s="546">
        <v>13138.97</v>
      </c>
      <c r="AE118" s="546">
        <v>22962</v>
      </c>
      <c r="AF118" s="546">
        <v>16</v>
      </c>
      <c r="AG118" s="549">
        <f t="shared" ref="AG118:AG122" si="75">AE118/AF118</f>
      </c>
      <c r="AH118" s="549">
        <f t="shared" ref="AH118:AH122" si="128">AD118/AF118</f>
      </c>
      <c r="AI118" s="549">
        <f t="shared" ref="AI118:AI122" si="193">AE118/AD118</f>
      </c>
      <c r="AJ118" s="548">
        <f t="shared" ref="AJ118:AJ122" si="222">AD118/AC118</f>
      </c>
      <c r="AK118" s="548"/>
    </row>
    <row r="119">
      <c r="A119" s="534"/>
      <c r="B119" s="535" t="s">
        <v>927</v>
      </c>
      <c r="C119" s="535" t="s">
        <v>932</v>
      </c>
      <c r="D119" s="535">
        <v>2974.69</v>
      </c>
      <c r="E119" s="519">
        <v>4</v>
      </c>
      <c r="F119" s="519">
        <v>2</v>
      </c>
      <c r="G119" s="584">
        <v>8223.6</v>
      </c>
      <c r="H119" s="538">
        <f t="shared" si="5"/>
      </c>
      <c r="I119" s="538">
        <f t="shared" si="43"/>
      </c>
      <c r="J119" s="538">
        <f t="shared" si="96"/>
      </c>
      <c r="K119" s="539">
        <f t="shared" si="144"/>
      </c>
      <c r="L119" s="540">
        <f t="shared" si="238"/>
      </c>
      <c r="M119" s="541">
        <f t="shared" si="161"/>
      </c>
      <c r="N119" s="541">
        <f t="shared" si="257"/>
      </c>
      <c r="O119" s="541">
        <f t="shared" si="274"/>
      </c>
      <c r="P119" s="542">
        <f t="shared" si="21"/>
      </c>
      <c r="Q119" s="543" t="s">
        <v>923</v>
      </c>
      <c r="R119" s="544" t="s">
        <v>924</v>
      </c>
      <c r="S119" s="545">
        <v>7084</v>
      </c>
      <c r="T119" s="545">
        <v>716</v>
      </c>
      <c r="U119" s="545">
        <v>880</v>
      </c>
      <c r="V119" s="545">
        <v>108</v>
      </c>
      <c r="W119" s="545">
        <v>4</v>
      </c>
      <c r="X119" s="567">
        <v>1</v>
      </c>
      <c r="Y119" s="584">
        <v>46</v>
      </c>
      <c r="AA119" s="546" t="s">
        <v>930</v>
      </c>
      <c r="AB119" s="547" t="s">
        <v>976</v>
      </c>
      <c r="AC119" s="546">
        <v>4</v>
      </c>
      <c r="AD119" s="546">
        <v>11145.17</v>
      </c>
      <c r="AE119" s="546">
        <v>9327.6</v>
      </c>
      <c r="AF119" s="546">
        <v>11</v>
      </c>
      <c r="AG119" s="549">
        <f t="shared" si="75"/>
      </c>
      <c r="AH119" s="549">
        <f t="shared" si="128"/>
      </c>
      <c r="AI119" s="549">
        <f t="shared" si="193"/>
      </c>
      <c r="AJ119" s="548">
        <f t="shared" si="222"/>
      </c>
      <c r="AK119" s="548"/>
    </row>
    <row r="120">
      <c r="A120" s="534"/>
      <c r="B120" s="554" t="s">
        <v>936</v>
      </c>
      <c r="C120" s="554"/>
      <c r="D120" s="555">
        <f>SUM(D116:D119)</f>
      </c>
      <c r="E120" s="592">
        <f>SUM(E116:E119)</f>
      </c>
      <c r="F120" s="592">
        <f>SUM(F116:F119)</f>
      </c>
      <c r="G120" s="555">
        <f>SUM(G116:G119)</f>
      </c>
      <c r="H120" s="556">
        <f t="shared" si="5"/>
      </c>
      <c r="I120" s="557">
        <f t="shared" si="43"/>
      </c>
      <c r="J120" s="558">
        <f t="shared" si="96"/>
      </c>
      <c r="K120" s="559">
        <f t="shared" si="144"/>
      </c>
      <c r="L120" s="560">
        <f t="shared" si="238"/>
      </c>
      <c r="M120" s="559">
        <f t="shared" si="161"/>
      </c>
      <c r="N120" s="559">
        <f t="shared" si="257"/>
      </c>
      <c r="O120" s="561">
        <f t="shared" si="274"/>
      </c>
      <c r="P120" s="562">
        <f t="shared" si="21"/>
      </c>
      <c r="Q120" s="560"/>
      <c r="R120" s="560"/>
      <c r="S120" s="563">
        <f>SUM(S116:S119)</f>
      </c>
      <c r="T120" s="563">
        <f>SUM(T116:T119)</f>
      </c>
      <c r="U120" s="563">
        <f>SUM(U116:U119)</f>
      </c>
      <c r="V120" s="563">
        <f>SUM(V116:V119)</f>
      </c>
      <c r="W120" s="563">
        <f>SUM(W116:W119)</f>
      </c>
      <c r="X120" s="563">
        <f>SUM(X116:X119)</f>
      </c>
      <c r="Y120" s="563">
        <f>SUM(Y116:Y119)</f>
      </c>
      <c r="AA120" s="546" t="s">
        <v>966</v>
      </c>
      <c r="AB120" s="547" t="s">
        <v>981</v>
      </c>
      <c r="AC120" s="546">
        <v>4</v>
      </c>
      <c r="AD120" s="546">
        <v>11814.03</v>
      </c>
      <c r="AE120" s="546">
        <v>15853.1</v>
      </c>
      <c r="AF120" s="546">
        <v>11</v>
      </c>
      <c r="AG120" s="549">
        <f t="shared" si="75"/>
      </c>
      <c r="AH120" s="549">
        <f t="shared" si="128"/>
      </c>
      <c r="AI120" s="549">
        <f t="shared" si="193"/>
      </c>
      <c r="AJ120" s="548">
        <f t="shared" si="222"/>
      </c>
      <c r="AK120" s="548"/>
    </row>
    <row r="121">
      <c r="A121" s="534"/>
      <c r="B121" s="535" t="s">
        <v>930</v>
      </c>
      <c r="C121" s="552" t="s">
        <v>934</v>
      </c>
      <c r="D121" s="535">
        <v>2789.16</v>
      </c>
      <c r="E121" s="519">
        <v>1</v>
      </c>
      <c r="F121" s="519">
        <v>2</v>
      </c>
      <c r="G121" s="574">
        <v>1197.6</v>
      </c>
      <c r="H121" s="538">
        <f t="shared" si="5"/>
      </c>
      <c r="I121" s="538">
        <f t="shared" si="43"/>
      </c>
      <c r="J121" s="538">
        <f t="shared" si="96"/>
      </c>
      <c r="K121" s="539">
        <f t="shared" si="144"/>
      </c>
      <c r="L121" s="540">
        <f t="shared" si="238"/>
      </c>
      <c r="M121" s="541">
        <f t="shared" si="161"/>
      </c>
      <c r="N121" s="541">
        <f t="shared" si="257"/>
      </c>
      <c r="O121" s="541">
        <f t="shared" si="274"/>
      </c>
      <c r="P121" s="542">
        <f t="shared" si="21"/>
      </c>
      <c r="Q121" s="543" t="s">
        <v>923</v>
      </c>
      <c r="R121" s="544" t="s">
        <v>924</v>
      </c>
      <c r="S121" s="545">
        <v>8204</v>
      </c>
      <c r="T121" s="545">
        <v>721</v>
      </c>
      <c r="U121" s="545">
        <v>957</v>
      </c>
      <c r="V121" s="545">
        <v>125</v>
      </c>
      <c r="W121" s="567">
        <v>9</v>
      </c>
      <c r="X121" s="567">
        <v>1</v>
      </c>
      <c r="Y121" s="577">
        <v>44</v>
      </c>
      <c r="AA121" s="546" t="s">
        <v>975</v>
      </c>
      <c r="AB121" s="547" t="s">
        <v>968</v>
      </c>
      <c r="AC121" s="546">
        <v>4</v>
      </c>
      <c r="AD121" s="546">
        <v>14875.43</v>
      </c>
      <c r="AE121" s="546">
        <v>6861.6</v>
      </c>
      <c r="AF121" s="546">
        <v>6</v>
      </c>
      <c r="AG121" s="549">
        <f t="shared" si="75"/>
      </c>
      <c r="AH121" s="549">
        <f t="shared" si="128"/>
      </c>
      <c r="AI121" s="549">
        <f t="shared" si="193"/>
      </c>
      <c r="AJ121" s="548">
        <f t="shared" si="222"/>
      </c>
      <c r="AK121" s="548"/>
    </row>
    <row r="122">
      <c r="A122" s="534"/>
      <c r="B122" s="535" t="s">
        <v>930</v>
      </c>
      <c r="C122" s="566" t="s">
        <v>945</v>
      </c>
      <c r="D122" s="535">
        <v>3194.55</v>
      </c>
      <c r="E122" s="519">
        <v>6</v>
      </c>
      <c r="F122" s="519">
        <v>4</v>
      </c>
      <c r="G122" s="593">
        <v>3884.4</v>
      </c>
      <c r="H122" s="538">
        <f t="shared" si="5"/>
      </c>
      <c r="I122" s="538">
        <f t="shared" si="43"/>
      </c>
      <c r="J122" s="538">
        <f t="shared" si="96"/>
      </c>
      <c r="K122" s="539">
        <f t="shared" si="144"/>
      </c>
      <c r="L122" s="540">
        <f t="shared" si="238"/>
      </c>
      <c r="M122" s="541">
        <f t="shared" si="161"/>
      </c>
      <c r="N122" s="541">
        <f t="shared" si="257"/>
      </c>
      <c r="O122" s="541">
        <f t="shared" si="274"/>
      </c>
      <c r="P122" s="542">
        <f t="shared" si="21"/>
      </c>
      <c r="Q122" s="543" t="s">
        <v>923</v>
      </c>
      <c r="R122" s="544" t="s">
        <v>924</v>
      </c>
      <c r="S122" s="545">
        <v>9433</v>
      </c>
      <c r="T122" s="545">
        <v>745</v>
      </c>
      <c r="U122" s="545">
        <v>1001</v>
      </c>
      <c r="V122" s="545">
        <v>117</v>
      </c>
      <c r="W122" s="567">
        <v>10</v>
      </c>
      <c r="X122" s="567">
        <v>0</v>
      </c>
      <c r="Y122" s="577">
        <v>44</v>
      </c>
      <c r="AA122" s="533" t="s">
        <v>933</v>
      </c>
      <c r="AB122" s="533"/>
      <c r="AC122" s="533">
        <f>SUM(AC118:AC121)</f>
      </c>
      <c r="AD122" s="533">
        <f>SUM(AD118:AD121)</f>
      </c>
      <c r="AE122" s="533">
        <f>SUM(AE118:AE121)</f>
      </c>
      <c r="AF122" s="533">
        <f>SUM(AF118:AF121)</f>
      </c>
      <c r="AG122" s="551">
        <f t="shared" si="75"/>
      </c>
      <c r="AH122" s="551">
        <f t="shared" si="128"/>
      </c>
      <c r="AI122" s="551">
        <f t="shared" si="193"/>
      </c>
      <c r="AJ122" s="550">
        <f t="shared" si="222"/>
      </c>
      <c r="AK122" s="550"/>
    </row>
    <row r="123">
      <c r="A123" s="534"/>
      <c r="B123" s="535" t="s">
        <v>930</v>
      </c>
      <c r="C123" s="566" t="s">
        <v>946</v>
      </c>
      <c r="D123" s="535">
        <v>3174.85</v>
      </c>
      <c r="E123" s="519">
        <v>3</v>
      </c>
      <c r="F123" s="519">
        <v>4</v>
      </c>
      <c r="G123" s="584">
        <v>3048</v>
      </c>
      <c r="H123" s="538">
        <f t="shared" si="5"/>
      </c>
      <c r="I123" s="538">
        <f t="shared" si="43"/>
      </c>
      <c r="J123" s="538">
        <f t="shared" si="96"/>
      </c>
      <c r="K123" s="539">
        <f t="shared" si="144"/>
      </c>
      <c r="L123" s="540">
        <f t="shared" si="238"/>
      </c>
      <c r="M123" s="541">
        <f t="shared" si="161"/>
      </c>
      <c r="N123" s="541">
        <f t="shared" si="257"/>
      </c>
      <c r="O123" s="541">
        <f t="shared" si="274"/>
      </c>
      <c r="P123" s="542">
        <f t="shared" si="21"/>
      </c>
      <c r="Q123" s="543" t="s">
        <v>923</v>
      </c>
      <c r="R123" s="544" t="s">
        <v>924</v>
      </c>
      <c r="S123" s="545">
        <v>10019</v>
      </c>
      <c r="T123" s="545">
        <v>679</v>
      </c>
      <c r="U123" s="545">
        <v>861</v>
      </c>
      <c r="V123" s="545">
        <v>124</v>
      </c>
      <c r="W123" s="567">
        <v>6</v>
      </c>
      <c r="X123" s="567">
        <v>0</v>
      </c>
      <c r="Y123" s="577">
        <v>34</v>
      </c>
      <c r="AA123" s="553" t="s">
        <v>935</v>
      </c>
      <c r="AB123" s="553"/>
      <c r="AC123" s="553"/>
      <c r="AD123" s="553"/>
      <c r="AE123" s="553"/>
      <c r="AF123" s="553"/>
      <c r="AG123" s="553"/>
      <c r="AH123" s="553"/>
      <c r="AI123" s="553"/>
      <c r="AJ123" s="553"/>
      <c r="AK123" s="553"/>
    </row>
    <row r="124">
      <c r="A124" s="534"/>
      <c r="B124" s="535" t="s">
        <v>930</v>
      </c>
      <c r="C124" s="566" t="s">
        <v>947</v>
      </c>
      <c r="D124" s="535">
        <v>1986.61</v>
      </c>
      <c r="E124" s="519">
        <v>1</v>
      </c>
      <c r="F124" s="519">
        <v>1</v>
      </c>
      <c r="G124" s="574">
        <v>1197.6</v>
      </c>
      <c r="H124" s="538">
        <f t="shared" si="5"/>
      </c>
      <c r="I124" s="538">
        <f t="shared" si="43"/>
      </c>
      <c r="J124" s="538">
        <f t="shared" si="96"/>
      </c>
      <c r="K124" s="539">
        <f t="shared" si="144"/>
      </c>
      <c r="L124" s="540">
        <f t="shared" si="238"/>
      </c>
      <c r="M124" s="541">
        <f t="shared" si="161"/>
      </c>
      <c r="N124" s="541">
        <f t="shared" si="257"/>
      </c>
      <c r="O124" s="541">
        <f t="shared" si="274"/>
      </c>
      <c r="P124" s="542">
        <f t="shared" si="21"/>
      </c>
      <c r="Q124" s="543" t="s">
        <v>923</v>
      </c>
      <c r="R124" s="544" t="s">
        <v>949</v>
      </c>
      <c r="S124" s="545">
        <v>6044</v>
      </c>
      <c r="T124" s="545">
        <v>473</v>
      </c>
      <c r="U124" s="545">
        <v>613</v>
      </c>
      <c r="V124" s="545">
        <v>71</v>
      </c>
      <c r="W124" s="567">
        <v>2</v>
      </c>
      <c r="X124" s="567">
        <v>0</v>
      </c>
      <c r="Y124" s="577">
        <v>19</v>
      </c>
      <c r="AA124" s="564" t="s">
        <v>915</v>
      </c>
      <c r="AB124" s="564" t="s">
        <v>937</v>
      </c>
      <c r="AC124" s="564" t="s">
        <v>938</v>
      </c>
      <c r="AD124" s="564" t="s">
        <v>939</v>
      </c>
      <c r="AE124" s="564" t="s">
        <v>940</v>
      </c>
      <c r="AF124" s="564" t="s">
        <v>941</v>
      </c>
      <c r="AG124" s="564" t="s">
        <v>942</v>
      </c>
      <c r="AH124" s="565" t="s">
        <v>910</v>
      </c>
      <c r="AI124" s="565" t="s">
        <v>943</v>
      </c>
      <c r="AJ124" s="565" t="s">
        <v>944</v>
      </c>
      <c r="AK124" s="565" t="s">
        <v>914</v>
      </c>
    </row>
    <row r="125">
      <c r="A125" s="534"/>
      <c r="B125" s="554" t="s">
        <v>936</v>
      </c>
      <c r="C125" s="554"/>
      <c r="D125" s="555">
        <f>SUM(D121:D124)</f>
      </c>
      <c r="E125" s="592">
        <f>SUM(E121:E124)</f>
      </c>
      <c r="F125" s="592">
        <f>SUM(F121:F124)</f>
      </c>
      <c r="G125" s="555">
        <f>SUM(G121:G124)</f>
      </c>
      <c r="H125" s="556">
        <f t="shared" si="5"/>
      </c>
      <c r="I125" s="557">
        <f t="shared" si="43"/>
      </c>
      <c r="J125" s="558">
        <f t="shared" si="96"/>
      </c>
      <c r="K125" s="559">
        <f t="shared" si="144"/>
      </c>
      <c r="L125" s="560">
        <f t="shared" si="238"/>
      </c>
      <c r="M125" s="559">
        <f t="shared" si="161"/>
      </c>
      <c r="N125" s="559">
        <f t="shared" si="257"/>
      </c>
      <c r="O125" s="561">
        <f t="shared" si="274"/>
      </c>
      <c r="P125" s="562">
        <f t="shared" si="21"/>
      </c>
      <c r="Q125" s="560"/>
      <c r="R125" s="560"/>
      <c r="S125" s="563">
        <f>SUM(S121:S124)</f>
      </c>
      <c r="T125" s="563">
        <f>SUM(T121:T124)</f>
      </c>
      <c r="U125" s="563">
        <f>SUM(U121:U124)</f>
      </c>
      <c r="V125" s="563">
        <f>SUM(V121:V124)</f>
      </c>
      <c r="W125" s="563">
        <f>SUM(W121:W124)</f>
      </c>
      <c r="X125" s="563">
        <f>SUM(X121:X124)</f>
      </c>
      <c r="Y125" s="563">
        <f>SUM(Y121:Y124)</f>
      </c>
      <c r="AA125" s="568">
        <f>SUM(AD118:AD121)</f>
      </c>
      <c r="AB125" s="568">
        <f>SUM(AE118:AE121)</f>
      </c>
      <c r="AC125" s="569">
        <f>AB125/((AK125*300)+AA125)</f>
      </c>
      <c r="AD125" s="570">
        <f>AA125/AJ125</f>
      </c>
      <c r="AE125" s="569">
        <f>AB125/AJ125</f>
      </c>
      <c r="AF125" s="571">
        <f>AJ125/AI125</f>
      </c>
      <c r="AG125" s="571">
        <f>AH125/AJ125</f>
      </c>
      <c r="AH125" s="572">
        <v>5</v>
      </c>
      <c r="AI125" s="572">
        <v>84</v>
      </c>
      <c r="AJ125" s="572">
        <f>AF122</f>
      </c>
      <c r="AK125" s="573">
        <f>AC122</f>
      </c>
    </row>
    <row r="126">
      <c r="A126" s="534"/>
      <c r="B126" s="535" t="s">
        <v>966</v>
      </c>
      <c r="C126" s="566" t="s">
        <v>948</v>
      </c>
      <c r="D126" s="594">
        <v>2001.49</v>
      </c>
      <c r="E126" s="519">
        <v>3</v>
      </c>
      <c r="F126" s="519">
        <v>2</v>
      </c>
      <c r="G126" s="595">
        <v>4975.1</v>
      </c>
      <c r="H126" s="538">
        <f t="shared" si="5"/>
      </c>
      <c r="I126" s="538">
        <f t="shared" si="43"/>
      </c>
      <c r="J126" s="538">
        <f t="shared" si="96"/>
      </c>
      <c r="K126" s="539">
        <f t="shared" si="144"/>
      </c>
      <c r="L126" s="540">
        <f t="shared" si="238"/>
      </c>
      <c r="M126" s="541">
        <f t="shared" si="161"/>
      </c>
      <c r="N126" s="541">
        <f t="shared" si="257"/>
      </c>
      <c r="O126" s="541">
        <f t="shared" si="274"/>
      </c>
      <c r="P126" s="542">
        <f t="shared" si="21"/>
      </c>
      <c r="Q126" s="543" t="s">
        <v>923</v>
      </c>
      <c r="R126" s="544" t="s">
        <v>949</v>
      </c>
      <c r="S126" s="575">
        <v>6113</v>
      </c>
      <c r="T126" s="575">
        <v>481</v>
      </c>
      <c r="U126" s="575">
        <v>692</v>
      </c>
      <c r="V126" s="575">
        <v>76</v>
      </c>
      <c r="W126" s="567">
        <v>3</v>
      </c>
      <c r="X126" s="567">
        <v>1</v>
      </c>
      <c r="Y126" s="577">
        <v>14</v>
      </c>
    </row>
    <row r="127">
      <c r="A127" s="534"/>
      <c r="B127" s="535" t="s">
        <v>966</v>
      </c>
      <c r="C127" s="552" t="s">
        <v>950</v>
      </c>
      <c r="D127" s="594">
        <v>3171.22</v>
      </c>
      <c r="E127" s="519">
        <v>3</v>
      </c>
      <c r="F127" s="519">
        <v>3</v>
      </c>
      <c r="G127" s="595">
        <v>7084.8</v>
      </c>
      <c r="H127" s="538">
        <f t="shared" si="5"/>
      </c>
      <c r="I127" s="538">
        <f t="shared" si="43"/>
      </c>
      <c r="J127" s="538">
        <f t="shared" si="96"/>
      </c>
      <c r="K127" s="539">
        <f t="shared" si="144"/>
      </c>
      <c r="L127" s="540">
        <f t="shared" si="238"/>
      </c>
      <c r="M127" s="541">
        <f t="shared" si="161"/>
      </c>
      <c r="N127" s="541">
        <f t="shared" si="257"/>
      </c>
      <c r="O127" s="541">
        <f t="shared" si="274"/>
      </c>
      <c r="P127" s="542">
        <f t="shared" si="21"/>
      </c>
      <c r="Q127" s="543" t="s">
        <v>923</v>
      </c>
      <c r="R127" s="544" t="s">
        <v>949</v>
      </c>
      <c r="S127" s="575">
        <v>12092</v>
      </c>
      <c r="T127" s="575">
        <v>943</v>
      </c>
      <c r="U127" s="575">
        <v>1231</v>
      </c>
      <c r="V127" s="575">
        <v>124</v>
      </c>
      <c r="W127" s="567">
        <v>3</v>
      </c>
      <c r="X127" s="567">
        <v>0</v>
      </c>
      <c r="Y127" s="577">
        <v>55</v>
      </c>
    </row>
    <row r="128">
      <c r="A128" s="534"/>
      <c r="B128" s="535" t="s">
        <v>966</v>
      </c>
      <c r="C128" s="552" t="s">
        <v>951</v>
      </c>
      <c r="D128" s="594">
        <v>3313.5</v>
      </c>
      <c r="E128" s="519">
        <v>2</v>
      </c>
      <c r="F128" s="519">
        <v>2</v>
      </c>
      <c r="G128" s="595">
        <v>1791.6</v>
      </c>
      <c r="H128" s="538">
        <f t="shared" si="5"/>
      </c>
      <c r="I128" s="538">
        <f t="shared" si="43"/>
      </c>
      <c r="J128" s="538">
        <f t="shared" si="96"/>
      </c>
      <c r="K128" s="539">
        <f t="shared" si="144"/>
      </c>
      <c r="L128" s="540">
        <f t="shared" si="238"/>
      </c>
      <c r="M128" s="541">
        <f t="shared" si="161"/>
      </c>
      <c r="N128" s="541">
        <f t="shared" si="257"/>
      </c>
      <c r="O128" s="541">
        <f t="shared" si="274"/>
      </c>
      <c r="P128" s="542">
        <f t="shared" si="21"/>
      </c>
      <c r="Q128" s="543" t="s">
        <v>923</v>
      </c>
      <c r="R128" s="544" t="s">
        <v>949</v>
      </c>
      <c r="S128" s="575">
        <v>12716</v>
      </c>
      <c r="T128" s="575">
        <v>1033</v>
      </c>
      <c r="U128" s="575">
        <v>1279</v>
      </c>
      <c r="V128" s="575">
        <v>147</v>
      </c>
      <c r="W128" s="567">
        <v>5</v>
      </c>
      <c r="X128" s="567">
        <v>0</v>
      </c>
      <c r="Y128" s="577">
        <v>39</v>
      </c>
    </row>
    <row r="129">
      <c r="A129" s="534"/>
      <c r="B129" s="535" t="s">
        <v>966</v>
      </c>
      <c r="C129" s="552" t="s">
        <v>953</v>
      </c>
      <c r="D129" s="594">
        <v>3327.84</v>
      </c>
      <c r="E129" s="519">
        <v>3</v>
      </c>
      <c r="F129" s="519">
        <v>3</v>
      </c>
      <c r="G129" s="595">
        <v>2001.6</v>
      </c>
      <c r="H129" s="538">
        <f t="shared" si="5"/>
      </c>
      <c r="I129" s="538">
        <f t="shared" si="43"/>
      </c>
      <c r="J129" s="538">
        <f t="shared" si="96"/>
      </c>
      <c r="K129" s="539">
        <f t="shared" si="144"/>
      </c>
      <c r="L129" s="540">
        <f t="shared" si="238"/>
      </c>
      <c r="M129" s="541">
        <f t="shared" si="161"/>
      </c>
      <c r="N129" s="541">
        <f t="shared" si="257"/>
      </c>
      <c r="O129" s="541">
        <f t="shared" si="274"/>
      </c>
      <c r="P129" s="542">
        <f t="shared" si="21"/>
      </c>
      <c r="Q129" s="543" t="s">
        <v>923</v>
      </c>
      <c r="R129" s="544" t="s">
        <v>949</v>
      </c>
      <c r="S129" s="575">
        <v>12283</v>
      </c>
      <c r="T129" s="575">
        <v>1072</v>
      </c>
      <c r="U129" s="575">
        <v>1346</v>
      </c>
      <c r="V129" s="575">
        <v>151</v>
      </c>
      <c r="W129" s="567">
        <v>5</v>
      </c>
      <c r="X129" s="567">
        <v>0</v>
      </c>
      <c r="Y129" s="577">
        <v>55</v>
      </c>
    </row>
    <row r="130">
      <c r="A130" s="534"/>
      <c r="B130" s="554" t="s">
        <v>936</v>
      </c>
      <c r="C130" s="554"/>
      <c r="D130" s="555">
        <f>SUM(D126:D129)</f>
      </c>
      <c r="E130" s="592">
        <f>SUM(E126:E129)</f>
      </c>
      <c r="F130" s="592">
        <f>SUM(F126:F129)</f>
      </c>
      <c r="G130" s="555">
        <f>SUM(G126:G129)</f>
      </c>
      <c r="H130" s="556">
        <f t="shared" si="5"/>
      </c>
      <c r="I130" s="557">
        <f t="shared" si="43"/>
      </c>
      <c r="J130" s="558">
        <f t="shared" si="96"/>
      </c>
      <c r="K130" s="559">
        <f t="shared" si="144"/>
      </c>
      <c r="L130" s="560">
        <f t="shared" si="238"/>
      </c>
      <c r="M130" s="559">
        <f t="shared" si="161"/>
      </c>
      <c r="N130" s="559">
        <f t="shared" si="257"/>
      </c>
      <c r="O130" s="561">
        <f t="shared" si="274"/>
      </c>
      <c r="P130" s="562">
        <f t="shared" si="21"/>
      </c>
      <c r="Q130" s="560"/>
      <c r="R130" s="560"/>
      <c r="S130" s="563">
        <f>SUM(S126:S129)</f>
      </c>
      <c r="T130" s="563">
        <f>SUM(T126:T129)</f>
      </c>
      <c r="U130" s="563">
        <f>SUM(U126:U129)</f>
      </c>
      <c r="V130" s="563">
        <f>SUM(V126:V129)</f>
      </c>
      <c r="W130" s="563">
        <f>SUM(W126:W129)</f>
      </c>
      <c r="X130" s="563">
        <f>SUM(X126:X129)</f>
      </c>
      <c r="Y130" s="563">
        <f>SUM(Y126:Y129)</f>
      </c>
    </row>
    <row r="131">
      <c r="A131" s="534"/>
      <c r="B131" s="535" t="s">
        <v>975</v>
      </c>
      <c r="C131" s="552" t="s">
        <v>954</v>
      </c>
      <c r="D131" s="594">
        <v>3660.82</v>
      </c>
      <c r="E131" s="519">
        <v>1</v>
      </c>
      <c r="F131" s="519">
        <v>1</v>
      </c>
      <c r="G131" s="595">
        <v>1098</v>
      </c>
      <c r="H131" s="538">
        <f t="shared" si="5"/>
      </c>
      <c r="I131" s="538">
        <f t="shared" si="43"/>
      </c>
      <c r="J131" s="538">
        <f t="shared" si="96"/>
      </c>
      <c r="K131" s="539">
        <f t="shared" si="144"/>
      </c>
      <c r="L131" s="540">
        <f t="shared" si="238"/>
      </c>
      <c r="M131" s="541">
        <f t="shared" si="161"/>
      </c>
      <c r="N131" s="541">
        <f t="shared" si="257"/>
      </c>
      <c r="O131" s="541">
        <f t="shared" si="274"/>
      </c>
      <c r="P131" s="542">
        <f t="shared" si="21"/>
      </c>
      <c r="Q131" s="543" t="s">
        <v>952</v>
      </c>
      <c r="R131" s="544" t="s">
        <v>949</v>
      </c>
      <c r="S131" s="575">
        <v>13648</v>
      </c>
      <c r="T131" s="575">
        <v>1193</v>
      </c>
      <c r="U131" s="575">
        <v>1429</v>
      </c>
      <c r="V131" s="575">
        <v>135</v>
      </c>
      <c r="W131" s="567">
        <v>3</v>
      </c>
      <c r="X131" s="567">
        <v>0</v>
      </c>
      <c r="Y131" s="577">
        <v>51</v>
      </c>
    </row>
    <row r="132">
      <c r="A132" s="534"/>
      <c r="B132" s="535" t="s">
        <v>975</v>
      </c>
      <c r="C132" s="536" t="s">
        <v>955</v>
      </c>
      <c r="D132" s="594">
        <v>4413.95</v>
      </c>
      <c r="E132" s="519">
        <v>3</v>
      </c>
      <c r="F132" s="519">
        <v>3</v>
      </c>
      <c r="G132" s="595">
        <v>3468</v>
      </c>
      <c r="H132" s="538">
        <f t="shared" si="5"/>
      </c>
      <c r="I132" s="538">
        <f t="shared" si="43"/>
      </c>
      <c r="J132" s="538">
        <f t="shared" si="96"/>
      </c>
      <c r="K132" s="539">
        <f t="shared" si="144"/>
      </c>
      <c r="L132" s="540">
        <f t="shared" si="238"/>
      </c>
      <c r="M132" s="541">
        <f t="shared" si="161"/>
      </c>
      <c r="N132" s="541">
        <f t="shared" si="257"/>
      </c>
      <c r="O132" s="541">
        <f t="shared" si="274"/>
      </c>
      <c r="P132" s="542">
        <f t="shared" si="21"/>
      </c>
      <c r="Q132" s="543" t="s">
        <v>952</v>
      </c>
      <c r="R132" s="544" t="s">
        <v>949</v>
      </c>
      <c r="S132" s="575">
        <v>14729</v>
      </c>
      <c r="T132" s="575">
        <v>1292</v>
      </c>
      <c r="U132" s="575">
        <v>1581</v>
      </c>
      <c r="V132" s="575">
        <v>143</v>
      </c>
      <c r="W132" s="567">
        <v>4</v>
      </c>
      <c r="X132" s="567">
        <v>0</v>
      </c>
      <c r="Y132" s="577">
        <v>55</v>
      </c>
    </row>
    <row r="133">
      <c r="A133" s="534"/>
      <c r="B133" s="535" t="s">
        <v>975</v>
      </c>
      <c r="C133" s="536" t="s">
        <v>956</v>
      </c>
      <c r="D133" s="594">
        <v>4594.71</v>
      </c>
      <c r="E133" s="519">
        <v>2</v>
      </c>
      <c r="F133" s="519">
        <v>2</v>
      </c>
      <c r="G133" s="595">
        <v>2295.6</v>
      </c>
      <c r="H133" s="538">
        <f t="shared" si="5"/>
      </c>
      <c r="I133" s="538">
        <f t="shared" si="43"/>
      </c>
      <c r="J133" s="538">
        <f t="shared" si="96"/>
      </c>
      <c r="K133" s="539">
        <f t="shared" si="144"/>
      </c>
      <c r="L133" s="540">
        <f t="shared" si="238"/>
      </c>
      <c r="M133" s="541">
        <f t="shared" si="161"/>
      </c>
      <c r="N133" s="541">
        <f t="shared" si="257"/>
      </c>
      <c r="O133" s="541">
        <f t="shared" si="274"/>
      </c>
      <c r="P133" s="542">
        <f t="shared" si="21"/>
      </c>
      <c r="Q133" s="543" t="s">
        <v>952</v>
      </c>
      <c r="R133" s="544" t="s">
        <v>949</v>
      </c>
      <c r="S133" s="575">
        <v>16215</v>
      </c>
      <c r="T133" s="575">
        <v>1509</v>
      </c>
      <c r="U133" s="575">
        <v>1796</v>
      </c>
      <c r="V133" s="575">
        <v>128</v>
      </c>
      <c r="W133" s="567">
        <v>5</v>
      </c>
      <c r="X133" s="567">
        <v>0</v>
      </c>
      <c r="Y133" s="577">
        <v>49</v>
      </c>
    </row>
    <row r="134">
      <c r="A134" s="534"/>
      <c r="B134" s="535" t="s">
        <v>975</v>
      </c>
      <c r="C134" s="536" t="s">
        <v>957</v>
      </c>
      <c r="D134" s="594">
        <v>2205.95</v>
      </c>
      <c r="E134" s="519">
        <v>0</v>
      </c>
      <c r="F134" s="519">
        <v>0</v>
      </c>
      <c r="G134" s="595">
        <v>0</v>
      </c>
      <c r="H134" s="538">
        <f t="shared" si="5"/>
      </c>
      <c r="I134" s="538">
        <f t="shared" si="43"/>
      </c>
      <c r="J134" s="538">
        <f t="shared" si="96"/>
      </c>
      <c r="K134" s="539">
        <f t="shared" si="144"/>
      </c>
      <c r="L134" s="540">
        <f t="shared" si="238"/>
      </c>
      <c r="M134" s="541">
        <f t="shared" si="161"/>
      </c>
      <c r="N134" s="541">
        <f t="shared" si="257"/>
      </c>
      <c r="O134" s="541">
        <f t="shared" si="274"/>
      </c>
      <c r="P134" s="542">
        <f t="shared" si="21"/>
      </c>
      <c r="Q134" s="543" t="s">
        <v>952</v>
      </c>
      <c r="R134" s="544" t="s">
        <v>949</v>
      </c>
      <c r="S134" s="575">
        <v>11468</v>
      </c>
      <c r="T134" s="575">
        <v>970</v>
      </c>
      <c r="U134" s="575">
        <v>1174</v>
      </c>
      <c r="V134" s="575">
        <v>92</v>
      </c>
      <c r="W134" s="567">
        <v>3</v>
      </c>
      <c r="X134" s="567">
        <v>0</v>
      </c>
      <c r="Y134" s="577">
        <v>31</v>
      </c>
    </row>
    <row r="135">
      <c r="A135" s="534"/>
      <c r="B135" s="554" t="s">
        <v>936</v>
      </c>
      <c r="C135" s="554"/>
      <c r="D135" s="555">
        <f>SUM(D131:D134)</f>
      </c>
      <c r="E135" s="592">
        <f>SUM(E131:E134)</f>
      </c>
      <c r="F135" s="592">
        <f>SUM(F131:F134)</f>
      </c>
      <c r="G135" s="555">
        <f>SUM(G131:G134)</f>
      </c>
      <c r="H135" s="556">
        <f t="shared" si="5"/>
      </c>
      <c r="I135" s="557">
        <f t="shared" si="43"/>
      </c>
      <c r="J135" s="558">
        <f t="shared" si="96"/>
      </c>
      <c r="K135" s="559">
        <f t="shared" si="144"/>
      </c>
      <c r="L135" s="560">
        <f t="shared" si="238"/>
      </c>
      <c r="M135" s="559">
        <f t="shared" si="161"/>
      </c>
      <c r="N135" s="559">
        <f t="shared" si="257"/>
      </c>
      <c r="O135" s="561">
        <f t="shared" si="274"/>
      </c>
      <c r="P135" s="562">
        <f t="shared" si="21"/>
      </c>
      <c r="Q135" s="560"/>
      <c r="R135" s="560"/>
      <c r="S135" s="563">
        <f>SUM(S131:S134)</f>
      </c>
      <c r="T135" s="563">
        <f>SUM(T131:T134)</f>
      </c>
      <c r="U135" s="563">
        <f>SUM(U131:U134)</f>
      </c>
      <c r="V135" s="563">
        <f>SUM(V131:V134)</f>
      </c>
      <c r="W135" s="563">
        <f>SUM(W131:W134)</f>
      </c>
      <c r="X135" s="563">
        <f>SUM(X131:X134)</f>
      </c>
      <c r="Y135" s="563">
        <f>SUM(Y131:Y134)</f>
      </c>
    </row>
    <row r="136">
      <c r="A136" s="534"/>
      <c r="B136" s="579" t="s">
        <v>958</v>
      </c>
      <c r="C136" s="579"/>
      <c r="D136" s="580">
        <f>D120+D125+D135+D130</f>
      </c>
      <c r="E136" s="583">
        <f>E120+E125+E135+E130</f>
      </c>
      <c r="F136" s="583">
        <f>F120+F125+F135+F130</f>
      </c>
      <c r="G136" s="580">
        <f>G120+G125+G130+G135</f>
      </c>
      <c r="H136" s="579">
        <f t="shared" si="5"/>
      </c>
      <c r="I136" s="579">
        <f t="shared" si="43"/>
      </c>
      <c r="J136" s="579">
        <f t="shared" si="96"/>
      </c>
      <c r="K136" s="581">
        <f t="shared" si="144"/>
      </c>
      <c r="L136" s="579">
        <f t="shared" si="238"/>
      </c>
      <c r="M136" s="581">
        <f t="shared" si="161"/>
      </c>
      <c r="N136" s="581">
        <f t="shared" si="257"/>
      </c>
      <c r="O136" s="581">
        <f t="shared" si="274"/>
      </c>
      <c r="P136" s="579">
        <f t="shared" si="21"/>
      </c>
      <c r="Q136" s="582"/>
      <c r="R136" s="582"/>
      <c r="S136" s="583">
        <f>S120+S125+S135+S130</f>
      </c>
      <c r="T136" s="583">
        <f>T120+T125+T135+T130</f>
      </c>
      <c r="U136" s="583">
        <f>U120+U125+U135+U130</f>
      </c>
      <c r="V136" s="583">
        <f>V120+V125+V135+V130</f>
      </c>
      <c r="W136" s="583">
        <f>W120+W125+W135+W130</f>
      </c>
      <c r="X136" s="583">
        <f>X120+X125+X135+X130</f>
      </c>
      <c r="Y136" s="583">
        <f>Y120+Y125+Y135+Y130</f>
      </c>
    </row>
    <row r="137">
      <c r="A137" s="515" t="s">
        <v>882</v>
      </c>
      <c r="B137" s="515"/>
      <c r="C137" s="515"/>
      <c r="D137" s="516" t="s">
        <v>883</v>
      </c>
      <c r="E137" s="516"/>
      <c r="F137" s="516"/>
      <c r="G137" s="516"/>
      <c r="H137" s="516"/>
      <c r="I137" s="516"/>
      <c r="J137" s="516"/>
      <c r="K137" s="517" t="s">
        <v>884</v>
      </c>
      <c r="L137" s="517"/>
      <c r="M137" s="517"/>
      <c r="N137" s="517"/>
      <c r="O137" s="517"/>
      <c r="P137" s="517"/>
      <c r="Q137" s="517"/>
      <c r="R137" s="517"/>
      <c r="S137" s="589" t="s">
        <v>885</v>
      </c>
      <c r="T137" s="589"/>
      <c r="U137" s="589"/>
      <c r="V137" s="589"/>
      <c r="W137" s="589"/>
      <c r="X137" s="589"/>
      <c r="Y137" s="589"/>
      <c r="AA137" s="520" t="s">
        <v>982</v>
      </c>
      <c r="AB137" s="520"/>
      <c r="AC137" s="520"/>
      <c r="AD137" s="520"/>
      <c r="AE137" s="520"/>
      <c r="AF137" s="520"/>
      <c r="AG137" s="520"/>
      <c r="AH137" s="520"/>
      <c r="AI137" s="520"/>
      <c r="AJ137" s="520"/>
      <c r="AK137" s="520"/>
    </row>
    <row r="138">
      <c r="A138" s="521" t="s">
        <v>887</v>
      </c>
      <c r="B138" s="521" t="s">
        <v>888</v>
      </c>
      <c r="C138" s="521" t="s">
        <v>889</v>
      </c>
      <c r="D138" s="522" t="s">
        <v>890</v>
      </c>
      <c r="E138" s="523" t="s">
        <v>891</v>
      </c>
      <c r="F138" s="524" t="s">
        <v>892</v>
      </c>
      <c r="G138" s="522" t="s">
        <v>893</v>
      </c>
      <c r="H138" s="525" t="s">
        <v>894</v>
      </c>
      <c r="I138" s="526" t="s">
        <v>895</v>
      </c>
      <c r="J138" s="522" t="s">
        <v>896</v>
      </c>
      <c r="K138" s="527" t="s">
        <v>897</v>
      </c>
      <c r="L138" s="528" t="s">
        <v>898</v>
      </c>
      <c r="M138" s="527" t="s">
        <v>899</v>
      </c>
      <c r="N138" s="527" t="s">
        <v>900</v>
      </c>
      <c r="O138" s="529" t="s">
        <v>901</v>
      </c>
      <c r="P138" s="529" t="s">
        <v>902</v>
      </c>
      <c r="Q138" s="530" t="s">
        <v>903</v>
      </c>
      <c r="R138" s="530" t="s">
        <v>904</v>
      </c>
      <c r="S138" s="585" t="s">
        <v>905</v>
      </c>
      <c r="T138" s="585" t="s">
        <v>906</v>
      </c>
      <c r="U138" s="585" t="s">
        <v>907</v>
      </c>
      <c r="V138" s="585" t="s">
        <v>908</v>
      </c>
      <c r="W138" s="585" t="s">
        <v>909</v>
      </c>
      <c r="X138" s="585" t="s">
        <v>910</v>
      </c>
      <c r="Y138" s="586" t="s">
        <v>911</v>
      </c>
      <c r="AA138" s="533" t="s">
        <v>912</v>
      </c>
      <c r="AB138" s="533" t="s">
        <v>913</v>
      </c>
      <c r="AC138" s="533" t="s">
        <v>914</v>
      </c>
      <c r="AD138" s="533" t="s">
        <v>915</v>
      </c>
      <c r="AE138" s="533" t="s">
        <v>916</v>
      </c>
      <c r="AF138" s="533" t="s">
        <v>917</v>
      </c>
      <c r="AG138" s="533" t="s">
        <v>896</v>
      </c>
      <c r="AH138" s="533" t="s">
        <v>918</v>
      </c>
      <c r="AI138" s="533" t="s">
        <v>894</v>
      </c>
      <c r="AJ138" s="533" t="s">
        <v>919</v>
      </c>
      <c r="AK138" s="533"/>
    </row>
    <row r="139">
      <c r="A139" s="534" t="s">
        <v>983</v>
      </c>
      <c r="B139" s="535" t="s">
        <v>930</v>
      </c>
      <c r="C139" s="536" t="s">
        <v>922</v>
      </c>
      <c r="D139" s="535">
        <v>2873.36</v>
      </c>
      <c r="E139" s="519">
        <v>1</v>
      </c>
      <c r="F139" s="519">
        <v>1</v>
      </c>
      <c r="G139" s="590">
        <v>1197.6</v>
      </c>
      <c r="H139" s="538">
        <f t="shared" ref="H139:H159" si="6">G139/D139</f>
      </c>
      <c r="I139" s="538">
        <f t="shared" ref="I139:I159" si="44">D139/E139</f>
      </c>
      <c r="J139" s="538">
        <f t="shared" ref="J139:J159" si="97">G139/E139</f>
      </c>
      <c r="K139" s="539">
        <f t="shared" ref="K139:K159" si="145">T139/S139</f>
      </c>
      <c r="L139" s="540">
        <f t="shared" ref="L139:L159" si="239">D139/U139</f>
      </c>
      <c r="M139" s="541">
        <f t="shared" ref="M139:M159" si="162">V139/U139</f>
      </c>
      <c r="N139" s="541">
        <f t="shared" ref="N139:N159" si="258">E139/W139</f>
      </c>
      <c r="O139" s="541">
        <f t="shared" ref="O139:O159" si="275">X139/E139</f>
      </c>
      <c r="P139" s="542">
        <f t="shared" ref="P139:P159" si="22">(Y139*1000)/D139</f>
      </c>
      <c r="Q139" s="543" t="s">
        <v>923</v>
      </c>
      <c r="R139" s="544" t="s">
        <v>969</v>
      </c>
      <c r="S139" s="545">
        <v>9225</v>
      </c>
      <c r="T139" s="545">
        <v>1301</v>
      </c>
      <c r="U139" s="545">
        <v>1657</v>
      </c>
      <c r="V139" s="545">
        <v>120</v>
      </c>
      <c r="W139" s="545">
        <v>1</v>
      </c>
      <c r="X139" s="545">
        <v>0</v>
      </c>
      <c r="Y139" s="574">
        <v>63</v>
      </c>
      <c r="AA139" s="546" t="s">
        <v>930</v>
      </c>
      <c r="AB139" s="547" t="s">
        <v>974</v>
      </c>
      <c r="AC139" s="546">
        <v>4</v>
      </c>
      <c r="AD139" s="546">
        <v>11599.45</v>
      </c>
      <c r="AE139" s="546">
        <v>18081.2</v>
      </c>
      <c r="AF139" s="546">
        <v>16</v>
      </c>
      <c r="AG139" s="549">
        <f t="shared" ref="AG139:AG143" si="76">AE139/AF139</f>
      </c>
      <c r="AH139" s="549">
        <f t="shared" ref="AH139:AH143" si="129">AD139/AF139</f>
      </c>
      <c r="AI139" s="549">
        <f t="shared" ref="AI139:AI143" si="194">AE139/AD139</f>
      </c>
      <c r="AJ139" s="548">
        <f t="shared" ref="AJ139:AJ143" si="223">AD139/AC139</f>
      </c>
      <c r="AK139" s="548"/>
    </row>
    <row r="140">
      <c r="A140" s="534"/>
      <c r="B140" s="535" t="s">
        <v>930</v>
      </c>
      <c r="C140" s="535" t="s">
        <v>926</v>
      </c>
      <c r="D140" s="535">
        <v>2989.74</v>
      </c>
      <c r="E140" s="519">
        <v>7</v>
      </c>
      <c r="F140" s="519">
        <v>6</v>
      </c>
      <c r="G140" s="584">
        <v>5266.4</v>
      </c>
      <c r="H140" s="538">
        <f t="shared" si="6"/>
      </c>
      <c r="I140" s="538">
        <f t="shared" si="44"/>
      </c>
      <c r="J140" s="538">
        <f t="shared" si="97"/>
      </c>
      <c r="K140" s="539">
        <f t="shared" si="145"/>
      </c>
      <c r="L140" s="540">
        <f t="shared" si="239"/>
      </c>
      <c r="M140" s="541">
        <f t="shared" si="162"/>
      </c>
      <c r="N140" s="541">
        <f t="shared" si="258"/>
      </c>
      <c r="O140" s="541">
        <f t="shared" si="275"/>
      </c>
      <c r="P140" s="542">
        <f t="shared" si="22"/>
      </c>
      <c r="Q140" s="543" t="s">
        <v>923</v>
      </c>
      <c r="R140" s="544" t="s">
        <v>969</v>
      </c>
      <c r="S140" s="545">
        <v>8640</v>
      </c>
      <c r="T140" s="545">
        <v>1200</v>
      </c>
      <c r="U140" s="545">
        <v>1437</v>
      </c>
      <c r="V140" s="545">
        <v>139</v>
      </c>
      <c r="W140" s="545">
        <v>7</v>
      </c>
      <c r="X140" s="545">
        <v>0</v>
      </c>
      <c r="Y140" s="584">
        <v>52</v>
      </c>
      <c r="AA140" s="546" t="s">
        <v>961</v>
      </c>
      <c r="AB140" s="547" t="s">
        <v>976</v>
      </c>
      <c r="AC140" s="546">
        <v>4</v>
      </c>
      <c r="AD140" s="546">
        <v>6669.96</v>
      </c>
      <c r="AE140" s="546">
        <v>5762.2</v>
      </c>
      <c r="AF140" s="546">
        <v>8</v>
      </c>
      <c r="AG140" s="549">
        <f t="shared" si="76"/>
      </c>
      <c r="AH140" s="549">
        <f t="shared" si="129"/>
      </c>
      <c r="AI140" s="549">
        <f t="shared" si="194"/>
      </c>
      <c r="AJ140" s="548">
        <f t="shared" si="223"/>
      </c>
      <c r="AK140" s="548"/>
    </row>
    <row r="141">
      <c r="A141" s="534"/>
      <c r="B141" s="535" t="s">
        <v>930</v>
      </c>
      <c r="C141" s="535" t="s">
        <v>929</v>
      </c>
      <c r="D141" s="535">
        <v>3277.09</v>
      </c>
      <c r="E141" s="519">
        <v>6</v>
      </c>
      <c r="F141" s="519">
        <v>4</v>
      </c>
      <c r="G141" s="584">
        <v>8321.199999999999</v>
      </c>
      <c r="H141" s="538">
        <f t="shared" si="6"/>
      </c>
      <c r="I141" s="538">
        <f t="shared" si="44"/>
      </c>
      <c r="J141" s="538">
        <f t="shared" si="97"/>
      </c>
      <c r="K141" s="539">
        <f t="shared" si="145"/>
      </c>
      <c r="L141" s="540">
        <f t="shared" si="239"/>
      </c>
      <c r="M141" s="541">
        <f t="shared" si="162"/>
      </c>
      <c r="N141" s="541">
        <f t="shared" si="258"/>
      </c>
      <c r="O141" s="541">
        <f t="shared" si="275"/>
      </c>
      <c r="P141" s="542">
        <f t="shared" si="22"/>
      </c>
      <c r="Q141" s="543" t="s">
        <v>923</v>
      </c>
      <c r="R141" s="544" t="s">
        <v>969</v>
      </c>
      <c r="S141" s="545">
        <v>10302</v>
      </c>
      <c r="T141" s="545">
        <v>1281</v>
      </c>
      <c r="U141" s="545">
        <v>1502</v>
      </c>
      <c r="V141" s="545">
        <v>129</v>
      </c>
      <c r="W141" s="545">
        <v>3</v>
      </c>
      <c r="X141" s="545">
        <v>1</v>
      </c>
      <c r="Y141" s="584">
        <v>49</v>
      </c>
      <c r="AA141" s="546" t="s">
        <v>927</v>
      </c>
      <c r="AB141" s="547" t="s">
        <v>981</v>
      </c>
      <c r="AC141" s="546">
        <v>4</v>
      </c>
      <c r="AD141" s="546">
        <v>8375.2</v>
      </c>
      <c r="AE141" s="546">
        <v>12608.4</v>
      </c>
      <c r="AF141" s="546">
        <v>12</v>
      </c>
      <c r="AG141" s="549">
        <f t="shared" si="76"/>
      </c>
      <c r="AH141" s="549">
        <f t="shared" si="129"/>
      </c>
      <c r="AI141" s="549">
        <f t="shared" si="194"/>
      </c>
      <c r="AJ141" s="548">
        <f t="shared" si="223"/>
      </c>
      <c r="AK141" s="548"/>
    </row>
    <row r="142">
      <c r="A142" s="534"/>
      <c r="B142" s="535" t="s">
        <v>930</v>
      </c>
      <c r="C142" s="535" t="s">
        <v>932</v>
      </c>
      <c r="D142" s="535">
        <v>2459.26</v>
      </c>
      <c r="E142" s="519">
        <v>2</v>
      </c>
      <c r="F142" s="519">
        <v>1</v>
      </c>
      <c r="G142" s="584">
        <v>3295.999999999998</v>
      </c>
      <c r="H142" s="538">
        <f t="shared" si="6"/>
      </c>
      <c r="I142" s="538">
        <f t="shared" si="44"/>
      </c>
      <c r="J142" s="538">
        <f t="shared" si="97"/>
      </c>
      <c r="K142" s="539">
        <f t="shared" si="145"/>
      </c>
      <c r="L142" s="540">
        <f t="shared" si="239"/>
      </c>
      <c r="M142" s="541">
        <f t="shared" si="162"/>
      </c>
      <c r="N142" s="541">
        <f t="shared" si="258"/>
      </c>
      <c r="O142" s="541">
        <f t="shared" si="275"/>
      </c>
      <c r="P142" s="542">
        <f t="shared" si="22"/>
      </c>
      <c r="Q142" s="543" t="s">
        <v>923</v>
      </c>
      <c r="R142" s="544" t="s">
        <v>969</v>
      </c>
      <c r="S142" s="545">
        <v>7066</v>
      </c>
      <c r="T142" s="545">
        <v>786</v>
      </c>
      <c r="U142" s="545">
        <v>947</v>
      </c>
      <c r="V142" s="545">
        <v>119</v>
      </c>
      <c r="W142" s="545">
        <v>6</v>
      </c>
      <c r="X142" s="567">
        <v>0</v>
      </c>
      <c r="Y142" s="574">
        <v>59</v>
      </c>
      <c r="AA142" s="546" t="s">
        <v>966</v>
      </c>
      <c r="AB142" s="547" t="s">
        <v>968</v>
      </c>
      <c r="AC142" s="546">
        <v>4</v>
      </c>
      <c r="AD142" s="546">
        <v>8727.71</v>
      </c>
      <c r="AE142" s="546">
        <v>19840.8</v>
      </c>
      <c r="AF142" s="546">
        <v>11</v>
      </c>
      <c r="AG142" s="549">
        <f t="shared" si="76"/>
      </c>
      <c r="AH142" s="549">
        <f t="shared" si="129"/>
      </c>
      <c r="AI142" s="549">
        <f t="shared" si="194"/>
      </c>
      <c r="AJ142" s="548">
        <f t="shared" si="223"/>
      </c>
      <c r="AK142" s="548"/>
    </row>
    <row r="143">
      <c r="A143" s="534"/>
      <c r="B143" s="554" t="s">
        <v>936</v>
      </c>
      <c r="C143" s="554"/>
      <c r="D143" s="555">
        <f>SUM(D139:D142)</f>
      </c>
      <c r="E143" s="592">
        <f>SUM(E139:E142)</f>
      </c>
      <c r="F143" s="592">
        <f>SUM(F139:F142)</f>
      </c>
      <c r="G143" s="555">
        <f>SUM(G139:G142)</f>
      </c>
      <c r="H143" s="556">
        <f t="shared" si="6"/>
      </c>
      <c r="I143" s="557">
        <f t="shared" si="44"/>
      </c>
      <c r="J143" s="558">
        <f t="shared" si="97"/>
      </c>
      <c r="K143" s="559">
        <f t="shared" si="145"/>
      </c>
      <c r="L143" s="560">
        <f t="shared" si="239"/>
      </c>
      <c r="M143" s="559">
        <f t="shared" si="162"/>
      </c>
      <c r="N143" s="559">
        <f t="shared" si="258"/>
      </c>
      <c r="O143" s="561">
        <f t="shared" si="275"/>
      </c>
      <c r="P143" s="562">
        <f t="shared" si="22"/>
      </c>
      <c r="Q143" s="560"/>
      <c r="R143" s="560"/>
      <c r="S143" s="563">
        <f>SUM(S139:S142)</f>
      </c>
      <c r="T143" s="563">
        <f>SUM(T139:T142)</f>
      </c>
      <c r="U143" s="563">
        <f>SUM(U139:U142)</f>
      </c>
      <c r="V143" s="563">
        <f>SUM(V139:V142)</f>
      </c>
      <c r="W143" s="563">
        <f>SUM(W139:W142)</f>
      </c>
      <c r="X143" s="563">
        <f>SUM(X139:X142)</f>
      </c>
      <c r="Y143" s="563">
        <f>SUM(Y139:Y142)</f>
      </c>
      <c r="AA143" s="533" t="s">
        <v>933</v>
      </c>
      <c r="AB143" s="533"/>
      <c r="AC143" s="533">
        <f>SUM(AC139:AC142)</f>
      </c>
      <c r="AD143" s="533">
        <f>SUM(AD139:AD142)</f>
      </c>
      <c r="AE143" s="533">
        <f>SUM(AE139:AE142)</f>
      </c>
      <c r="AF143" s="533">
        <f>SUM(AF139:AF142)</f>
      </c>
      <c r="AG143" s="551">
        <f t="shared" si="76"/>
      </c>
      <c r="AH143" s="551">
        <f t="shared" si="129"/>
      </c>
      <c r="AI143" s="551">
        <f t="shared" si="194"/>
      </c>
      <c r="AJ143" s="550">
        <f t="shared" si="223"/>
      </c>
      <c r="AK143" s="550"/>
    </row>
    <row r="144">
      <c r="A144" s="534"/>
      <c r="B144" s="535" t="s">
        <v>961</v>
      </c>
      <c r="C144" s="552" t="s">
        <v>934</v>
      </c>
      <c r="D144" s="535">
        <v>1881.74</v>
      </c>
      <c r="E144" s="519">
        <v>0</v>
      </c>
      <c r="F144" s="519">
        <v>0</v>
      </c>
      <c r="G144" s="574">
        <v>0</v>
      </c>
      <c r="H144" s="538">
        <f t="shared" si="6"/>
      </c>
      <c r="I144" s="538">
        <f t="shared" si="44"/>
      </c>
      <c r="J144" s="538">
        <f t="shared" si="97"/>
      </c>
      <c r="K144" s="539">
        <f t="shared" si="145"/>
      </c>
      <c r="L144" s="540">
        <f t="shared" si="239"/>
      </c>
      <c r="M144" s="541">
        <f t="shared" si="162"/>
      </c>
      <c r="N144" s="541">
        <f t="shared" si="258"/>
      </c>
      <c r="O144" s="541">
        <f t="shared" si="275"/>
      </c>
      <c r="P144" s="542">
        <f t="shared" si="22"/>
      </c>
      <c r="Q144" s="543" t="s">
        <v>923</v>
      </c>
      <c r="R144" s="544" t="s">
        <v>969</v>
      </c>
      <c r="S144" s="545">
        <v>6554</v>
      </c>
      <c r="T144" s="545">
        <v>752</v>
      </c>
      <c r="U144" s="545">
        <v>944</v>
      </c>
      <c r="V144" s="545">
        <v>90</v>
      </c>
      <c r="W144" s="567">
        <v>3</v>
      </c>
      <c r="X144" s="567">
        <v>0</v>
      </c>
      <c r="Y144" s="577">
        <v>23</v>
      </c>
      <c r="AA144" s="553" t="s">
        <v>935</v>
      </c>
      <c r="AB144" s="553"/>
      <c r="AC144" s="553"/>
      <c r="AD144" s="553"/>
      <c r="AE144" s="553"/>
      <c r="AF144" s="553"/>
      <c r="AG144" s="553"/>
      <c r="AH144" s="553"/>
      <c r="AI144" s="553"/>
      <c r="AJ144" s="553"/>
      <c r="AK144" s="553"/>
    </row>
    <row r="145">
      <c r="A145" s="534"/>
      <c r="B145" s="535" t="s">
        <v>961</v>
      </c>
      <c r="C145" s="566" t="s">
        <v>945</v>
      </c>
      <c r="D145" s="535">
        <v>1634.34</v>
      </c>
      <c r="E145" s="519">
        <v>3</v>
      </c>
      <c r="F145" s="519">
        <v>2</v>
      </c>
      <c r="G145" s="593">
        <v>1423.2000000000007</v>
      </c>
      <c r="H145" s="538">
        <f t="shared" si="6"/>
      </c>
      <c r="I145" s="538">
        <f t="shared" si="44"/>
      </c>
      <c r="J145" s="538">
        <f t="shared" si="97"/>
      </c>
      <c r="K145" s="539">
        <f t="shared" si="145"/>
      </c>
      <c r="L145" s="540">
        <f t="shared" si="239"/>
      </c>
      <c r="M145" s="541">
        <f t="shared" si="162"/>
      </c>
      <c r="N145" s="541">
        <f t="shared" si="258"/>
      </c>
      <c r="O145" s="541">
        <f t="shared" si="275"/>
      </c>
      <c r="P145" s="542">
        <f t="shared" si="22"/>
      </c>
      <c r="Q145" s="543" t="s">
        <v>923</v>
      </c>
      <c r="R145" s="544" t="s">
        <v>969</v>
      </c>
      <c r="S145" s="545">
        <v>747</v>
      </c>
      <c r="T145" s="545">
        <v>108</v>
      </c>
      <c r="U145" s="545">
        <v>152</v>
      </c>
      <c r="V145" s="545">
        <v>21</v>
      </c>
      <c r="W145" s="567">
        <v>6</v>
      </c>
      <c r="X145" s="567">
        <v>2</v>
      </c>
      <c r="Y145" s="577">
        <v>37</v>
      </c>
      <c r="AA145" s="564" t="s">
        <v>915</v>
      </c>
      <c r="AB145" s="564" t="s">
        <v>937</v>
      </c>
      <c r="AC145" s="564" t="s">
        <v>938</v>
      </c>
      <c r="AD145" s="564" t="s">
        <v>939</v>
      </c>
      <c r="AE145" s="564" t="s">
        <v>940</v>
      </c>
      <c r="AF145" s="564" t="s">
        <v>941</v>
      </c>
      <c r="AG145" s="564" t="s">
        <v>942</v>
      </c>
      <c r="AH145" s="565" t="s">
        <v>910</v>
      </c>
      <c r="AI145" s="565" t="s">
        <v>943</v>
      </c>
      <c r="AJ145" s="565" t="s">
        <v>944</v>
      </c>
      <c r="AK145" s="565" t="s">
        <v>914</v>
      </c>
    </row>
    <row r="146">
      <c r="A146" s="534"/>
      <c r="B146" s="535" t="s">
        <v>961</v>
      </c>
      <c r="C146" s="566" t="s">
        <v>946</v>
      </c>
      <c r="D146" s="535">
        <v>1398.75</v>
      </c>
      <c r="E146" s="519">
        <v>2</v>
      </c>
      <c r="F146" s="519">
        <v>1</v>
      </c>
      <c r="G146" s="584">
        <v>2086.5999999999985</v>
      </c>
      <c r="H146" s="538">
        <f t="shared" si="6"/>
      </c>
      <c r="I146" s="538">
        <f t="shared" si="44"/>
      </c>
      <c r="J146" s="538">
        <f t="shared" si="97"/>
      </c>
      <c r="K146" s="539">
        <f t="shared" si="145"/>
      </c>
      <c r="L146" s="540">
        <f t="shared" si="239"/>
      </c>
      <c r="M146" s="541">
        <f t="shared" si="162"/>
      </c>
      <c r="N146" s="541">
        <f t="shared" si="258"/>
      </c>
      <c r="O146" s="541">
        <f t="shared" si="275"/>
      </c>
      <c r="P146" s="542">
        <f t="shared" si="22"/>
      </c>
      <c r="Q146" s="543" t="s">
        <v>923</v>
      </c>
      <c r="R146" s="544" t="s">
        <v>969</v>
      </c>
      <c r="S146" s="545">
        <v>3461</v>
      </c>
      <c r="T146" s="545">
        <v>423</v>
      </c>
      <c r="U146" s="545">
        <v>555</v>
      </c>
      <c r="V146" s="545">
        <v>49</v>
      </c>
      <c r="W146" s="567">
        <v>1</v>
      </c>
      <c r="X146" s="567">
        <v>1</v>
      </c>
      <c r="Y146" s="577">
        <v>26</v>
      </c>
      <c r="AA146" s="568">
        <f>SUM(AD139:AD142)</f>
      </c>
      <c r="AB146" s="568">
        <f>SUM(AE139:AE142)</f>
      </c>
      <c r="AC146" s="569">
        <f>AB146/((AK146*300)+AA146)</f>
      </c>
      <c r="AD146" s="570">
        <f>AA146/AJ146</f>
      </c>
      <c r="AE146" s="569">
        <f>AB146/AJ146</f>
      </c>
      <c r="AF146" s="571">
        <f>AJ146/AI146</f>
      </c>
      <c r="AG146" s="571">
        <f>AH146/AJ146</f>
      </c>
      <c r="AH146" s="572">
        <v>8</v>
      </c>
      <c r="AI146" s="572">
        <v>89</v>
      </c>
      <c r="AJ146" s="572">
        <f>AF143</f>
      </c>
      <c r="AK146" s="573">
        <f>AC143</f>
      </c>
    </row>
    <row r="147">
      <c r="A147" s="534"/>
      <c r="B147" s="535" t="s">
        <v>961</v>
      </c>
      <c r="C147" s="566" t="s">
        <v>947</v>
      </c>
      <c r="D147" s="535">
        <v>1755.13</v>
      </c>
      <c r="E147" s="519">
        <v>3</v>
      </c>
      <c r="F147" s="519">
        <v>3</v>
      </c>
      <c r="G147" s="574">
        <v>2252.399999999998</v>
      </c>
      <c r="H147" s="538">
        <f t="shared" si="6"/>
      </c>
      <c r="I147" s="538">
        <f t="shared" si="44"/>
      </c>
      <c r="J147" s="538">
        <f t="shared" si="97"/>
      </c>
      <c r="K147" s="539">
        <f t="shared" si="145"/>
      </c>
      <c r="L147" s="540">
        <f t="shared" si="239"/>
      </c>
      <c r="M147" s="541">
        <f t="shared" si="162"/>
      </c>
      <c r="N147" s="541">
        <f t="shared" si="258"/>
      </c>
      <c r="O147" s="541">
        <f t="shared" si="275"/>
      </c>
      <c r="P147" s="542">
        <f t="shared" si="22"/>
      </c>
      <c r="Q147" s="543" t="s">
        <v>923</v>
      </c>
      <c r="R147" s="544" t="s">
        <v>969</v>
      </c>
      <c r="S147" s="545">
        <v>6175</v>
      </c>
      <c r="T147" s="545">
        <v>610</v>
      </c>
      <c r="U147" s="545">
        <v>801</v>
      </c>
      <c r="V147" s="545">
        <v>98</v>
      </c>
      <c r="W147" s="567">
        <v>7</v>
      </c>
      <c r="X147" s="567">
        <v>0</v>
      </c>
      <c r="Y147" s="577">
        <v>40</v>
      </c>
    </row>
    <row r="148">
      <c r="A148" s="534"/>
      <c r="B148" s="554" t="s">
        <v>936</v>
      </c>
      <c r="C148" s="554"/>
      <c r="D148" s="555">
        <f>SUM(D144:D147)</f>
      </c>
      <c r="E148" s="592">
        <f>SUM(E144:E147)</f>
      </c>
      <c r="F148" s="592">
        <f>SUM(F144:F147)</f>
      </c>
      <c r="G148" s="555">
        <f>SUM(G144:G147)</f>
      </c>
      <c r="H148" s="556">
        <f t="shared" si="6"/>
      </c>
      <c r="I148" s="557">
        <f t="shared" si="44"/>
      </c>
      <c r="J148" s="558">
        <f t="shared" si="97"/>
      </c>
      <c r="K148" s="559">
        <f t="shared" si="145"/>
      </c>
      <c r="L148" s="560">
        <f t="shared" si="239"/>
      </c>
      <c r="M148" s="559">
        <f t="shared" si="162"/>
      </c>
      <c r="N148" s="559">
        <f t="shared" si="258"/>
      </c>
      <c r="O148" s="561">
        <f t="shared" si="275"/>
      </c>
      <c r="P148" s="562">
        <f t="shared" si="22"/>
      </c>
      <c r="Q148" s="560"/>
      <c r="R148" s="560"/>
      <c r="S148" s="563">
        <f>SUM(S144:S147)</f>
      </c>
      <c r="T148" s="563">
        <f>SUM(T144:T147)</f>
      </c>
      <c r="U148" s="563">
        <f>SUM(U144:U147)</f>
      </c>
      <c r="V148" s="563">
        <f>SUM(V144:V147)</f>
      </c>
      <c r="W148" s="563">
        <f>SUM(W144:W147)</f>
      </c>
      <c r="X148" s="563">
        <f>SUM(X144:X147)</f>
      </c>
      <c r="Y148" s="563">
        <f>SUM(Y144:Y147)</f>
      </c>
    </row>
    <row r="149">
      <c r="A149" s="534"/>
      <c r="B149" s="535" t="s">
        <v>927</v>
      </c>
      <c r="C149" s="566" t="s">
        <v>948</v>
      </c>
      <c r="D149" s="594">
        <v>2613.41</v>
      </c>
      <c r="E149" s="519">
        <v>2</v>
      </c>
      <c r="F149" s="519">
        <v>2</v>
      </c>
      <c r="G149" s="595">
        <v>4141.2</v>
      </c>
      <c r="H149" s="538">
        <f t="shared" si="6"/>
      </c>
      <c r="I149" s="538">
        <f t="shared" si="44"/>
      </c>
      <c r="J149" s="538">
        <f t="shared" si="97"/>
      </c>
      <c r="K149" s="539">
        <f t="shared" si="145"/>
      </c>
      <c r="L149" s="540">
        <f t="shared" si="239"/>
      </c>
      <c r="M149" s="541">
        <f t="shared" si="162"/>
      </c>
      <c r="N149" s="541">
        <f t="shared" si="258"/>
      </c>
      <c r="O149" s="541">
        <f t="shared" si="275"/>
      </c>
      <c r="P149" s="542">
        <f t="shared" si="22"/>
      </c>
      <c r="Q149" s="543" t="s">
        <v>923</v>
      </c>
      <c r="R149" s="544" t="s">
        <v>949</v>
      </c>
      <c r="S149" s="575">
        <v>9724</v>
      </c>
      <c r="T149" s="575">
        <v>904</v>
      </c>
      <c r="U149" s="575">
        <v>1102</v>
      </c>
      <c r="V149" s="575">
        <v>120</v>
      </c>
      <c r="W149" s="567">
        <v>4</v>
      </c>
      <c r="X149" s="567">
        <v>0</v>
      </c>
      <c r="Y149" s="577">
        <v>77</v>
      </c>
    </row>
    <row r="150">
      <c r="A150" s="534"/>
      <c r="B150" s="535" t="s">
        <v>927</v>
      </c>
      <c r="C150" s="552" t="s">
        <v>950</v>
      </c>
      <c r="D150" s="594">
        <v>2342.44</v>
      </c>
      <c r="E150" s="519">
        <v>3</v>
      </c>
      <c r="F150" s="519">
        <v>2</v>
      </c>
      <c r="G150" s="595">
        <v>3493.2</v>
      </c>
      <c r="H150" s="538">
        <f t="shared" si="6"/>
      </c>
      <c r="I150" s="538">
        <f t="shared" si="44"/>
      </c>
      <c r="J150" s="538">
        <f t="shared" si="97"/>
      </c>
      <c r="K150" s="539">
        <f t="shared" si="145"/>
      </c>
      <c r="L150" s="540">
        <f t="shared" si="239"/>
      </c>
      <c r="M150" s="541">
        <f t="shared" si="162"/>
      </c>
      <c r="N150" s="541">
        <f t="shared" si="258"/>
      </c>
      <c r="O150" s="541">
        <f t="shared" si="275"/>
      </c>
      <c r="P150" s="542">
        <f t="shared" si="22"/>
      </c>
      <c r="Q150" s="543" t="s">
        <v>923</v>
      </c>
      <c r="R150" s="544" t="s">
        <v>949</v>
      </c>
      <c r="S150" s="575">
        <v>9147</v>
      </c>
      <c r="T150" s="575">
        <v>728</v>
      </c>
      <c r="U150" s="575">
        <v>880</v>
      </c>
      <c r="V150" s="575">
        <v>79</v>
      </c>
      <c r="W150" s="567">
        <v>4</v>
      </c>
      <c r="X150" s="567">
        <v>0</v>
      </c>
      <c r="Y150" s="577">
        <v>37</v>
      </c>
    </row>
    <row r="151">
      <c r="A151" s="534"/>
      <c r="B151" s="535" t="s">
        <v>927</v>
      </c>
      <c r="C151" s="552" t="s">
        <v>951</v>
      </c>
      <c r="D151" s="594">
        <v>1666.27</v>
      </c>
      <c r="E151" s="519">
        <v>4</v>
      </c>
      <c r="F151" s="519">
        <v>3</v>
      </c>
      <c r="G151" s="595">
        <v>2595.6</v>
      </c>
      <c r="H151" s="538">
        <f t="shared" si="6"/>
      </c>
      <c r="I151" s="538">
        <f t="shared" si="44"/>
      </c>
      <c r="J151" s="538">
        <f t="shared" si="97"/>
      </c>
      <c r="K151" s="539">
        <f t="shared" si="145"/>
      </c>
      <c r="L151" s="540">
        <f t="shared" si="239"/>
      </c>
      <c r="M151" s="541">
        <f t="shared" si="162"/>
      </c>
      <c r="N151" s="541">
        <f t="shared" si="258"/>
      </c>
      <c r="O151" s="541">
        <f t="shared" si="275"/>
      </c>
      <c r="P151" s="542">
        <f t="shared" si="22"/>
      </c>
      <c r="Q151" s="543" t="s">
        <v>923</v>
      </c>
      <c r="R151" s="544" t="s">
        <v>949</v>
      </c>
      <c r="S151" s="575">
        <v>8721</v>
      </c>
      <c r="T151" s="575">
        <v>864</v>
      </c>
      <c r="U151" s="575">
        <v>1068</v>
      </c>
      <c r="V151" s="575">
        <v>108</v>
      </c>
      <c r="W151" s="567">
        <v>8</v>
      </c>
      <c r="X151" s="567">
        <v>1</v>
      </c>
      <c r="Y151" s="577">
        <v>50</v>
      </c>
    </row>
    <row r="152">
      <c r="A152" s="534"/>
      <c r="B152" s="535" t="s">
        <v>927</v>
      </c>
      <c r="C152" s="552" t="s">
        <v>953</v>
      </c>
      <c r="D152" s="594">
        <v>1753.08</v>
      </c>
      <c r="E152" s="519">
        <v>3</v>
      </c>
      <c r="F152" s="519">
        <v>1</v>
      </c>
      <c r="G152" s="595">
        <v>2378.4</v>
      </c>
      <c r="H152" s="538">
        <f t="shared" si="6"/>
      </c>
      <c r="I152" s="538">
        <f t="shared" si="44"/>
      </c>
      <c r="J152" s="538">
        <f t="shared" si="97"/>
      </c>
      <c r="K152" s="539">
        <f t="shared" si="145"/>
      </c>
      <c r="L152" s="540">
        <f t="shared" si="239"/>
      </c>
      <c r="M152" s="541">
        <f t="shared" si="162"/>
      </c>
      <c r="N152" s="541">
        <f t="shared" si="258"/>
      </c>
      <c r="O152" s="541">
        <f t="shared" si="275"/>
      </c>
      <c r="P152" s="542">
        <f t="shared" si="22"/>
      </c>
      <c r="Q152" s="543" t="s">
        <v>923</v>
      </c>
      <c r="R152" s="544" t="s">
        <v>949</v>
      </c>
      <c r="S152" s="575">
        <v>8730</v>
      </c>
      <c r="T152" s="575">
        <v>1045</v>
      </c>
      <c r="U152" s="575">
        <v>1207</v>
      </c>
      <c r="V152" s="575">
        <v>94</v>
      </c>
      <c r="W152" s="567">
        <v>3</v>
      </c>
      <c r="X152" s="567">
        <v>1</v>
      </c>
      <c r="Y152" s="577">
        <v>41</v>
      </c>
    </row>
    <row r="153">
      <c r="A153" s="534"/>
      <c r="B153" s="554" t="s">
        <v>936</v>
      </c>
      <c r="C153" s="554"/>
      <c r="D153" s="555">
        <f>SUM(D149:D152)</f>
      </c>
      <c r="E153" s="592">
        <f>SUM(E149:E152)</f>
      </c>
      <c r="F153" s="592">
        <f>SUM(F149:F152)</f>
      </c>
      <c r="G153" s="555">
        <f>SUM(G149:G152)</f>
      </c>
      <c r="H153" s="556">
        <f t="shared" si="6"/>
      </c>
      <c r="I153" s="557">
        <f t="shared" si="44"/>
      </c>
      <c r="J153" s="558">
        <f t="shared" si="97"/>
      </c>
      <c r="K153" s="559">
        <f t="shared" si="145"/>
      </c>
      <c r="L153" s="560">
        <f t="shared" si="239"/>
      </c>
      <c r="M153" s="559">
        <f t="shared" si="162"/>
      </c>
      <c r="N153" s="559">
        <f t="shared" si="258"/>
      </c>
      <c r="O153" s="561">
        <f t="shared" si="275"/>
      </c>
      <c r="P153" s="562">
        <f t="shared" si="22"/>
      </c>
      <c r="Q153" s="560"/>
      <c r="R153" s="560"/>
      <c r="S153" s="563">
        <f>SUM(S149:S152)</f>
      </c>
      <c r="T153" s="563">
        <f>SUM(T149:T152)</f>
      </c>
      <c r="U153" s="563">
        <f>SUM(U149:U152)</f>
      </c>
      <c r="V153" s="563">
        <f>SUM(V149:V152)</f>
      </c>
      <c r="W153" s="563">
        <f>SUM(W149:W152)</f>
      </c>
      <c r="X153" s="563">
        <f>SUM(X149:X152)</f>
      </c>
      <c r="Y153" s="563">
        <f>SUM(Y149:Y152)</f>
      </c>
    </row>
    <row r="154">
      <c r="A154" s="534"/>
      <c r="B154" s="535" t="s">
        <v>966</v>
      </c>
      <c r="C154" s="552" t="s">
        <v>954</v>
      </c>
      <c r="D154" s="594">
        <v>2039.93</v>
      </c>
      <c r="E154" s="519">
        <v>4</v>
      </c>
      <c r="F154" s="519">
        <v>4</v>
      </c>
      <c r="G154" s="595">
        <v>10028.4</v>
      </c>
      <c r="H154" s="538">
        <f t="shared" si="6"/>
      </c>
      <c r="I154" s="538">
        <f t="shared" si="44"/>
      </c>
      <c r="J154" s="538">
        <f t="shared" si="97"/>
      </c>
      <c r="K154" s="539">
        <f t="shared" si="145"/>
      </c>
      <c r="L154" s="540">
        <f t="shared" si="239"/>
      </c>
      <c r="M154" s="541">
        <f t="shared" si="162"/>
      </c>
      <c r="N154" s="541">
        <f t="shared" si="258"/>
      </c>
      <c r="O154" s="541">
        <f t="shared" si="275"/>
      </c>
      <c r="P154" s="542">
        <f t="shared" si="22"/>
      </c>
      <c r="Q154" s="543" t="s">
        <v>952</v>
      </c>
      <c r="R154" s="544" t="s">
        <v>949</v>
      </c>
      <c r="S154" s="575">
        <v>9541</v>
      </c>
      <c r="T154" s="575">
        <v>1040</v>
      </c>
      <c r="U154" s="575">
        <v>1221</v>
      </c>
      <c r="V154" s="575">
        <v>97</v>
      </c>
      <c r="W154" s="567">
        <v>5</v>
      </c>
      <c r="X154" s="567">
        <v>0</v>
      </c>
      <c r="Y154" s="577">
        <v>33</v>
      </c>
    </row>
    <row r="155">
      <c r="A155" s="534"/>
      <c r="B155" s="535" t="s">
        <v>966</v>
      </c>
      <c r="C155" s="536" t="s">
        <v>955</v>
      </c>
      <c r="D155" s="594">
        <v>3239.96</v>
      </c>
      <c r="E155" s="519">
        <v>4</v>
      </c>
      <c r="F155" s="519">
        <v>1</v>
      </c>
      <c r="G155" s="595">
        <v>6477.6</v>
      </c>
      <c r="H155" s="538">
        <f t="shared" si="6"/>
      </c>
      <c r="I155" s="538">
        <f t="shared" si="44"/>
      </c>
      <c r="J155" s="538">
        <f t="shared" si="97"/>
      </c>
      <c r="K155" s="539">
        <f t="shared" si="145"/>
      </c>
      <c r="L155" s="540">
        <f t="shared" si="239"/>
      </c>
      <c r="M155" s="541">
        <f t="shared" si="162"/>
      </c>
      <c r="N155" s="541">
        <f t="shared" si="258"/>
      </c>
      <c r="O155" s="541">
        <f t="shared" si="275"/>
      </c>
      <c r="P155" s="542">
        <f t="shared" si="22"/>
      </c>
      <c r="Q155" s="543" t="s">
        <v>952</v>
      </c>
      <c r="R155" s="544" t="s">
        <v>949</v>
      </c>
      <c r="S155" s="575">
        <v>15028</v>
      </c>
      <c r="T155" s="575">
        <v>1212</v>
      </c>
      <c r="U155" s="575">
        <v>1454</v>
      </c>
      <c r="V155" s="575">
        <v>134</v>
      </c>
      <c r="W155" s="567">
        <v>6</v>
      </c>
      <c r="X155" s="567">
        <v>1</v>
      </c>
      <c r="Y155" s="577">
        <v>65</v>
      </c>
    </row>
    <row r="156">
      <c r="A156" s="534"/>
      <c r="B156" s="535" t="s">
        <v>966</v>
      </c>
      <c r="C156" s="536" t="s">
        <v>956</v>
      </c>
      <c r="D156" s="594">
        <v>2312.16</v>
      </c>
      <c r="E156" s="519">
        <v>2</v>
      </c>
      <c r="F156" s="519">
        <v>1</v>
      </c>
      <c r="G156" s="595">
        <v>2236.8</v>
      </c>
      <c r="H156" s="538">
        <f t="shared" si="6"/>
      </c>
      <c r="I156" s="538">
        <f t="shared" si="44"/>
      </c>
      <c r="J156" s="538">
        <f t="shared" si="97"/>
      </c>
      <c r="K156" s="539">
        <f t="shared" si="145"/>
      </c>
      <c r="L156" s="540">
        <f t="shared" si="239"/>
      </c>
      <c r="M156" s="541">
        <f t="shared" si="162"/>
      </c>
      <c r="N156" s="541">
        <f t="shared" si="258"/>
      </c>
      <c r="O156" s="541">
        <f t="shared" si="275"/>
      </c>
      <c r="P156" s="542">
        <f t="shared" si="22"/>
      </c>
      <c r="Q156" s="543" t="s">
        <v>952</v>
      </c>
      <c r="R156" s="544" t="s">
        <v>949</v>
      </c>
      <c r="S156" s="575">
        <v>10008</v>
      </c>
      <c r="T156" s="575">
        <v>955</v>
      </c>
      <c r="U156" s="575">
        <v>1195</v>
      </c>
      <c r="V156" s="575">
        <v>118</v>
      </c>
      <c r="W156" s="567">
        <v>4</v>
      </c>
      <c r="X156" s="567">
        <v>1</v>
      </c>
      <c r="Y156" s="577">
        <v>46</v>
      </c>
    </row>
    <row r="157">
      <c r="A157" s="534"/>
      <c r="B157" s="535" t="s">
        <v>966</v>
      </c>
      <c r="C157" s="536" t="s">
        <v>957</v>
      </c>
      <c r="D157" s="594">
        <v>1135.66</v>
      </c>
      <c r="E157" s="519">
        <v>1</v>
      </c>
      <c r="F157" s="519">
        <v>1</v>
      </c>
      <c r="G157" s="595">
        <v>1098</v>
      </c>
      <c r="H157" s="538">
        <f t="shared" si="6"/>
      </c>
      <c r="I157" s="538">
        <f t="shared" si="44"/>
      </c>
      <c r="J157" s="538">
        <f t="shared" si="97"/>
      </c>
      <c r="K157" s="539">
        <f t="shared" si="145"/>
      </c>
      <c r="L157" s="540">
        <f t="shared" si="239"/>
      </c>
      <c r="M157" s="541">
        <f t="shared" si="162"/>
      </c>
      <c r="N157" s="541">
        <f t="shared" si="258"/>
      </c>
      <c r="O157" s="541">
        <f t="shared" si="275"/>
      </c>
      <c r="P157" s="542">
        <f t="shared" si="22"/>
      </c>
      <c r="Q157" s="543" t="s">
        <v>952</v>
      </c>
      <c r="R157" s="544" t="s">
        <v>949</v>
      </c>
      <c r="S157" s="575">
        <v>5480</v>
      </c>
      <c r="T157" s="575">
        <v>562</v>
      </c>
      <c r="U157" s="575">
        <v>739</v>
      </c>
      <c r="V157" s="575">
        <v>70</v>
      </c>
      <c r="W157" s="567">
        <v>5</v>
      </c>
      <c r="X157" s="567">
        <v>0</v>
      </c>
      <c r="Y157" s="577">
        <v>34</v>
      </c>
    </row>
    <row r="158">
      <c r="A158" s="534"/>
      <c r="B158" s="554" t="s">
        <v>936</v>
      </c>
      <c r="C158" s="554"/>
      <c r="D158" s="555">
        <f>SUM(D154:D157)</f>
      </c>
      <c r="E158" s="592">
        <f>SUM(E154:E157)</f>
      </c>
      <c r="F158" s="592">
        <f>SUM(F154:F157)</f>
      </c>
      <c r="G158" s="555">
        <f>SUM(G154:G157)</f>
      </c>
      <c r="H158" s="556">
        <f t="shared" si="6"/>
      </c>
      <c r="I158" s="557">
        <f t="shared" si="44"/>
      </c>
      <c r="J158" s="558">
        <f t="shared" si="97"/>
      </c>
      <c r="K158" s="559">
        <f t="shared" si="145"/>
      </c>
      <c r="L158" s="560">
        <f t="shared" si="239"/>
      </c>
      <c r="M158" s="559">
        <f t="shared" si="162"/>
      </c>
      <c r="N158" s="559">
        <f t="shared" si="258"/>
      </c>
      <c r="O158" s="561">
        <f t="shared" si="275"/>
      </c>
      <c r="P158" s="562">
        <f t="shared" si="22"/>
      </c>
      <c r="Q158" s="560"/>
      <c r="R158" s="560"/>
      <c r="S158" s="563">
        <f>SUM(S154:S157)</f>
      </c>
      <c r="T158" s="563">
        <f>SUM(T154:T157)</f>
      </c>
      <c r="U158" s="563">
        <f>SUM(U154:U157)</f>
      </c>
      <c r="V158" s="563">
        <f>SUM(V154:V157)</f>
      </c>
      <c r="W158" s="563">
        <f>SUM(W154:W157)</f>
      </c>
      <c r="X158" s="563">
        <f>SUM(X154:X157)</f>
      </c>
      <c r="Y158" s="563">
        <f>SUM(Y154:Y157)</f>
      </c>
    </row>
    <row r="159">
      <c r="A159" s="534"/>
      <c r="B159" s="579" t="s">
        <v>958</v>
      </c>
      <c r="C159" s="579"/>
      <c r="D159" s="580">
        <f>D143+D148+D158+D153</f>
      </c>
      <c r="E159" s="583">
        <f>E143+E148+E158+E153</f>
      </c>
      <c r="F159" s="583">
        <f>F143+F148+F158+F153</f>
      </c>
      <c r="G159" s="580">
        <f>G143+G148+G153+G158</f>
      </c>
      <c r="H159" s="579">
        <f t="shared" si="6"/>
      </c>
      <c r="I159" s="579">
        <f t="shared" si="44"/>
      </c>
      <c r="J159" s="579">
        <f t="shared" si="97"/>
      </c>
      <c r="K159" s="581">
        <f t="shared" si="145"/>
      </c>
      <c r="L159" s="579">
        <f t="shared" si="239"/>
      </c>
      <c r="M159" s="581">
        <f t="shared" si="162"/>
      </c>
      <c r="N159" s="581">
        <f t="shared" si="258"/>
      </c>
      <c r="O159" s="581">
        <f t="shared" si="275"/>
      </c>
      <c r="P159" s="579">
        <f t="shared" si="22"/>
      </c>
      <c r="Q159" s="582"/>
      <c r="R159" s="582"/>
      <c r="S159" s="583">
        <f>S143+S148+S158+S153</f>
      </c>
      <c r="T159" s="583">
        <f>T143+T148+T158+T153</f>
      </c>
      <c r="U159" s="583">
        <f>U143+U148+U158+U153</f>
      </c>
      <c r="V159" s="583">
        <f>V143+V148+V158+V153</f>
      </c>
      <c r="W159" s="583">
        <f>W143+W148+W158+W153</f>
      </c>
      <c r="X159" s="583">
        <f>X143+X148+X158+X153</f>
      </c>
      <c r="Y159" s="583">
        <f>Y143+Y148+Y158+Y153</f>
      </c>
    </row>
    <row r="160">
      <c r="A160" s="515" t="s">
        <v>882</v>
      </c>
      <c r="B160" s="515"/>
      <c r="C160" s="515"/>
      <c r="D160" s="516" t="s">
        <v>883</v>
      </c>
      <c r="E160" s="516"/>
      <c r="F160" s="516"/>
      <c r="G160" s="516"/>
      <c r="H160" s="516"/>
      <c r="I160" s="516"/>
      <c r="J160" s="516"/>
      <c r="K160" s="517" t="s">
        <v>884</v>
      </c>
      <c r="L160" s="517"/>
      <c r="M160" s="517"/>
      <c r="N160" s="517"/>
      <c r="O160" s="517"/>
      <c r="P160" s="517"/>
      <c r="Q160" s="517"/>
      <c r="R160" s="517"/>
      <c r="S160" s="589" t="s">
        <v>885</v>
      </c>
      <c r="T160" s="589"/>
      <c r="U160" s="589"/>
      <c r="V160" s="589"/>
      <c r="W160" s="589"/>
      <c r="X160" s="589"/>
      <c r="Y160" s="589"/>
      <c r="AA160" s="520" t="s">
        <v>984</v>
      </c>
      <c r="AB160" s="520"/>
      <c r="AC160" s="520"/>
      <c r="AD160" s="520"/>
      <c r="AE160" s="520"/>
      <c r="AF160" s="520"/>
      <c r="AG160" s="520"/>
      <c r="AH160" s="520"/>
      <c r="AI160" s="520"/>
      <c r="AJ160" s="520"/>
      <c r="AK160" s="520"/>
    </row>
    <row r="161">
      <c r="A161" s="521" t="s">
        <v>887</v>
      </c>
      <c r="B161" s="521" t="s">
        <v>888</v>
      </c>
      <c r="C161" s="521" t="s">
        <v>889</v>
      </c>
      <c r="D161" s="522" t="s">
        <v>890</v>
      </c>
      <c r="E161" s="523" t="s">
        <v>891</v>
      </c>
      <c r="F161" s="524" t="s">
        <v>892</v>
      </c>
      <c r="G161" s="522" t="s">
        <v>893</v>
      </c>
      <c r="H161" s="525" t="s">
        <v>894</v>
      </c>
      <c r="I161" s="526" t="s">
        <v>895</v>
      </c>
      <c r="J161" s="522" t="s">
        <v>896</v>
      </c>
      <c r="K161" s="527" t="s">
        <v>897</v>
      </c>
      <c r="L161" s="528" t="s">
        <v>898</v>
      </c>
      <c r="M161" s="527" t="s">
        <v>899</v>
      </c>
      <c r="N161" s="527" t="s">
        <v>900</v>
      </c>
      <c r="O161" s="529" t="s">
        <v>901</v>
      </c>
      <c r="P161" s="529" t="s">
        <v>902</v>
      </c>
      <c r="Q161" s="530" t="s">
        <v>903</v>
      </c>
      <c r="R161" s="530" t="s">
        <v>904</v>
      </c>
      <c r="S161" s="585" t="s">
        <v>905</v>
      </c>
      <c r="T161" s="585" t="s">
        <v>906</v>
      </c>
      <c r="U161" s="585" t="s">
        <v>907</v>
      </c>
      <c r="V161" s="585" t="s">
        <v>908</v>
      </c>
      <c r="W161" s="585" t="s">
        <v>909</v>
      </c>
      <c r="X161" s="585" t="s">
        <v>910</v>
      </c>
      <c r="Y161" s="586" t="s">
        <v>911</v>
      </c>
      <c r="AA161" s="533" t="s">
        <v>912</v>
      </c>
      <c r="AB161" s="533" t="s">
        <v>913</v>
      </c>
      <c r="AC161" s="533" t="s">
        <v>914</v>
      </c>
      <c r="AD161" s="533" t="s">
        <v>915</v>
      </c>
      <c r="AE161" s="533" t="s">
        <v>916</v>
      </c>
      <c r="AF161" s="533" t="s">
        <v>917</v>
      </c>
      <c r="AG161" s="533" t="s">
        <v>896</v>
      </c>
      <c r="AH161" s="533" t="s">
        <v>918</v>
      </c>
      <c r="AI161" s="533" t="s">
        <v>894</v>
      </c>
      <c r="AJ161" s="533" t="s">
        <v>919</v>
      </c>
      <c r="AK161" s="533"/>
    </row>
    <row r="162">
      <c r="A162" s="534" t="s">
        <v>985</v>
      </c>
      <c r="B162" s="535" t="s">
        <v>930</v>
      </c>
      <c r="C162" s="536" t="s">
        <v>922</v>
      </c>
      <c r="D162" s="535">
        <v>2158.89</v>
      </c>
      <c r="E162" s="519">
        <v>2</v>
      </c>
      <c r="F162" s="519">
        <v>1</v>
      </c>
      <c r="G162" s="596">
        <v>3562.8</v>
      </c>
      <c r="H162" s="538">
        <f t="shared" ref="H162:H182" si="7">G162/D162</f>
      </c>
      <c r="I162" s="538">
        <f t="shared" ref="I162:I182" si="45">D162/E162</f>
      </c>
      <c r="J162" s="538">
        <f t="shared" ref="J162:J182" si="98">G162/E162</f>
      </c>
      <c r="K162" s="539">
        <f t="shared" ref="K162:K182" si="146">T162/S162</f>
      </c>
      <c r="L162" s="540">
        <f t="shared" ref="L162:L182" si="240">D162/U162</f>
      </c>
      <c r="M162" s="541">
        <f t="shared" ref="M162:M182" si="163">V162/U162</f>
      </c>
      <c r="N162" s="541">
        <f t="shared" ref="N162:N182" si="259">E162/W162</f>
      </c>
      <c r="O162" s="541">
        <f t="shared" ref="O162:O182" si="276">X162/E162</f>
      </c>
      <c r="P162" s="542">
        <f t="shared" ref="P162:P182" si="23">(Y162*1000)/D162</f>
      </c>
      <c r="Q162" s="543" t="s">
        <v>923</v>
      </c>
      <c r="R162" s="544" t="s">
        <v>924</v>
      </c>
      <c r="S162" s="545">
        <v>10730</v>
      </c>
      <c r="T162" s="545">
        <v>1013</v>
      </c>
      <c r="U162" s="545">
        <v>1313</v>
      </c>
      <c r="V162" s="545">
        <v>91</v>
      </c>
      <c r="W162" s="545">
        <v>3</v>
      </c>
      <c r="X162" s="545">
        <v>0</v>
      </c>
      <c r="Y162" s="545">
        <v>46</v>
      </c>
      <c r="AA162" s="546" t="s">
        <v>930</v>
      </c>
      <c r="AB162" s="547" t="s">
        <v>974</v>
      </c>
      <c r="AC162" s="546">
        <v>4</v>
      </c>
      <c r="AD162" s="546">
        <v>9105.02</v>
      </c>
      <c r="AE162" s="546">
        <v>14869.4</v>
      </c>
      <c r="AF162" s="546">
        <v>12</v>
      </c>
      <c r="AG162" s="549">
        <f t="shared" ref="AG162:AG166" si="77">AE162/AF162</f>
      </c>
      <c r="AH162" s="549">
        <f t="shared" ref="AH162:AH166" si="130">AD162/AF162</f>
      </c>
      <c r="AI162" s="549">
        <f t="shared" ref="AI162:AI166" si="195">AE162/AD162</f>
      </c>
      <c r="AJ162" s="548">
        <f t="shared" ref="AJ162:AJ166" si="224">AD162/AC162</f>
      </c>
      <c r="AK162" s="548"/>
    </row>
    <row r="163">
      <c r="A163" s="534"/>
      <c r="B163" s="535" t="s">
        <v>930</v>
      </c>
      <c r="C163" s="535" t="s">
        <v>926</v>
      </c>
      <c r="D163" s="535">
        <v>2546.4</v>
      </c>
      <c r="E163" s="519">
        <v>3</v>
      </c>
      <c r="F163" s="519">
        <v>2</v>
      </c>
      <c r="G163" s="584">
        <v>1334</v>
      </c>
      <c r="H163" s="538">
        <f t="shared" si="7"/>
      </c>
      <c r="I163" s="538">
        <f t="shared" si="45"/>
      </c>
      <c r="J163" s="538">
        <f t="shared" si="98"/>
      </c>
      <c r="K163" s="539">
        <f t="shared" si="146"/>
      </c>
      <c r="L163" s="540">
        <f t="shared" si="240"/>
      </c>
      <c r="M163" s="541">
        <f t="shared" si="163"/>
      </c>
      <c r="N163" s="541">
        <f t="shared" si="259"/>
      </c>
      <c r="O163" s="541">
        <f t="shared" si="276"/>
      </c>
      <c r="P163" s="542">
        <f t="shared" si="23"/>
      </c>
      <c r="Q163" s="543" t="s">
        <v>923</v>
      </c>
      <c r="R163" s="544" t="s">
        <v>924</v>
      </c>
      <c r="S163" s="545">
        <v>9359</v>
      </c>
      <c r="T163" s="545">
        <v>872</v>
      </c>
      <c r="U163" s="545">
        <v>1200</v>
      </c>
      <c r="V163" s="545">
        <v>123</v>
      </c>
      <c r="W163" s="545">
        <v>3</v>
      </c>
      <c r="X163" s="545">
        <v>0</v>
      </c>
      <c r="Y163" s="545">
        <v>41</v>
      </c>
      <c r="AA163" s="546" t="s">
        <v>927</v>
      </c>
      <c r="AB163" s="547" t="s">
        <v>976</v>
      </c>
      <c r="AC163" s="546">
        <v>4</v>
      </c>
      <c r="AD163" s="546">
        <v>7301.25</v>
      </c>
      <c r="AE163" s="546">
        <v>5494.1</v>
      </c>
      <c r="AF163" s="546">
        <v>5</v>
      </c>
      <c r="AG163" s="549">
        <f t="shared" si="77"/>
      </c>
      <c r="AH163" s="549">
        <f t="shared" si="130"/>
      </c>
      <c r="AI163" s="549">
        <f t="shared" si="195"/>
      </c>
      <c r="AJ163" s="548">
        <f t="shared" si="224"/>
      </c>
      <c r="AK163" s="548"/>
    </row>
    <row r="164">
      <c r="A164" s="534"/>
      <c r="B164" s="535" t="s">
        <v>930</v>
      </c>
      <c r="C164" s="535" t="s">
        <v>929</v>
      </c>
      <c r="D164" s="535">
        <v>2080.17</v>
      </c>
      <c r="E164" s="519">
        <v>5</v>
      </c>
      <c r="F164" s="519">
        <v>2</v>
      </c>
      <c r="G164" s="584">
        <v>8177</v>
      </c>
      <c r="H164" s="538">
        <f t="shared" si="7"/>
      </c>
      <c r="I164" s="538">
        <f t="shared" si="45"/>
      </c>
      <c r="J164" s="538">
        <f t="shared" si="98"/>
      </c>
      <c r="K164" s="539">
        <f t="shared" si="146"/>
      </c>
      <c r="L164" s="540">
        <f t="shared" si="240"/>
      </c>
      <c r="M164" s="541">
        <f t="shared" si="163"/>
      </c>
      <c r="N164" s="541">
        <f t="shared" si="259"/>
      </c>
      <c r="O164" s="541">
        <f t="shared" si="276"/>
      </c>
      <c r="P164" s="542">
        <f t="shared" si="23"/>
      </c>
      <c r="Q164" s="543" t="s">
        <v>923</v>
      </c>
      <c r="R164" s="544" t="s">
        <v>924</v>
      </c>
      <c r="S164" s="545">
        <v>8212</v>
      </c>
      <c r="T164" s="545">
        <v>735</v>
      </c>
      <c r="U164" s="545">
        <v>1043</v>
      </c>
      <c r="V164" s="545">
        <v>106</v>
      </c>
      <c r="W164" s="545">
        <v>6</v>
      </c>
      <c r="X164" s="545">
        <v>1</v>
      </c>
      <c r="Y164" s="545">
        <v>43</v>
      </c>
      <c r="AA164" s="546" t="s">
        <v>961</v>
      </c>
      <c r="AB164" s="547" t="s">
        <v>977</v>
      </c>
      <c r="AC164" s="546">
        <v>3</v>
      </c>
      <c r="AD164" s="546">
        <v>5182.02</v>
      </c>
      <c r="AE164" s="546">
        <v>4858.8</v>
      </c>
      <c r="AF164" s="546">
        <v>3</v>
      </c>
      <c r="AG164" s="549">
        <f t="shared" si="77"/>
      </c>
      <c r="AH164" s="549">
        <f t="shared" si="130"/>
      </c>
      <c r="AI164" s="549">
        <f t="shared" si="195"/>
      </c>
      <c r="AJ164" s="548">
        <f t="shared" si="224"/>
      </c>
      <c r="AK164" s="548"/>
    </row>
    <row r="165">
      <c r="A165" s="534"/>
      <c r="B165" s="535" t="s">
        <v>930</v>
      </c>
      <c r="C165" s="535" t="s">
        <v>932</v>
      </c>
      <c r="D165" s="535">
        <v>2319.56</v>
      </c>
      <c r="E165" s="519">
        <v>2</v>
      </c>
      <c r="F165" s="519">
        <v>1</v>
      </c>
      <c r="G165" s="584">
        <v>1795.6</v>
      </c>
      <c r="H165" s="538">
        <f t="shared" si="7"/>
      </c>
      <c r="I165" s="538">
        <f t="shared" si="45"/>
      </c>
      <c r="J165" s="538">
        <f t="shared" si="98"/>
      </c>
      <c r="K165" s="539">
        <f t="shared" si="146"/>
      </c>
      <c r="L165" s="540">
        <f t="shared" si="240"/>
      </c>
      <c r="M165" s="541">
        <f t="shared" si="163"/>
      </c>
      <c r="N165" s="541">
        <f t="shared" si="259"/>
      </c>
      <c r="O165" s="541">
        <f t="shared" si="276"/>
      </c>
      <c r="P165" s="542">
        <f t="shared" si="23"/>
      </c>
      <c r="Q165" s="543" t="s">
        <v>923</v>
      </c>
      <c r="R165" s="544" t="s">
        <v>924</v>
      </c>
      <c r="S165" s="545">
        <v>7324</v>
      </c>
      <c r="T165" s="545">
        <v>700</v>
      </c>
      <c r="U165" s="545">
        <v>1041</v>
      </c>
      <c r="V165" s="545">
        <v>118</v>
      </c>
      <c r="W165" s="545">
        <v>4</v>
      </c>
      <c r="X165" s="545">
        <v>1</v>
      </c>
      <c r="Y165" s="545">
        <v>27</v>
      </c>
      <c r="AA165" s="546" t="s">
        <v>975</v>
      </c>
      <c r="AB165" s="547" t="s">
        <v>978</v>
      </c>
      <c r="AC165" s="546">
        <v>5</v>
      </c>
      <c r="AD165" s="546">
        <v>8022.35</v>
      </c>
      <c r="AE165" s="546">
        <v>25990.8</v>
      </c>
      <c r="AF165" s="546">
        <v>20</v>
      </c>
      <c r="AG165" s="549">
        <f t="shared" si="77"/>
      </c>
      <c r="AH165" s="549">
        <f t="shared" si="130"/>
      </c>
      <c r="AI165" s="549">
        <f t="shared" si="195"/>
      </c>
      <c r="AJ165" s="548">
        <f t="shared" si="224"/>
      </c>
      <c r="AK165" s="548"/>
    </row>
    <row r="166">
      <c r="A166" s="534"/>
      <c r="B166" s="554" t="s">
        <v>936</v>
      </c>
      <c r="C166" s="554"/>
      <c r="D166" s="555">
        <f>SUM(D162:D165)</f>
      </c>
      <c r="E166" s="592">
        <f>SUM(E162:E165)</f>
      </c>
      <c r="F166" s="592">
        <f>SUM(F162:F165)</f>
      </c>
      <c r="G166" s="555">
        <f>SUM(G162:G165)</f>
      </c>
      <c r="H166" s="556">
        <f t="shared" si="7"/>
      </c>
      <c r="I166" s="557">
        <f t="shared" si="45"/>
      </c>
      <c r="J166" s="558">
        <f t="shared" si="98"/>
      </c>
      <c r="K166" s="559">
        <f t="shared" si="146"/>
      </c>
      <c r="L166" s="560">
        <f t="shared" si="240"/>
      </c>
      <c r="M166" s="559">
        <f t="shared" si="163"/>
      </c>
      <c r="N166" s="559">
        <f t="shared" si="259"/>
      </c>
      <c r="O166" s="561">
        <f t="shared" si="276"/>
      </c>
      <c r="P166" s="562">
        <f t="shared" si="23"/>
      </c>
      <c r="Q166" s="560"/>
      <c r="R166" s="560"/>
      <c r="S166" s="563">
        <f>SUM(S162:S165)</f>
      </c>
      <c r="T166" s="563">
        <f>SUM(T162:T165)</f>
      </c>
      <c r="U166" s="563">
        <f>SUM(U162:U165)</f>
      </c>
      <c r="V166" s="563">
        <f>SUM(V162:V165)</f>
      </c>
      <c r="W166" s="563">
        <f>SUM(W162:W165)</f>
      </c>
      <c r="X166" s="563">
        <f>SUM(X162:X165)</f>
      </c>
      <c r="Y166" s="563">
        <f>SUM(Y162:Y165)</f>
      </c>
      <c r="AA166" s="533" t="s">
        <v>933</v>
      </c>
      <c r="AB166" s="533"/>
      <c r="AC166" s="533">
        <f>SUM(AC162:AC165)</f>
      </c>
      <c r="AD166" s="533">
        <f>SUM(AD162:AD165)</f>
      </c>
      <c r="AE166" s="533">
        <f>SUM(AE162:AE165)</f>
      </c>
      <c r="AF166" s="533">
        <f>SUM(AF162:AF165)</f>
      </c>
      <c r="AG166" s="551">
        <f t="shared" si="77"/>
      </c>
      <c r="AH166" s="551">
        <f t="shared" si="130"/>
      </c>
      <c r="AI166" s="551">
        <f t="shared" si="195"/>
      </c>
      <c r="AJ166" s="550">
        <f t="shared" si="224"/>
      </c>
      <c r="AK166" s="550"/>
    </row>
    <row r="167">
      <c r="A167" s="534"/>
      <c r="B167" s="535" t="s">
        <v>927</v>
      </c>
      <c r="C167" s="552" t="s">
        <v>934</v>
      </c>
      <c r="D167" s="535">
        <v>2390.5</v>
      </c>
      <c r="E167" s="519">
        <v>1</v>
      </c>
      <c r="F167" s="519">
        <v>0</v>
      </c>
      <c r="G167" s="574">
        <v>568.1</v>
      </c>
      <c r="H167" s="538">
        <f t="shared" si="7"/>
      </c>
      <c r="I167" s="538">
        <f t="shared" si="45"/>
      </c>
      <c r="J167" s="538">
        <f t="shared" si="98"/>
      </c>
      <c r="K167" s="539">
        <f t="shared" si="146"/>
      </c>
      <c r="L167" s="540">
        <f t="shared" si="240"/>
      </c>
      <c r="M167" s="541">
        <f t="shared" si="163"/>
      </c>
      <c r="N167" s="541">
        <f t="shared" si="259"/>
      </c>
      <c r="O167" s="541">
        <f t="shared" si="276"/>
      </c>
      <c r="P167" s="542">
        <f t="shared" si="23"/>
      </c>
      <c r="Q167" s="543" t="s">
        <v>923</v>
      </c>
      <c r="R167" s="544" t="s">
        <v>924</v>
      </c>
      <c r="S167" s="545">
        <v>7962</v>
      </c>
      <c r="T167" s="545">
        <v>862</v>
      </c>
      <c r="U167" s="545">
        <v>1251</v>
      </c>
      <c r="V167" s="545">
        <v>152</v>
      </c>
      <c r="W167" s="545">
        <v>1</v>
      </c>
      <c r="X167" s="545">
        <v>0</v>
      </c>
      <c r="Y167" s="545">
        <v>44</v>
      </c>
      <c r="AA167" s="553" t="s">
        <v>935</v>
      </c>
      <c r="AB167" s="553"/>
      <c r="AC167" s="553"/>
      <c r="AD167" s="553"/>
      <c r="AE167" s="553"/>
      <c r="AF167" s="553"/>
      <c r="AG167" s="553"/>
      <c r="AH167" s="553"/>
      <c r="AI167" s="553"/>
      <c r="AJ167" s="553"/>
      <c r="AK167" s="553"/>
    </row>
    <row r="168">
      <c r="A168" s="534"/>
      <c r="B168" s="535" t="s">
        <v>927</v>
      </c>
      <c r="C168" s="566" t="s">
        <v>945</v>
      </c>
      <c r="D168" s="535">
        <v>1562.52</v>
      </c>
      <c r="E168" s="519">
        <v>0</v>
      </c>
      <c r="F168" s="519">
        <v>0</v>
      </c>
      <c r="G168" s="593">
        <v>0</v>
      </c>
      <c r="H168" s="538">
        <f t="shared" si="7"/>
      </c>
      <c r="I168" s="538">
        <f t="shared" si="45"/>
      </c>
      <c r="J168" s="538">
        <f t="shared" si="98"/>
      </c>
      <c r="K168" s="539">
        <f t="shared" si="146"/>
      </c>
      <c r="L168" s="540">
        <f t="shared" si="240"/>
      </c>
      <c r="M168" s="541">
        <f t="shared" si="163"/>
      </c>
      <c r="N168" s="541">
        <f t="shared" si="259"/>
      </c>
      <c r="O168" s="541">
        <f t="shared" si="276"/>
      </c>
      <c r="P168" s="542">
        <f t="shared" si="23"/>
      </c>
      <c r="Q168" s="543" t="s">
        <v>923</v>
      </c>
      <c r="R168" s="544" t="s">
        <v>924</v>
      </c>
      <c r="S168" s="545">
        <v>4449</v>
      </c>
      <c r="T168" s="545">
        <v>451</v>
      </c>
      <c r="U168" s="545">
        <v>789</v>
      </c>
      <c r="V168" s="545">
        <v>71</v>
      </c>
      <c r="W168" s="545">
        <v>1</v>
      </c>
      <c r="X168" s="545">
        <v>0</v>
      </c>
      <c r="Y168" s="545">
        <v>35</v>
      </c>
      <c r="AA168" s="564" t="s">
        <v>915</v>
      </c>
      <c r="AB168" s="564" t="s">
        <v>937</v>
      </c>
      <c r="AC168" s="564" t="s">
        <v>938</v>
      </c>
      <c r="AD168" s="564" t="s">
        <v>939</v>
      </c>
      <c r="AE168" s="564" t="s">
        <v>940</v>
      </c>
      <c r="AF168" s="564" t="s">
        <v>941</v>
      </c>
      <c r="AG168" s="564" t="s">
        <v>942</v>
      </c>
      <c r="AH168" s="565" t="s">
        <v>910</v>
      </c>
      <c r="AI168" s="565" t="s">
        <v>943</v>
      </c>
      <c r="AJ168" s="565" t="s">
        <v>944</v>
      </c>
      <c r="AK168" s="565" t="s">
        <v>914</v>
      </c>
    </row>
    <row r="169">
      <c r="A169" s="534"/>
      <c r="B169" s="535" t="s">
        <v>927</v>
      </c>
      <c r="C169" s="566" t="s">
        <v>946</v>
      </c>
      <c r="D169" s="535">
        <v>1859.63</v>
      </c>
      <c r="E169" s="519">
        <v>0</v>
      </c>
      <c r="F169" s="519">
        <v>0</v>
      </c>
      <c r="G169" s="574">
        <v>0</v>
      </c>
      <c r="H169" s="538">
        <f t="shared" si="7"/>
      </c>
      <c r="I169" s="538">
        <f t="shared" si="45"/>
      </c>
      <c r="J169" s="538">
        <f t="shared" si="98"/>
      </c>
      <c r="K169" s="539">
        <f t="shared" si="146"/>
      </c>
      <c r="L169" s="540">
        <f t="shared" si="240"/>
      </c>
      <c r="M169" s="541">
        <f t="shared" si="163"/>
      </c>
      <c r="N169" s="541">
        <f t="shared" si="259"/>
      </c>
      <c r="O169" s="541">
        <f t="shared" si="276"/>
      </c>
      <c r="P169" s="542">
        <f t="shared" si="23"/>
      </c>
      <c r="Q169" s="543" t="s">
        <v>923</v>
      </c>
      <c r="R169" s="544" t="s">
        <v>924</v>
      </c>
      <c r="S169" s="545">
        <v>3731</v>
      </c>
      <c r="T169" s="545">
        <v>391</v>
      </c>
      <c r="U169" s="545">
        <v>563</v>
      </c>
      <c r="V169" s="545">
        <v>85</v>
      </c>
      <c r="W169" s="545">
        <v>2</v>
      </c>
      <c r="X169" s="545">
        <v>0</v>
      </c>
      <c r="Y169" s="545">
        <v>27</v>
      </c>
      <c r="AA169" s="568">
        <f>SUM(AD162:AD165)</f>
      </c>
      <c r="AB169" s="568">
        <f>SUM(AE162:AE165)</f>
      </c>
      <c r="AC169" s="569">
        <f>AB169/((AK169*300)+AA169)</f>
      </c>
      <c r="AD169" s="570">
        <f>AA169/AJ169</f>
      </c>
      <c r="AE169" s="569">
        <f>AB169/AJ169</f>
      </c>
      <c r="AF169" s="571">
        <f>AJ169/AI169</f>
      </c>
      <c r="AG169" s="571">
        <f>AH169/AJ169</f>
      </c>
      <c r="AH169" s="572">
        <v>9</v>
      </c>
      <c r="AI169" s="572">
        <v>60</v>
      </c>
      <c r="AJ169" s="572">
        <f>AF166</f>
      </c>
      <c r="AK169" s="573">
        <f>AC166</f>
      </c>
    </row>
    <row r="170">
      <c r="A170" s="534"/>
      <c r="B170" s="535" t="s">
        <v>927</v>
      </c>
      <c r="C170" s="566" t="s">
        <v>947</v>
      </c>
      <c r="D170" s="535">
        <v>1488.6</v>
      </c>
      <c r="E170" s="519">
        <v>4</v>
      </c>
      <c r="F170" s="519">
        <v>3</v>
      </c>
      <c r="G170" s="574">
        <v>4926</v>
      </c>
      <c r="H170" s="538">
        <f t="shared" si="7"/>
      </c>
      <c r="I170" s="538">
        <f t="shared" si="45"/>
      </c>
      <c r="J170" s="538">
        <f t="shared" si="98"/>
      </c>
      <c r="K170" s="539">
        <f t="shared" si="146"/>
      </c>
      <c r="L170" s="540">
        <f t="shared" si="240"/>
      </c>
      <c r="M170" s="541">
        <f t="shared" si="163"/>
      </c>
      <c r="N170" s="541">
        <f t="shared" si="259"/>
      </c>
      <c r="O170" s="541">
        <f t="shared" si="276"/>
      </c>
      <c r="P170" s="542">
        <f t="shared" si="23"/>
      </c>
      <c r="Q170" s="543" t="s">
        <v>923</v>
      </c>
      <c r="R170" s="544" t="s">
        <v>924</v>
      </c>
      <c r="S170" s="545">
        <v>3462</v>
      </c>
      <c r="T170" s="545">
        <v>386</v>
      </c>
      <c r="U170" s="545">
        <v>535</v>
      </c>
      <c r="V170" s="545">
        <v>64</v>
      </c>
      <c r="W170" s="545">
        <v>5</v>
      </c>
      <c r="X170" s="545">
        <v>1</v>
      </c>
      <c r="Y170" s="545">
        <v>30</v>
      </c>
    </row>
    <row r="171">
      <c r="A171" s="534"/>
      <c r="B171" s="554" t="s">
        <v>936</v>
      </c>
      <c r="C171" s="554"/>
      <c r="D171" s="555">
        <f>SUM(D167:D170)</f>
      </c>
      <c r="E171" s="592">
        <f>SUM(E167:E170)</f>
      </c>
      <c r="F171" s="592">
        <f>SUM(F167:F170)</f>
      </c>
      <c r="G171" s="555">
        <f>SUM(G167:G170)</f>
      </c>
      <c r="H171" s="556">
        <f t="shared" si="7"/>
      </c>
      <c r="I171" s="557">
        <f t="shared" si="45"/>
      </c>
      <c r="J171" s="558">
        <f t="shared" si="98"/>
      </c>
      <c r="K171" s="559">
        <f t="shared" si="146"/>
      </c>
      <c r="L171" s="560">
        <f t="shared" si="240"/>
      </c>
      <c r="M171" s="559">
        <f t="shared" si="163"/>
      </c>
      <c r="N171" s="559">
        <f t="shared" si="259"/>
      </c>
      <c r="O171" s="561">
        <f t="shared" si="276"/>
      </c>
      <c r="P171" s="562">
        <f t="shared" si="23"/>
      </c>
      <c r="Q171" s="560"/>
      <c r="R171" s="560"/>
      <c r="S171" s="563">
        <f>SUM(S167:S170)</f>
      </c>
      <c r="T171" s="563">
        <f>SUM(T167:T170)</f>
      </c>
      <c r="U171" s="563">
        <f>SUM(U167:U170)</f>
      </c>
      <c r="V171" s="563">
        <f>SUM(V167:V170)</f>
      </c>
      <c r="W171" s="563">
        <f>SUM(W167:W170)</f>
      </c>
      <c r="X171" s="563">
        <f>SUM(X167:X170)</f>
      </c>
      <c r="Y171" s="563">
        <f>SUM(Y167:Y170)</f>
      </c>
    </row>
    <row r="172">
      <c r="A172" s="534"/>
      <c r="B172" s="535" t="s">
        <v>961</v>
      </c>
      <c r="C172" s="566" t="s">
        <v>948</v>
      </c>
      <c r="D172" s="594">
        <v>2323.34</v>
      </c>
      <c r="E172" s="519">
        <v>0</v>
      </c>
      <c r="F172" s="519">
        <v>0</v>
      </c>
      <c r="G172" s="595">
        <v>0</v>
      </c>
      <c r="H172" s="538">
        <f t="shared" si="7"/>
      </c>
      <c r="I172" s="538">
        <f t="shared" si="45"/>
      </c>
      <c r="J172" s="538">
        <f t="shared" si="98"/>
      </c>
      <c r="K172" s="539">
        <f t="shared" si="146"/>
      </c>
      <c r="L172" s="540">
        <f t="shared" si="240"/>
      </c>
      <c r="M172" s="541">
        <f t="shared" si="163"/>
      </c>
      <c r="N172" s="541">
        <f t="shared" si="259"/>
      </c>
      <c r="O172" s="541">
        <f t="shared" si="276"/>
      </c>
      <c r="P172" s="542">
        <f t="shared" si="23"/>
      </c>
      <c r="Q172" s="543" t="s">
        <v>923</v>
      </c>
      <c r="R172" s="544" t="s">
        <v>949</v>
      </c>
      <c r="S172" s="575">
        <v>5505</v>
      </c>
      <c r="T172" s="575">
        <v>672</v>
      </c>
      <c r="U172" s="575">
        <v>856</v>
      </c>
      <c r="V172" s="575">
        <v>110</v>
      </c>
      <c r="W172" s="567">
        <v>2</v>
      </c>
      <c r="X172" s="567">
        <v>0</v>
      </c>
      <c r="Y172" s="577">
        <v>46</v>
      </c>
    </row>
    <row r="173">
      <c r="A173" s="534"/>
      <c r="B173" s="535" t="s">
        <v>961</v>
      </c>
      <c r="C173" s="552" t="s">
        <v>950</v>
      </c>
      <c r="D173" s="594">
        <v>1749.45</v>
      </c>
      <c r="E173" s="519">
        <v>0</v>
      </c>
      <c r="F173" s="519">
        <v>0</v>
      </c>
      <c r="G173" s="595">
        <v>0</v>
      </c>
      <c r="H173" s="538">
        <f t="shared" si="7"/>
      </c>
      <c r="I173" s="538">
        <f t="shared" si="45"/>
      </c>
      <c r="J173" s="538">
        <f t="shared" si="98"/>
      </c>
      <c r="K173" s="539">
        <f t="shared" si="146"/>
      </c>
      <c r="L173" s="540">
        <f t="shared" si="240"/>
      </c>
      <c r="M173" s="541">
        <f t="shared" si="163"/>
      </c>
      <c r="N173" s="541">
        <f t="shared" si="259"/>
      </c>
      <c r="O173" s="541">
        <f t="shared" si="276"/>
      </c>
      <c r="P173" s="542">
        <f t="shared" si="23"/>
      </c>
      <c r="Q173" s="543" t="s">
        <v>923</v>
      </c>
      <c r="R173" s="544" t="s">
        <v>949</v>
      </c>
      <c r="S173" s="575">
        <v>4856</v>
      </c>
      <c r="T173" s="575">
        <v>566</v>
      </c>
      <c r="U173" s="575">
        <v>705</v>
      </c>
      <c r="V173" s="575">
        <v>93</v>
      </c>
      <c r="W173" s="567">
        <v>0</v>
      </c>
      <c r="X173" s="567">
        <v>0</v>
      </c>
      <c r="Y173" s="577">
        <v>26</v>
      </c>
    </row>
    <row r="174">
      <c r="A174" s="534"/>
      <c r="B174" s="535" t="s">
        <v>961</v>
      </c>
      <c r="C174" s="552" t="s">
        <v>951</v>
      </c>
      <c r="D174" s="594">
        <v>1109.23</v>
      </c>
      <c r="E174" s="519">
        <v>3</v>
      </c>
      <c r="F174" s="519">
        <v>2</v>
      </c>
      <c r="G174" s="595">
        <v>4858.8</v>
      </c>
      <c r="H174" s="538">
        <f t="shared" si="7"/>
      </c>
      <c r="I174" s="538">
        <f t="shared" si="45"/>
      </c>
      <c r="J174" s="538">
        <f t="shared" si="98"/>
      </c>
      <c r="K174" s="539">
        <f t="shared" si="146"/>
      </c>
      <c r="L174" s="540">
        <f t="shared" si="240"/>
      </c>
      <c r="M174" s="541">
        <f t="shared" si="163"/>
      </c>
      <c r="N174" s="541">
        <f t="shared" si="259"/>
      </c>
      <c r="O174" s="541">
        <f t="shared" si="276"/>
      </c>
      <c r="P174" s="542">
        <f t="shared" si="23"/>
      </c>
      <c r="Q174" s="543" t="s">
        <v>923</v>
      </c>
      <c r="R174" s="544" t="s">
        <v>949</v>
      </c>
      <c r="S174" s="575">
        <v>3001</v>
      </c>
      <c r="T174" s="575">
        <v>362</v>
      </c>
      <c r="U174" s="575">
        <v>467</v>
      </c>
      <c r="V174" s="575">
        <v>56</v>
      </c>
      <c r="W174" s="567">
        <v>4</v>
      </c>
      <c r="X174" s="567">
        <v>1</v>
      </c>
      <c r="Y174" s="577">
        <v>19</v>
      </c>
    </row>
    <row r="175">
      <c r="A175" s="534"/>
      <c r="B175" s="554" t="s">
        <v>936</v>
      </c>
      <c r="C175" s="554"/>
      <c r="D175" s="555">
        <f>SUM(D172:D174)</f>
      </c>
      <c r="E175" s="592">
        <f>SUM(E172:E174)</f>
      </c>
      <c r="F175" s="592">
        <f>SUM(F172:F174)</f>
      </c>
      <c r="G175" s="555">
        <f>SUM(G172:G174)</f>
      </c>
      <c r="H175" s="556">
        <f t="shared" si="7"/>
      </c>
      <c r="I175" s="557">
        <f t="shared" si="45"/>
      </c>
      <c r="J175" s="558">
        <f t="shared" si="98"/>
      </c>
      <c r="K175" s="559">
        <f t="shared" si="146"/>
      </c>
      <c r="L175" s="560">
        <f t="shared" si="240"/>
      </c>
      <c r="M175" s="559">
        <f t="shared" si="163"/>
      </c>
      <c r="N175" s="559">
        <f t="shared" si="259"/>
      </c>
      <c r="O175" s="561">
        <f t="shared" si="276"/>
      </c>
      <c r="P175" s="562">
        <f t="shared" si="23"/>
      </c>
      <c r="Q175" s="560"/>
      <c r="R175" s="560"/>
      <c r="S175" s="563">
        <f>SUM(S172:S174)</f>
      </c>
      <c r="T175" s="563">
        <f>SUM(T172:T174)</f>
      </c>
      <c r="U175" s="563">
        <f>SUM(U172:U174)</f>
      </c>
      <c r="V175" s="563">
        <f>SUM(V172:V174)</f>
      </c>
      <c r="W175" s="563">
        <f>SUM(W172:W174)</f>
      </c>
      <c r="X175" s="563">
        <f>SUM(X172:X174)</f>
      </c>
      <c r="Y175" s="563">
        <f>SUM(Y172:Y174)</f>
      </c>
    </row>
    <row customHeight="true" ht="16.666666666666668" r="176">
      <c r="A176" s="534"/>
      <c r="B176" s="535" t="s">
        <v>975</v>
      </c>
      <c r="C176" s="536" t="s">
        <v>953</v>
      </c>
      <c r="D176" s="594">
        <v>1020.16</v>
      </c>
      <c r="E176" s="519">
        <v>0</v>
      </c>
      <c r="F176" s="519">
        <v>0</v>
      </c>
      <c r="G176" s="595">
        <v>0</v>
      </c>
      <c r="H176" s="538">
        <f t="shared" si="7"/>
      </c>
      <c r="I176" s="538">
        <f t="shared" si="45"/>
      </c>
      <c r="J176" s="538">
        <f t="shared" si="98"/>
      </c>
      <c r="K176" s="539">
        <f t="shared" si="146"/>
      </c>
      <c r="L176" s="540">
        <f t="shared" si="240"/>
      </c>
      <c r="M176" s="541">
        <f t="shared" si="163"/>
      </c>
      <c r="N176" s="541">
        <f t="shared" si="259"/>
      </c>
      <c r="O176" s="541">
        <f t="shared" si="276"/>
      </c>
      <c r="P176" s="542">
        <f t="shared" si="23"/>
      </c>
      <c r="Q176" s="543" t="s">
        <v>952</v>
      </c>
      <c r="R176" s="544" t="s">
        <v>949</v>
      </c>
      <c r="S176" s="575">
        <v>3001</v>
      </c>
      <c r="T176" s="575">
        <v>362</v>
      </c>
      <c r="U176" s="575">
        <v>467</v>
      </c>
      <c r="V176" s="575">
        <v>56</v>
      </c>
      <c r="W176" s="567">
        <v>1</v>
      </c>
      <c r="X176" s="567">
        <v>0</v>
      </c>
      <c r="Y176" s="577">
        <v>10</v>
      </c>
    </row>
    <row r="177">
      <c r="A177" s="534"/>
      <c r="B177" s="535" t="s">
        <v>975</v>
      </c>
      <c r="C177" s="552" t="s">
        <v>954</v>
      </c>
      <c r="D177" s="594">
        <v>1326.12</v>
      </c>
      <c r="E177" s="519">
        <v>1</v>
      </c>
      <c r="F177" s="519">
        <v>1</v>
      </c>
      <c r="G177" s="595">
        <v>1197.6</v>
      </c>
      <c r="H177" s="538">
        <f t="shared" si="7"/>
      </c>
      <c r="I177" s="538">
        <f t="shared" si="45"/>
      </c>
      <c r="J177" s="538">
        <f t="shared" si="98"/>
      </c>
      <c r="K177" s="539">
        <f t="shared" si="146"/>
      </c>
      <c r="L177" s="540">
        <f t="shared" si="240"/>
      </c>
      <c r="M177" s="541">
        <f t="shared" si="163"/>
      </c>
      <c r="N177" s="541">
        <f t="shared" si="259"/>
      </c>
      <c r="O177" s="541">
        <f t="shared" si="276"/>
      </c>
      <c r="P177" s="542">
        <f t="shared" si="23"/>
      </c>
      <c r="Q177" s="543" t="s">
        <v>952</v>
      </c>
      <c r="R177" s="544" t="s">
        <v>949</v>
      </c>
      <c r="S177" s="575">
        <v>3848</v>
      </c>
      <c r="T177" s="575">
        <v>379</v>
      </c>
      <c r="U177" s="575">
        <v>482</v>
      </c>
      <c r="V177" s="575">
        <v>63</v>
      </c>
      <c r="W177" s="567">
        <v>2</v>
      </c>
      <c r="X177" s="567">
        <v>0</v>
      </c>
      <c r="Y177" s="577">
        <v>27</v>
      </c>
    </row>
    <row r="178">
      <c r="A178" s="534"/>
      <c r="B178" s="535" t="s">
        <v>975</v>
      </c>
      <c r="C178" s="536" t="s">
        <v>955</v>
      </c>
      <c r="D178" s="594">
        <v>1931.13</v>
      </c>
      <c r="E178" s="519">
        <v>7</v>
      </c>
      <c r="F178" s="519">
        <v>5</v>
      </c>
      <c r="G178" s="595">
        <v>11333.6</v>
      </c>
      <c r="H178" s="538">
        <f t="shared" si="7"/>
      </c>
      <c r="I178" s="538">
        <f t="shared" si="45"/>
      </c>
      <c r="J178" s="538">
        <f t="shared" si="98"/>
      </c>
      <c r="K178" s="539">
        <f t="shared" si="146"/>
      </c>
      <c r="L178" s="540">
        <f t="shared" si="240"/>
      </c>
      <c r="M178" s="541">
        <f t="shared" si="163"/>
      </c>
      <c r="N178" s="541">
        <f t="shared" si="259"/>
      </c>
      <c r="O178" s="541">
        <f t="shared" si="276"/>
      </c>
      <c r="P178" s="542">
        <f t="shared" si="23"/>
      </c>
      <c r="Q178" s="543" t="s">
        <v>952</v>
      </c>
      <c r="R178" s="544" t="s">
        <v>949</v>
      </c>
      <c r="S178" s="575">
        <v>4532</v>
      </c>
      <c r="T178" s="575">
        <v>525</v>
      </c>
      <c r="U178" s="575">
        <v>664</v>
      </c>
      <c r="V178" s="575">
        <v>69</v>
      </c>
      <c r="W178" s="567">
        <v>9</v>
      </c>
      <c r="X178" s="567">
        <v>2</v>
      </c>
      <c r="Y178" s="577">
        <v>19</v>
      </c>
    </row>
    <row r="179">
      <c r="A179" s="534"/>
      <c r="B179" s="535" t="s">
        <v>975</v>
      </c>
      <c r="C179" s="536" t="s">
        <v>956</v>
      </c>
      <c r="D179" s="594">
        <v>2471.71</v>
      </c>
      <c r="E179" s="519">
        <v>3</v>
      </c>
      <c r="F179" s="519">
        <v>2</v>
      </c>
      <c r="G179" s="595">
        <v>2001.6</v>
      </c>
      <c r="H179" s="538">
        <f t="shared" si="7"/>
      </c>
      <c r="I179" s="538">
        <f t="shared" si="45"/>
      </c>
      <c r="J179" s="538">
        <f t="shared" si="98"/>
      </c>
      <c r="K179" s="539">
        <f t="shared" si="146"/>
      </c>
      <c r="L179" s="540">
        <f t="shared" si="240"/>
      </c>
      <c r="M179" s="541">
        <f t="shared" si="163"/>
      </c>
      <c r="N179" s="541">
        <f t="shared" si="259"/>
      </c>
      <c r="O179" s="541">
        <f t="shared" si="276"/>
      </c>
      <c r="P179" s="542">
        <f t="shared" si="23"/>
      </c>
      <c r="Q179" s="543" t="s">
        <v>952</v>
      </c>
      <c r="R179" s="544" t="s">
        <v>949</v>
      </c>
      <c r="S179" s="575">
        <v>6215</v>
      </c>
      <c r="T179" s="575">
        <v>806</v>
      </c>
      <c r="U179" s="575">
        <v>968</v>
      </c>
      <c r="V179" s="575">
        <v>91</v>
      </c>
      <c r="W179" s="567">
        <v>5</v>
      </c>
      <c r="X179" s="567">
        <v>1</v>
      </c>
      <c r="Y179" s="577">
        <v>38</v>
      </c>
    </row>
    <row r="180">
      <c r="A180" s="534"/>
      <c r="B180" s="535" t="s">
        <v>975</v>
      </c>
      <c r="C180" s="536" t="s">
        <v>957</v>
      </c>
      <c r="D180" s="594">
        <v>1273.23</v>
      </c>
      <c r="E180" s="519">
        <v>9</v>
      </c>
      <c r="F180" s="519">
        <v>3</v>
      </c>
      <c r="G180" s="595">
        <v>11458</v>
      </c>
      <c r="H180" s="538">
        <f t="shared" si="7"/>
      </c>
      <c r="I180" s="538">
        <f t="shared" si="45"/>
      </c>
      <c r="J180" s="538">
        <f t="shared" si="98"/>
      </c>
      <c r="K180" s="539">
        <f t="shared" si="146"/>
      </c>
      <c r="L180" s="540">
        <f t="shared" si="240"/>
      </c>
      <c r="M180" s="541">
        <f t="shared" si="163"/>
      </c>
      <c r="N180" s="541">
        <f t="shared" si="259"/>
      </c>
      <c r="O180" s="541">
        <f t="shared" si="276"/>
      </c>
      <c r="P180" s="542">
        <f t="shared" si="23"/>
      </c>
      <c r="Q180" s="543" t="s">
        <v>952</v>
      </c>
      <c r="R180" s="544" t="s">
        <v>949</v>
      </c>
      <c r="S180" s="575">
        <v>4360</v>
      </c>
      <c r="T180" s="575">
        <v>596</v>
      </c>
      <c r="U180" s="575">
        <v>741</v>
      </c>
      <c r="V180" s="575">
        <v>69</v>
      </c>
      <c r="W180" s="567">
        <v>12</v>
      </c>
      <c r="X180" s="567">
        <v>2</v>
      </c>
      <c r="Y180" s="577">
        <v>29</v>
      </c>
    </row>
    <row r="181">
      <c r="A181" s="534"/>
      <c r="B181" s="554" t="s">
        <v>936</v>
      </c>
      <c r="C181" s="554"/>
      <c r="D181" s="555">
        <f>SUM(D176:D180)</f>
      </c>
      <c r="E181" s="555">
        <f>SUM(E176:E180)</f>
      </c>
      <c r="F181" s="555">
        <f>SUM(F176:F180)</f>
      </c>
      <c r="G181" s="555">
        <f>SUM(G176:G180)</f>
      </c>
      <c r="H181" s="556">
        <f t="shared" si="7"/>
      </c>
      <c r="I181" s="557">
        <f t="shared" si="45"/>
      </c>
      <c r="J181" s="558">
        <f t="shared" si="98"/>
      </c>
      <c r="K181" s="559">
        <f t="shared" si="146"/>
      </c>
      <c r="L181" s="560">
        <f t="shared" si="240"/>
      </c>
      <c r="M181" s="559">
        <f t="shared" si="163"/>
      </c>
      <c r="N181" s="559">
        <f t="shared" si="259"/>
      </c>
      <c r="O181" s="561">
        <f t="shared" si="276"/>
      </c>
      <c r="P181" s="562">
        <f t="shared" si="23"/>
      </c>
      <c r="Q181" s="560"/>
      <c r="R181" s="560"/>
      <c r="S181" s="563">
        <f>SUM(S176:S180)</f>
      </c>
      <c r="T181" s="563">
        <f>SUM(T176:T180)</f>
      </c>
      <c r="U181" s="563">
        <f>SUM(U176:U180)</f>
      </c>
      <c r="V181" s="563">
        <f>SUM(V176:V180)</f>
      </c>
      <c r="W181" s="563">
        <f>SUM(W176:W180)</f>
      </c>
      <c r="X181" s="563">
        <f>SUM(X176:X180)</f>
      </c>
      <c r="Y181" s="563">
        <f>SUM(Y176:Y180)</f>
      </c>
    </row>
    <row r="182">
      <c r="A182" s="534"/>
      <c r="B182" s="579" t="s">
        <v>958</v>
      </c>
      <c r="C182" s="579"/>
      <c r="D182" s="580">
        <f>D166+D171+D181+D175</f>
      </c>
      <c r="E182" s="583">
        <f>E166+E171+E181+E175</f>
      </c>
      <c r="F182" s="583">
        <f>F166+F171+F181+F175</f>
      </c>
      <c r="G182" s="580">
        <f>G166+G171+G175+G181</f>
      </c>
      <c r="H182" s="579">
        <f t="shared" si="7"/>
      </c>
      <c r="I182" s="579">
        <f t="shared" si="45"/>
      </c>
      <c r="J182" s="579">
        <f t="shared" si="98"/>
      </c>
      <c r="K182" s="581">
        <f t="shared" si="146"/>
      </c>
      <c r="L182" s="579">
        <f t="shared" si="240"/>
      </c>
      <c r="M182" s="581">
        <f t="shared" si="163"/>
      </c>
      <c r="N182" s="581">
        <f t="shared" si="259"/>
      </c>
      <c r="O182" s="581">
        <f t="shared" si="276"/>
      </c>
      <c r="P182" s="579">
        <f t="shared" si="23"/>
      </c>
      <c r="Q182" s="582"/>
      <c r="R182" s="582"/>
      <c r="S182" s="583">
        <f>S166+S171+S181+S175</f>
      </c>
      <c r="T182" s="583">
        <f>T166+T171+T181+T175</f>
      </c>
      <c r="U182" s="583">
        <f>U166+U171+U181+U175</f>
      </c>
      <c r="V182" s="583">
        <f>V166+V171+V181+V175</f>
      </c>
      <c r="W182" s="583">
        <f>W166+W171+W181+W175</f>
      </c>
      <c r="X182" s="583">
        <f>X166+X171+X181+X175</f>
      </c>
      <c r="Y182" s="583">
        <f>Y166+Y171+Y181+Y175</f>
      </c>
    </row>
    <row r="183">
      <c r="A183" s="515" t="s">
        <v>882</v>
      </c>
      <c r="B183" s="515"/>
      <c r="C183" s="515"/>
      <c r="D183" s="516" t="s">
        <v>883</v>
      </c>
      <c r="E183" s="516"/>
      <c r="F183" s="516"/>
      <c r="G183" s="516"/>
      <c r="H183" s="516"/>
      <c r="I183" s="516"/>
      <c r="J183" s="516"/>
      <c r="K183" s="517" t="s">
        <v>884</v>
      </c>
      <c r="L183" s="517"/>
      <c r="M183" s="517"/>
      <c r="N183" s="517"/>
      <c r="O183" s="517"/>
      <c r="P183" s="517"/>
      <c r="Q183" s="517"/>
      <c r="R183" s="517"/>
      <c r="S183" s="589" t="s">
        <v>885</v>
      </c>
      <c r="T183" s="589"/>
      <c r="U183" s="589"/>
      <c r="V183" s="589"/>
      <c r="W183" s="589"/>
      <c r="X183" s="589"/>
      <c r="Y183" s="589"/>
      <c r="AA183" s="520" t="s">
        <v>986</v>
      </c>
      <c r="AB183" s="520"/>
      <c r="AC183" s="520"/>
      <c r="AD183" s="520"/>
      <c r="AE183" s="520"/>
      <c r="AF183" s="520"/>
      <c r="AG183" s="520"/>
      <c r="AH183" s="520"/>
      <c r="AI183" s="520"/>
      <c r="AJ183" s="520"/>
      <c r="AK183" s="520"/>
    </row>
    <row r="184">
      <c r="A184" s="521" t="s">
        <v>887</v>
      </c>
      <c r="B184" s="521" t="s">
        <v>888</v>
      </c>
      <c r="C184" s="521" t="s">
        <v>889</v>
      </c>
      <c r="D184" s="522" t="s">
        <v>890</v>
      </c>
      <c r="E184" s="523" t="s">
        <v>891</v>
      </c>
      <c r="F184" s="524" t="s">
        <v>892</v>
      </c>
      <c r="G184" s="522" t="s">
        <v>893</v>
      </c>
      <c r="H184" s="525" t="s">
        <v>894</v>
      </c>
      <c r="I184" s="526" t="s">
        <v>895</v>
      </c>
      <c r="J184" s="522" t="s">
        <v>896</v>
      </c>
      <c r="K184" s="527" t="s">
        <v>897</v>
      </c>
      <c r="L184" s="528" t="s">
        <v>898</v>
      </c>
      <c r="M184" s="527" t="s">
        <v>899</v>
      </c>
      <c r="N184" s="527" t="s">
        <v>900</v>
      </c>
      <c r="O184" s="529" t="s">
        <v>901</v>
      </c>
      <c r="P184" s="529" t="s">
        <v>902</v>
      </c>
      <c r="Q184" s="530" t="s">
        <v>903</v>
      </c>
      <c r="R184" s="530" t="s">
        <v>904</v>
      </c>
      <c r="S184" s="585" t="s">
        <v>905</v>
      </c>
      <c r="T184" s="585" t="s">
        <v>906</v>
      </c>
      <c r="U184" s="585" t="s">
        <v>907</v>
      </c>
      <c r="V184" s="585" t="s">
        <v>908</v>
      </c>
      <c r="W184" s="585" t="s">
        <v>909</v>
      </c>
      <c r="X184" s="585" t="s">
        <v>910</v>
      </c>
      <c r="Y184" s="586" t="s">
        <v>911</v>
      </c>
      <c r="AA184" s="533" t="s">
        <v>912</v>
      </c>
      <c r="AB184" s="533" t="s">
        <v>913</v>
      </c>
      <c r="AC184" s="533" t="s">
        <v>914</v>
      </c>
      <c r="AD184" s="533" t="s">
        <v>915</v>
      </c>
      <c r="AE184" s="533" t="s">
        <v>916</v>
      </c>
      <c r="AF184" s="533" t="s">
        <v>917</v>
      </c>
      <c r="AG184" s="533" t="s">
        <v>896</v>
      </c>
      <c r="AH184" s="533" t="s">
        <v>918</v>
      </c>
      <c r="AI184" s="533" t="s">
        <v>894</v>
      </c>
      <c r="AJ184" s="533" t="s">
        <v>919</v>
      </c>
      <c r="AK184" s="533"/>
    </row>
    <row r="185">
      <c r="A185" s="534" t="s">
        <v>987</v>
      </c>
      <c r="B185" s="535" t="s">
        <v>930</v>
      </c>
      <c r="C185" s="536" t="s">
        <v>922</v>
      </c>
      <c r="D185" s="535">
        <v>2250.13</v>
      </c>
      <c r="E185" s="519">
        <v>3</v>
      </c>
      <c r="F185" s="519">
        <v>1</v>
      </c>
      <c r="G185" s="535">
        <v>3594.3</v>
      </c>
      <c r="H185" s="538">
        <f t="shared" ref="H185:H205" si="8">G185/D185</f>
      </c>
      <c r="I185" s="538">
        <f t="shared" ref="I185:I205" si="46">D185/E185</f>
      </c>
      <c r="J185" s="538">
        <f t="shared" ref="J185:J205" si="99">G185/E185</f>
      </c>
      <c r="K185" s="539">
        <f t="shared" ref="K185:K205" si="147">T185/S185</f>
      </c>
      <c r="L185" s="540">
        <f t="shared" ref="L185:L205" si="241">D185/U185</f>
      </c>
      <c r="M185" s="541">
        <f t="shared" ref="M185:M205" si="164">V185/U185</f>
      </c>
      <c r="N185" s="541">
        <f t="shared" ref="N185:N205" si="260">E185/W185</f>
      </c>
      <c r="O185" s="541">
        <f t="shared" ref="O185:O205" si="277">X185/E185</f>
      </c>
      <c r="P185" s="542">
        <f t="shared" ref="P185:P205" si="24">(Y185*1000)/D185</f>
      </c>
      <c r="Q185" s="543" t="s">
        <v>923</v>
      </c>
      <c r="R185" s="544" t="s">
        <v>924</v>
      </c>
      <c r="S185" s="545">
        <v>5592</v>
      </c>
      <c r="T185" s="545">
        <v>658</v>
      </c>
      <c r="U185" s="545">
        <v>840</v>
      </c>
      <c r="V185" s="545">
        <v>61</v>
      </c>
      <c r="W185" s="545">
        <v>6</v>
      </c>
      <c r="X185" s="545">
        <v>1</v>
      </c>
      <c r="Y185" s="545">
        <v>47</v>
      </c>
      <c r="AA185" s="546" t="s">
        <v>930</v>
      </c>
      <c r="AB185" s="547" t="s">
        <v>974</v>
      </c>
      <c r="AC185" s="546">
        <v>4</v>
      </c>
      <c r="AD185" s="546">
        <v>10134.89</v>
      </c>
      <c r="AE185" s="546">
        <v>9309.9</v>
      </c>
      <c r="AF185" s="546">
        <v>8</v>
      </c>
      <c r="AG185" s="549">
        <f t="shared" ref="AG185:AG189" si="78">AE185/AF185</f>
      </c>
      <c r="AH185" s="549">
        <f t="shared" ref="AH185:AH189" si="131">AD185/AF185</f>
      </c>
      <c r="AI185" s="549">
        <f t="shared" ref="AI185:AI189" si="196">AE185/AD185</f>
      </c>
      <c r="AJ185" s="548">
        <f t="shared" ref="AJ185:AJ189" si="225">AD185/AC185</f>
      </c>
      <c r="AK185" s="548"/>
    </row>
    <row r="186">
      <c r="A186" s="534"/>
      <c r="B186" s="535" t="s">
        <v>930</v>
      </c>
      <c r="C186" s="535" t="s">
        <v>926</v>
      </c>
      <c r="D186" s="535">
        <v>2766.69</v>
      </c>
      <c r="E186" s="519">
        <v>2</v>
      </c>
      <c r="F186" s="519">
        <v>2</v>
      </c>
      <c r="G186" s="535">
        <v>966</v>
      </c>
      <c r="H186" s="538">
        <f t="shared" si="8"/>
      </c>
      <c r="I186" s="538">
        <f t="shared" si="46"/>
      </c>
      <c r="J186" s="538">
        <f t="shared" si="99"/>
      </c>
      <c r="K186" s="539">
        <f t="shared" si="147"/>
      </c>
      <c r="L186" s="540">
        <f t="shared" si="241"/>
      </c>
      <c r="M186" s="541">
        <f t="shared" si="164"/>
      </c>
      <c r="N186" s="541">
        <f t="shared" si="260"/>
      </c>
      <c r="O186" s="541">
        <f t="shared" si="277"/>
      </c>
      <c r="P186" s="542">
        <f t="shared" si="24"/>
      </c>
      <c r="Q186" s="543" t="s">
        <v>923</v>
      </c>
      <c r="R186" s="544" t="s">
        <v>924</v>
      </c>
      <c r="S186" s="545">
        <v>7256</v>
      </c>
      <c r="T186" s="545">
        <v>733</v>
      </c>
      <c r="U186" s="545">
        <v>905</v>
      </c>
      <c r="V186" s="545">
        <v>104</v>
      </c>
      <c r="W186" s="545">
        <v>5</v>
      </c>
      <c r="X186" s="545">
        <v>0</v>
      </c>
      <c r="Y186" s="545">
        <v>34</v>
      </c>
      <c r="AA186" s="546" t="s">
        <v>975</v>
      </c>
      <c r="AB186" s="547" t="s">
        <v>976</v>
      </c>
      <c r="AC186" s="546">
        <v>4</v>
      </c>
      <c r="AD186" s="546">
        <v>7989.22</v>
      </c>
      <c r="AE186" s="546">
        <v>18499.2</v>
      </c>
      <c r="AF186" s="546">
        <v>12</v>
      </c>
      <c r="AG186" s="549">
        <f t="shared" si="78"/>
      </c>
      <c r="AH186" s="549">
        <f t="shared" si="131"/>
      </c>
      <c r="AI186" s="549">
        <f t="shared" si="196"/>
      </c>
      <c r="AJ186" s="548">
        <f t="shared" si="225"/>
      </c>
      <c r="AK186" s="548"/>
    </row>
    <row r="187">
      <c r="A187" s="534"/>
      <c r="B187" s="535" t="s">
        <v>930</v>
      </c>
      <c r="C187" s="535" t="s">
        <v>929</v>
      </c>
      <c r="D187" s="535">
        <v>3089.65</v>
      </c>
      <c r="E187" s="519">
        <v>1</v>
      </c>
      <c r="F187" s="519">
        <v>2</v>
      </c>
      <c r="G187" s="535">
        <v>1197.6</v>
      </c>
      <c r="H187" s="538">
        <f t="shared" si="8"/>
      </c>
      <c r="I187" s="538">
        <f t="shared" si="46"/>
      </c>
      <c r="J187" s="538">
        <f t="shared" si="99"/>
      </c>
      <c r="K187" s="539">
        <f t="shared" si="147"/>
      </c>
      <c r="L187" s="540">
        <f t="shared" si="241"/>
      </c>
      <c r="M187" s="541">
        <f t="shared" si="164"/>
      </c>
      <c r="N187" s="541">
        <f t="shared" si="260"/>
      </c>
      <c r="O187" s="541">
        <f t="shared" si="277"/>
      </c>
      <c r="P187" s="542">
        <f t="shared" si="24"/>
      </c>
      <c r="Q187" s="543" t="s">
        <v>923</v>
      </c>
      <c r="R187" s="544" t="s">
        <v>924</v>
      </c>
      <c r="S187" s="545">
        <v>5744</v>
      </c>
      <c r="T187" s="545">
        <v>580</v>
      </c>
      <c r="U187" s="545">
        <v>758</v>
      </c>
      <c r="V187" s="545">
        <v>112</v>
      </c>
      <c r="W187" s="545">
        <v>4</v>
      </c>
      <c r="X187" s="545">
        <v>0</v>
      </c>
      <c r="Y187" s="545">
        <v>49</v>
      </c>
      <c r="AA187" s="546" t="s">
        <v>988</v>
      </c>
      <c r="AB187" s="547" t="s">
        <v>977</v>
      </c>
      <c r="AC187" s="546">
        <v>3</v>
      </c>
      <c r="AD187" s="546">
        <v>5644.13</v>
      </c>
      <c r="AE187" s="546">
        <v>8043.2</v>
      </c>
      <c r="AF187" s="546">
        <v>6</v>
      </c>
      <c r="AG187" s="549">
        <f t="shared" si="78"/>
      </c>
      <c r="AH187" s="549">
        <f t="shared" si="131"/>
      </c>
      <c r="AI187" s="549">
        <f t="shared" si="196"/>
      </c>
      <c r="AJ187" s="548">
        <f t="shared" si="225"/>
      </c>
      <c r="AK187" s="548"/>
    </row>
    <row r="188">
      <c r="A188" s="534"/>
      <c r="B188" s="535" t="s">
        <v>930</v>
      </c>
      <c r="C188" s="535" t="s">
        <v>932</v>
      </c>
      <c r="D188" s="535">
        <v>2028.42</v>
      </c>
      <c r="E188" s="519">
        <v>2</v>
      </c>
      <c r="F188" s="519">
        <v>1</v>
      </c>
      <c r="G188" s="535">
        <v>3552</v>
      </c>
      <c r="H188" s="538">
        <f t="shared" si="8"/>
      </c>
      <c r="I188" s="538">
        <f t="shared" si="46"/>
      </c>
      <c r="J188" s="538">
        <f t="shared" si="99"/>
      </c>
      <c r="K188" s="539">
        <f t="shared" si="147"/>
      </c>
      <c r="L188" s="540">
        <f t="shared" si="241"/>
      </c>
      <c r="M188" s="541">
        <f t="shared" si="164"/>
      </c>
      <c r="N188" s="541">
        <f t="shared" si="260"/>
      </c>
      <c r="O188" s="541">
        <f t="shared" si="277"/>
      </c>
      <c r="P188" s="542">
        <f t="shared" si="24"/>
      </c>
      <c r="Q188" s="543" t="s">
        <v>923</v>
      </c>
      <c r="R188" s="544" t="s">
        <v>924</v>
      </c>
      <c r="S188" s="545">
        <v>3664</v>
      </c>
      <c r="T188" s="545">
        <v>355</v>
      </c>
      <c r="U188" s="545">
        <v>443</v>
      </c>
      <c r="V188" s="545">
        <v>56</v>
      </c>
      <c r="W188" s="545">
        <v>1</v>
      </c>
      <c r="X188" s="545">
        <v>0</v>
      </c>
      <c r="Y188" s="545">
        <v>38</v>
      </c>
      <c r="AA188" s="546" t="s">
        <v>966</v>
      </c>
      <c r="AB188" s="547" t="s">
        <v>978</v>
      </c>
      <c r="AC188" s="546">
        <v>5</v>
      </c>
      <c r="AD188" s="546">
        <v>10178.14</v>
      </c>
      <c r="AE188" s="546">
        <v>23579.7</v>
      </c>
      <c r="AF188" s="546">
        <v>18</v>
      </c>
      <c r="AG188" s="549">
        <f t="shared" si="78"/>
      </c>
      <c r="AH188" s="549">
        <f t="shared" si="131"/>
      </c>
      <c r="AI188" s="549">
        <f t="shared" si="196"/>
      </c>
      <c r="AJ188" s="548">
        <f t="shared" si="225"/>
      </c>
      <c r="AK188" s="548"/>
    </row>
    <row r="189">
      <c r="A189" s="534"/>
      <c r="B189" s="554" t="s">
        <v>936</v>
      </c>
      <c r="C189" s="554"/>
      <c r="D189" s="555">
        <f>SUM(D185:D188)</f>
      </c>
      <c r="E189" s="592">
        <f>SUM(E185:E188)</f>
      </c>
      <c r="F189" s="592">
        <f>SUM(F185:F188)</f>
      </c>
      <c r="G189" s="555">
        <f>SUM(G185:G188)</f>
      </c>
      <c r="H189" s="556">
        <f t="shared" si="8"/>
      </c>
      <c r="I189" s="557">
        <f t="shared" si="46"/>
      </c>
      <c r="J189" s="558">
        <f t="shared" si="99"/>
      </c>
      <c r="K189" s="559">
        <f t="shared" si="147"/>
      </c>
      <c r="L189" s="560">
        <f t="shared" si="241"/>
      </c>
      <c r="M189" s="559">
        <f t="shared" si="164"/>
      </c>
      <c r="N189" s="559">
        <f t="shared" si="260"/>
      </c>
      <c r="O189" s="561">
        <f t="shared" si="277"/>
      </c>
      <c r="P189" s="562">
        <f t="shared" si="24"/>
      </c>
      <c r="Q189" s="560"/>
      <c r="R189" s="560"/>
      <c r="S189" s="563">
        <f>SUM(S185:S188)</f>
      </c>
      <c r="T189" s="563">
        <f>SUM(T185:T188)</f>
      </c>
      <c r="U189" s="563">
        <f>SUM(U185:U188)</f>
      </c>
      <c r="V189" s="563">
        <f>SUM(V185:V188)</f>
      </c>
      <c r="W189" s="563">
        <f>SUM(W185:W188)</f>
      </c>
      <c r="X189" s="563">
        <f>SUM(X185:X188)</f>
      </c>
      <c r="Y189" s="563">
        <f>SUM(Y185:Y188)</f>
      </c>
      <c r="AA189" s="533" t="s">
        <v>933</v>
      </c>
      <c r="AB189" s="533"/>
      <c r="AC189" s="533">
        <f>SUM(AC185:AC188)</f>
      </c>
      <c r="AD189" s="533">
        <f>SUM(AD185:AD188)</f>
      </c>
      <c r="AE189" s="533">
        <f>SUM(AE185:AE188)</f>
      </c>
      <c r="AF189" s="533">
        <f>SUM(AF185:AF188)</f>
      </c>
      <c r="AG189" s="551">
        <f t="shared" si="78"/>
      </c>
      <c r="AH189" s="551">
        <f t="shared" si="131"/>
      </c>
      <c r="AI189" s="551">
        <f t="shared" si="196"/>
      </c>
      <c r="AJ189" s="550">
        <f t="shared" si="225"/>
      </c>
      <c r="AK189" s="550"/>
    </row>
    <row r="190">
      <c r="A190" s="534"/>
      <c r="B190" s="535" t="s">
        <v>975</v>
      </c>
      <c r="C190" s="552" t="s">
        <v>934</v>
      </c>
      <c r="D190" s="535">
        <v>1249.96</v>
      </c>
      <c r="E190" s="519">
        <v>3</v>
      </c>
      <c r="F190" s="519">
        <v>1</v>
      </c>
      <c r="G190" s="535">
        <v>5512.8</v>
      </c>
      <c r="H190" s="538">
        <f t="shared" si="8"/>
      </c>
      <c r="I190" s="538">
        <f t="shared" si="46"/>
      </c>
      <c r="J190" s="538">
        <f t="shared" si="99"/>
      </c>
      <c r="K190" s="539">
        <f t="shared" si="147"/>
      </c>
      <c r="L190" s="540">
        <f t="shared" si="241"/>
      </c>
      <c r="M190" s="541">
        <f t="shared" si="164"/>
      </c>
      <c r="N190" s="541">
        <f t="shared" si="260"/>
      </c>
      <c r="O190" s="541">
        <f t="shared" si="277"/>
      </c>
      <c r="P190" s="542">
        <f t="shared" si="24"/>
      </c>
      <c r="Q190" s="543" t="s">
        <v>923</v>
      </c>
      <c r="R190" s="544" t="s">
        <v>924</v>
      </c>
      <c r="S190" s="545">
        <v>2472</v>
      </c>
      <c r="T190" s="545">
        <v>242</v>
      </c>
      <c r="U190" s="545">
        <v>349</v>
      </c>
      <c r="V190" s="545">
        <v>42</v>
      </c>
      <c r="W190" s="545">
        <v>4</v>
      </c>
      <c r="X190" s="545">
        <v>1</v>
      </c>
      <c r="Y190" s="545">
        <v>19</v>
      </c>
      <c r="AA190" s="553" t="s">
        <v>935</v>
      </c>
      <c r="AB190" s="553"/>
      <c r="AC190" s="553"/>
      <c r="AD190" s="553"/>
      <c r="AE190" s="553"/>
      <c r="AF190" s="553"/>
      <c r="AG190" s="553"/>
      <c r="AH190" s="553"/>
      <c r="AI190" s="553"/>
      <c r="AJ190" s="553"/>
      <c r="AK190" s="553"/>
    </row>
    <row r="191">
      <c r="A191" s="534"/>
      <c r="B191" s="535" t="s">
        <v>975</v>
      </c>
      <c r="C191" s="566" t="s">
        <v>945</v>
      </c>
      <c r="D191" s="535">
        <v>2156.66</v>
      </c>
      <c r="E191" s="519">
        <v>4</v>
      </c>
      <c r="F191" s="545">
        <v>4</v>
      </c>
      <c r="G191" s="535">
        <v>8282.4</v>
      </c>
      <c r="H191" s="538">
        <f t="shared" si="8"/>
      </c>
      <c r="I191" s="538">
        <f t="shared" si="46"/>
      </c>
      <c r="J191" s="538">
        <f t="shared" si="99"/>
      </c>
      <c r="K191" s="539">
        <f t="shared" si="147"/>
      </c>
      <c r="L191" s="540">
        <f t="shared" si="241"/>
      </c>
      <c r="M191" s="541">
        <f t="shared" si="164"/>
      </c>
      <c r="N191" s="541">
        <f t="shared" si="260"/>
      </c>
      <c r="O191" s="541">
        <f t="shared" si="277"/>
      </c>
      <c r="P191" s="542">
        <f t="shared" si="24"/>
      </c>
      <c r="Q191" s="543" t="s">
        <v>923</v>
      </c>
      <c r="R191" s="544" t="s">
        <v>924</v>
      </c>
      <c r="S191" s="545">
        <v>4427</v>
      </c>
      <c r="T191" s="545">
        <v>433</v>
      </c>
      <c r="U191" s="545">
        <v>586</v>
      </c>
      <c r="V191" s="545">
        <v>58</v>
      </c>
      <c r="W191" s="545">
        <v>4</v>
      </c>
      <c r="X191" s="545">
        <v>0</v>
      </c>
      <c r="Y191" s="545">
        <v>33</v>
      </c>
      <c r="AA191" s="564" t="s">
        <v>915</v>
      </c>
      <c r="AB191" s="564" t="s">
        <v>937</v>
      </c>
      <c r="AC191" s="564" t="s">
        <v>938</v>
      </c>
      <c r="AD191" s="564" t="s">
        <v>939</v>
      </c>
      <c r="AE191" s="564" t="s">
        <v>940</v>
      </c>
      <c r="AF191" s="564" t="s">
        <v>941</v>
      </c>
      <c r="AG191" s="564" t="s">
        <v>942</v>
      </c>
      <c r="AH191" s="565" t="s">
        <v>910</v>
      </c>
      <c r="AI191" s="565" t="s">
        <v>943</v>
      </c>
      <c r="AJ191" s="565" t="s">
        <v>944</v>
      </c>
      <c r="AK191" s="565" t="s">
        <v>914</v>
      </c>
    </row>
    <row r="192">
      <c r="A192" s="534"/>
      <c r="B192" s="535" t="s">
        <v>975</v>
      </c>
      <c r="C192" s="566" t="s">
        <v>946</v>
      </c>
      <c r="D192" s="535">
        <v>2295.3</v>
      </c>
      <c r="E192" s="519">
        <v>2</v>
      </c>
      <c r="F192" s="519">
        <v>1</v>
      </c>
      <c r="G192" s="535">
        <v>1850.4</v>
      </c>
      <c r="H192" s="538">
        <f t="shared" si="8"/>
      </c>
      <c r="I192" s="538">
        <f t="shared" si="46"/>
      </c>
      <c r="J192" s="538">
        <f t="shared" si="99"/>
      </c>
      <c r="K192" s="539">
        <f t="shared" si="147"/>
      </c>
      <c r="L192" s="540">
        <f t="shared" si="241"/>
      </c>
      <c r="M192" s="541">
        <f t="shared" si="164"/>
      </c>
      <c r="N192" s="541">
        <f t="shared" si="260"/>
      </c>
      <c r="O192" s="541">
        <f t="shared" si="277"/>
      </c>
      <c r="P192" s="542">
        <f t="shared" si="24"/>
      </c>
      <c r="Q192" s="543" t="s">
        <v>923</v>
      </c>
      <c r="R192" s="544" t="s">
        <v>924</v>
      </c>
      <c r="S192" s="545">
        <v>5477</v>
      </c>
      <c r="T192" s="545">
        <v>472</v>
      </c>
      <c r="U192" s="545">
        <v>591</v>
      </c>
      <c r="V192" s="545">
        <v>65</v>
      </c>
      <c r="W192" s="545">
        <v>2</v>
      </c>
      <c r="X192" s="545">
        <v>0</v>
      </c>
      <c r="Y192" s="545">
        <v>28</v>
      </c>
      <c r="AA192" s="568">
        <f>SUM(AD185:AD188)</f>
      </c>
      <c r="AB192" s="568">
        <f>SUM(AE185:AE188)</f>
      </c>
      <c r="AC192" s="569">
        <f>AB192/((AK192*300)+AA192)</f>
      </c>
      <c r="AD192" s="570">
        <f>AA192/AJ192</f>
      </c>
      <c r="AE192" s="569">
        <f>AB192/AJ192</f>
      </c>
      <c r="AF192" s="571">
        <f>AJ192/AI192</f>
      </c>
      <c r="AG192" s="571">
        <f>AH192/AJ192</f>
      </c>
      <c r="AH192" s="572">
        <v>6</v>
      </c>
      <c r="AI192" s="572">
        <v>68</v>
      </c>
      <c r="AJ192" s="572">
        <f>AF189</f>
      </c>
      <c r="AK192" s="573">
        <f>AC189</f>
      </c>
    </row>
    <row r="193">
      <c r="A193" s="534"/>
      <c r="B193" s="535" t="s">
        <v>975</v>
      </c>
      <c r="C193" s="566" t="s">
        <v>947</v>
      </c>
      <c r="D193" s="535">
        <v>2287.3</v>
      </c>
      <c r="E193" s="519">
        <v>3</v>
      </c>
      <c r="F193" s="519">
        <v>2</v>
      </c>
      <c r="G193" s="574">
        <v>2853.6</v>
      </c>
      <c r="H193" s="538">
        <f t="shared" si="8"/>
      </c>
      <c r="I193" s="538">
        <f t="shared" si="46"/>
      </c>
      <c r="J193" s="538">
        <f t="shared" si="99"/>
      </c>
      <c r="K193" s="539">
        <f t="shared" si="147"/>
      </c>
      <c r="L193" s="540">
        <f t="shared" si="241"/>
      </c>
      <c r="M193" s="541">
        <f t="shared" si="164"/>
      </c>
      <c r="N193" s="541">
        <f t="shared" si="260"/>
      </c>
      <c r="O193" s="541">
        <f t="shared" si="277"/>
      </c>
      <c r="P193" s="542">
        <f t="shared" si="24"/>
      </c>
      <c r="Q193" s="543" t="s">
        <v>923</v>
      </c>
      <c r="R193" s="544" t="s">
        <v>924</v>
      </c>
      <c r="S193" s="545">
        <v>5097</v>
      </c>
      <c r="T193" s="545">
        <v>452</v>
      </c>
      <c r="U193" s="545">
        <v>567</v>
      </c>
      <c r="V193" s="545">
        <v>68</v>
      </c>
      <c r="W193" s="545">
        <v>4</v>
      </c>
      <c r="X193" s="545">
        <v>0</v>
      </c>
      <c r="Y193" s="574">
        <v>19</v>
      </c>
    </row>
    <row r="194">
      <c r="A194" s="534"/>
      <c r="B194" s="554" t="s">
        <v>936</v>
      </c>
      <c r="C194" s="554"/>
      <c r="D194" s="555">
        <f>SUM(D190:D193)</f>
      </c>
      <c r="E194" s="592">
        <f>SUM(E190:E193)</f>
      </c>
      <c r="F194" s="592">
        <f>SUM(F190:F193)</f>
      </c>
      <c r="G194" s="555">
        <f>SUM(G190:G193)</f>
      </c>
      <c r="H194" s="556">
        <f t="shared" si="8"/>
      </c>
      <c r="I194" s="557">
        <f t="shared" si="46"/>
      </c>
      <c r="J194" s="558">
        <f t="shared" si="99"/>
      </c>
      <c r="K194" s="559">
        <f t="shared" si="147"/>
      </c>
      <c r="L194" s="560">
        <f t="shared" si="241"/>
      </c>
      <c r="M194" s="559">
        <f t="shared" si="164"/>
      </c>
      <c r="N194" s="559">
        <f t="shared" si="260"/>
      </c>
      <c r="O194" s="561">
        <f t="shared" si="277"/>
      </c>
      <c r="P194" s="562">
        <f t="shared" si="24"/>
      </c>
      <c r="Q194" s="560"/>
      <c r="R194" s="560"/>
      <c r="S194" s="563">
        <f>SUM(S190:S193)</f>
      </c>
      <c r="T194" s="563">
        <f>SUM(T190:T193)</f>
      </c>
      <c r="U194" s="563">
        <f>SUM(U190:U193)</f>
      </c>
      <c r="V194" s="563">
        <f>SUM(V190:V193)</f>
      </c>
      <c r="W194" s="563">
        <f>SUM(W190:W193)</f>
      </c>
      <c r="X194" s="563">
        <f>SUM(X190:X193)</f>
      </c>
      <c r="Y194" s="563">
        <f>SUM(Y190:Y193)</f>
      </c>
    </row>
    <row r="195">
      <c r="A195" s="534"/>
      <c r="B195" s="535" t="s">
        <v>988</v>
      </c>
      <c r="C195" s="566" t="s">
        <v>948</v>
      </c>
      <c r="D195" s="594">
        <v>2187.05</v>
      </c>
      <c r="E195" s="519">
        <v>1</v>
      </c>
      <c r="F195" s="519">
        <v>1</v>
      </c>
      <c r="G195" s="595">
        <v>368</v>
      </c>
      <c r="H195" s="538">
        <f t="shared" si="8"/>
      </c>
      <c r="I195" s="538">
        <f t="shared" si="46"/>
      </c>
      <c r="J195" s="538">
        <f t="shared" si="99"/>
      </c>
      <c r="K195" s="539">
        <f t="shared" si="147"/>
      </c>
      <c r="L195" s="540">
        <f t="shared" si="241"/>
      </c>
      <c r="M195" s="541">
        <f t="shared" si="164"/>
      </c>
      <c r="N195" s="541">
        <f t="shared" si="260"/>
      </c>
      <c r="O195" s="541">
        <f t="shared" si="277"/>
      </c>
      <c r="P195" s="542">
        <f t="shared" si="24"/>
      </c>
      <c r="Q195" s="543" t="s">
        <v>923</v>
      </c>
      <c r="R195" s="544" t="s">
        <v>949</v>
      </c>
      <c r="S195" s="575">
        <v>4066</v>
      </c>
      <c r="T195" s="575">
        <v>428</v>
      </c>
      <c r="U195" s="575">
        <v>558</v>
      </c>
      <c r="V195" s="575">
        <v>64</v>
      </c>
      <c r="W195" s="567">
        <v>2</v>
      </c>
      <c r="X195" s="567">
        <v>0</v>
      </c>
      <c r="Y195" s="577">
        <v>22</v>
      </c>
    </row>
    <row r="196">
      <c r="A196" s="534"/>
      <c r="B196" s="535" t="s">
        <v>988</v>
      </c>
      <c r="C196" s="552" t="s">
        <v>950</v>
      </c>
      <c r="D196" s="594">
        <v>1692.75</v>
      </c>
      <c r="E196" s="519">
        <v>2</v>
      </c>
      <c r="F196" s="519">
        <v>2</v>
      </c>
      <c r="G196" s="595">
        <v>2395.2</v>
      </c>
      <c r="H196" s="538">
        <f t="shared" si="8"/>
      </c>
      <c r="I196" s="538">
        <f t="shared" si="46"/>
      </c>
      <c r="J196" s="538">
        <f t="shared" si="99"/>
      </c>
      <c r="K196" s="539">
        <f t="shared" si="147"/>
      </c>
      <c r="L196" s="540">
        <f t="shared" si="241"/>
      </c>
      <c r="M196" s="541">
        <f t="shared" si="164"/>
      </c>
      <c r="N196" s="541">
        <f t="shared" si="260"/>
      </c>
      <c r="O196" s="541">
        <f t="shared" si="277"/>
      </c>
      <c r="P196" s="542">
        <f t="shared" si="24"/>
      </c>
      <c r="Q196" s="543" t="s">
        <v>923</v>
      </c>
      <c r="R196" s="544" t="s">
        <v>949</v>
      </c>
      <c r="S196" s="575">
        <v>3570</v>
      </c>
      <c r="T196" s="575">
        <v>410</v>
      </c>
      <c r="U196" s="575">
        <v>517</v>
      </c>
      <c r="V196" s="575">
        <v>58</v>
      </c>
      <c r="W196" s="567">
        <v>5</v>
      </c>
      <c r="X196" s="567">
        <v>0</v>
      </c>
      <c r="Y196" s="577">
        <v>16</v>
      </c>
    </row>
    <row r="197">
      <c r="A197" s="534"/>
      <c r="B197" s="535" t="s">
        <v>988</v>
      </c>
      <c r="C197" s="552" t="s">
        <v>951</v>
      </c>
      <c r="D197" s="594">
        <v>1764.33</v>
      </c>
      <c r="E197" s="519">
        <v>3</v>
      </c>
      <c r="F197" s="519">
        <v>2</v>
      </c>
      <c r="G197" s="595">
        <v>5280</v>
      </c>
      <c r="H197" s="538">
        <f t="shared" si="8"/>
      </c>
      <c r="I197" s="538">
        <f t="shared" si="46"/>
      </c>
      <c r="J197" s="538">
        <f t="shared" si="99"/>
      </c>
      <c r="K197" s="539">
        <f t="shared" si="147"/>
      </c>
      <c r="L197" s="540">
        <f t="shared" si="241"/>
      </c>
      <c r="M197" s="541">
        <f t="shared" si="164"/>
      </c>
      <c r="N197" s="541">
        <f t="shared" si="260"/>
      </c>
      <c r="O197" s="541">
        <f t="shared" si="277"/>
      </c>
      <c r="P197" s="542">
        <f t="shared" si="24"/>
      </c>
      <c r="Q197" s="543" t="s">
        <v>923</v>
      </c>
      <c r="R197" s="544" t="s">
        <v>949</v>
      </c>
      <c r="S197" s="575">
        <v>3989</v>
      </c>
      <c r="T197" s="575">
        <v>431</v>
      </c>
      <c r="U197" s="575">
        <v>563</v>
      </c>
      <c r="V197" s="575">
        <v>68</v>
      </c>
      <c r="W197" s="567">
        <v>5</v>
      </c>
      <c r="X197" s="567">
        <v>1</v>
      </c>
      <c r="Y197" s="577">
        <v>23</v>
      </c>
    </row>
    <row r="198">
      <c r="A198" s="534"/>
      <c r="B198" s="554" t="s">
        <v>936</v>
      </c>
      <c r="C198" s="554"/>
      <c r="D198" s="555">
        <f>SUM(D195:D197)</f>
      </c>
      <c r="E198" s="592">
        <f>SUM(E195:E197)</f>
      </c>
      <c r="F198" s="592">
        <f>SUM(F195:F197)</f>
      </c>
      <c r="G198" s="555">
        <f>SUM(G195:G197)</f>
      </c>
      <c r="H198" s="556">
        <f t="shared" si="8"/>
      </c>
      <c r="I198" s="557">
        <f t="shared" si="46"/>
      </c>
      <c r="J198" s="558">
        <f t="shared" si="99"/>
      </c>
      <c r="K198" s="559">
        <f t="shared" si="147"/>
      </c>
      <c r="L198" s="560">
        <f t="shared" si="241"/>
      </c>
      <c r="M198" s="559">
        <f t="shared" si="164"/>
      </c>
      <c r="N198" s="559">
        <f t="shared" si="260"/>
      </c>
      <c r="O198" s="561">
        <f t="shared" si="277"/>
      </c>
      <c r="P198" s="562">
        <f t="shared" si="24"/>
      </c>
      <c r="Q198" s="560"/>
      <c r="R198" s="560"/>
      <c r="S198" s="563">
        <f>SUM(S195:S197)</f>
      </c>
      <c r="T198" s="563">
        <f>SUM(T195:T197)</f>
      </c>
      <c r="U198" s="563">
        <f>SUM(U195:U197)</f>
      </c>
      <c r="V198" s="563">
        <f>SUM(V195:V197)</f>
      </c>
      <c r="W198" s="563">
        <f>SUM(W195:W197)</f>
      </c>
      <c r="X198" s="563">
        <f>SUM(X195:X197)</f>
      </c>
      <c r="Y198" s="563">
        <f>SUM(Y195:Y197)</f>
      </c>
    </row>
    <row r="199">
      <c r="A199" s="534"/>
      <c r="B199" s="535" t="s">
        <v>966</v>
      </c>
      <c r="C199" s="536" t="s">
        <v>953</v>
      </c>
      <c r="D199" s="594">
        <v>1886.77</v>
      </c>
      <c r="E199" s="519">
        <v>4</v>
      </c>
      <c r="F199" s="519">
        <v>1</v>
      </c>
      <c r="G199" s="595">
        <v>4156.8</v>
      </c>
      <c r="H199" s="538">
        <f t="shared" si="8"/>
      </c>
      <c r="I199" s="538">
        <f t="shared" si="46"/>
      </c>
      <c r="J199" s="538">
        <f t="shared" si="99"/>
      </c>
      <c r="K199" s="539">
        <f t="shared" si="147"/>
      </c>
      <c r="L199" s="540">
        <f t="shared" si="241"/>
      </c>
      <c r="M199" s="541">
        <f t="shared" si="164"/>
      </c>
      <c r="N199" s="541">
        <f t="shared" si="260"/>
      </c>
      <c r="O199" s="541">
        <f t="shared" si="277"/>
      </c>
      <c r="P199" s="542">
        <f t="shared" si="24"/>
      </c>
      <c r="Q199" s="543" t="s">
        <v>952</v>
      </c>
      <c r="R199" s="544" t="s">
        <v>949</v>
      </c>
      <c r="S199" s="575">
        <v>5108</v>
      </c>
      <c r="T199" s="575">
        <v>467</v>
      </c>
      <c r="U199" s="575">
        <v>554</v>
      </c>
      <c r="V199" s="575">
        <v>58</v>
      </c>
      <c r="W199" s="567">
        <v>6</v>
      </c>
      <c r="X199" s="567">
        <v>1</v>
      </c>
      <c r="Y199" s="577">
        <v>21</v>
      </c>
    </row>
    <row r="200">
      <c r="A200" s="534"/>
      <c r="B200" s="535" t="s">
        <v>966</v>
      </c>
      <c r="C200" s="552" t="s">
        <v>954</v>
      </c>
      <c r="D200" s="594">
        <v>2079.03</v>
      </c>
      <c r="E200" s="519">
        <v>1</v>
      </c>
      <c r="F200" s="519">
        <v>1</v>
      </c>
      <c r="G200" s="595">
        <v>1197.6</v>
      </c>
      <c r="H200" s="538">
        <f t="shared" si="8"/>
      </c>
      <c r="I200" s="538">
        <f t="shared" si="46"/>
      </c>
      <c r="J200" s="538">
        <f t="shared" si="99"/>
      </c>
      <c r="K200" s="539">
        <f t="shared" si="147"/>
      </c>
      <c r="L200" s="540">
        <f t="shared" si="241"/>
      </c>
      <c r="M200" s="541">
        <f t="shared" si="164"/>
      </c>
      <c r="N200" s="541">
        <f t="shared" si="260"/>
      </c>
      <c r="O200" s="541">
        <f t="shared" si="277"/>
      </c>
      <c r="P200" s="542">
        <f t="shared" si="24"/>
      </c>
      <c r="Q200" s="543" t="s">
        <v>952</v>
      </c>
      <c r="R200" s="544" t="s">
        <v>949</v>
      </c>
      <c r="S200" s="575">
        <v>4410</v>
      </c>
      <c r="T200" s="575">
        <v>460</v>
      </c>
      <c r="U200" s="575">
        <v>558</v>
      </c>
      <c r="V200" s="575">
        <v>66</v>
      </c>
      <c r="W200" s="567">
        <v>3</v>
      </c>
      <c r="X200" s="567">
        <v>0</v>
      </c>
      <c r="Y200" s="577">
        <v>37</v>
      </c>
    </row>
    <row r="201">
      <c r="A201" s="534"/>
      <c r="B201" s="535" t="s">
        <v>966</v>
      </c>
      <c r="C201" s="536" t="s">
        <v>955</v>
      </c>
      <c r="D201" s="594">
        <v>2539</v>
      </c>
      <c r="E201" s="519">
        <v>4</v>
      </c>
      <c r="F201" s="519">
        <v>3</v>
      </c>
      <c r="G201" s="595">
        <v>8182.8</v>
      </c>
      <c r="H201" s="538">
        <f t="shared" si="8"/>
      </c>
      <c r="I201" s="538">
        <f t="shared" si="46"/>
      </c>
      <c r="J201" s="538">
        <f t="shared" si="99"/>
      </c>
      <c r="K201" s="539">
        <f t="shared" si="147"/>
      </c>
      <c r="L201" s="540">
        <f t="shared" si="241"/>
      </c>
      <c r="M201" s="541">
        <f t="shared" si="164"/>
      </c>
      <c r="N201" s="541">
        <f t="shared" si="260"/>
      </c>
      <c r="O201" s="541">
        <f t="shared" si="277"/>
      </c>
      <c r="P201" s="542">
        <f t="shared" si="24"/>
      </c>
      <c r="Q201" s="543" t="s">
        <v>952</v>
      </c>
      <c r="R201" s="544" t="s">
        <v>949</v>
      </c>
      <c r="S201" s="575">
        <v>5038</v>
      </c>
      <c r="T201" s="575">
        <v>478</v>
      </c>
      <c r="U201" s="575">
        <v>550</v>
      </c>
      <c r="V201" s="575">
        <v>71</v>
      </c>
      <c r="W201" s="567">
        <v>6</v>
      </c>
      <c r="X201" s="567">
        <v>0</v>
      </c>
      <c r="Y201" s="577">
        <v>30</v>
      </c>
    </row>
    <row r="202">
      <c r="A202" s="534"/>
      <c r="B202" s="535" t="s">
        <v>966</v>
      </c>
      <c r="C202" s="536" t="s">
        <v>956</v>
      </c>
      <c r="D202" s="594">
        <v>2235.95</v>
      </c>
      <c r="E202" s="519">
        <v>7</v>
      </c>
      <c r="F202" s="519">
        <v>4</v>
      </c>
      <c r="G202" s="595">
        <v>8246.9</v>
      </c>
      <c r="H202" s="538">
        <f t="shared" si="8"/>
      </c>
      <c r="I202" s="538">
        <f t="shared" si="46"/>
      </c>
      <c r="J202" s="538">
        <f t="shared" si="99"/>
      </c>
      <c r="K202" s="539">
        <f t="shared" si="147"/>
      </c>
      <c r="L202" s="540">
        <f t="shared" si="241"/>
      </c>
      <c r="M202" s="541">
        <f t="shared" si="164"/>
      </c>
      <c r="N202" s="541">
        <f t="shared" si="260"/>
      </c>
      <c r="O202" s="541">
        <f t="shared" si="277"/>
      </c>
      <c r="P202" s="542">
        <f t="shared" si="24"/>
      </c>
      <c r="Q202" s="543" t="s">
        <v>952</v>
      </c>
      <c r="R202" s="544" t="s">
        <v>949</v>
      </c>
      <c r="S202" s="575">
        <v>6920</v>
      </c>
      <c r="T202" s="575">
        <v>674</v>
      </c>
      <c r="U202" s="575">
        <v>791</v>
      </c>
      <c r="V202" s="575">
        <v>96</v>
      </c>
      <c r="W202" s="567">
        <v>7</v>
      </c>
      <c r="X202" s="567">
        <v>2</v>
      </c>
      <c r="Y202" s="577">
        <v>27</v>
      </c>
    </row>
    <row r="203">
      <c r="A203" s="534"/>
      <c r="B203" s="535" t="s">
        <v>966</v>
      </c>
      <c r="C203" s="536" t="s">
        <v>957</v>
      </c>
      <c r="D203" s="594">
        <v>1437.39</v>
      </c>
      <c r="E203" s="519">
        <v>2</v>
      </c>
      <c r="F203" s="519">
        <v>1</v>
      </c>
      <c r="G203" s="595">
        <v>1795.6</v>
      </c>
      <c r="H203" s="538">
        <f t="shared" si="8"/>
      </c>
      <c r="I203" s="538">
        <f t="shared" si="46"/>
      </c>
      <c r="J203" s="538">
        <f t="shared" si="99"/>
      </c>
      <c r="K203" s="539">
        <f t="shared" si="147"/>
      </c>
      <c r="L203" s="540">
        <f t="shared" si="241"/>
      </c>
      <c r="M203" s="541">
        <f t="shared" si="164"/>
      </c>
      <c r="N203" s="541">
        <f t="shared" si="260"/>
      </c>
      <c r="O203" s="541">
        <f t="shared" si="277"/>
      </c>
      <c r="P203" s="542">
        <f t="shared" si="24"/>
      </c>
      <c r="Q203" s="543" t="s">
        <v>952</v>
      </c>
      <c r="R203" s="544" t="s">
        <v>949</v>
      </c>
      <c r="S203" s="575">
        <v>4682</v>
      </c>
      <c r="T203" s="575">
        <v>490</v>
      </c>
      <c r="U203" s="575">
        <v>594</v>
      </c>
      <c r="V203" s="575">
        <v>68</v>
      </c>
      <c r="W203" s="567">
        <v>4</v>
      </c>
      <c r="X203" s="567">
        <v>0</v>
      </c>
      <c r="Y203" s="577">
        <v>16</v>
      </c>
    </row>
    <row r="204">
      <c r="A204" s="534"/>
      <c r="B204" s="554" t="s">
        <v>936</v>
      </c>
      <c r="C204" s="554"/>
      <c r="D204" s="555">
        <f>SUM(D199:D203)</f>
      </c>
      <c r="E204" s="555">
        <f>SUM(E199:E203)</f>
      </c>
      <c r="F204" s="555">
        <f>SUM(F199:F203)</f>
      </c>
      <c r="G204" s="555">
        <f>SUM(G199:G203)</f>
      </c>
      <c r="H204" s="556">
        <f t="shared" si="8"/>
      </c>
      <c r="I204" s="557">
        <f t="shared" si="46"/>
      </c>
      <c r="J204" s="558">
        <f t="shared" si="99"/>
      </c>
      <c r="K204" s="559">
        <f t="shared" si="147"/>
      </c>
      <c r="L204" s="560">
        <f t="shared" si="241"/>
      </c>
      <c r="M204" s="559">
        <f t="shared" si="164"/>
      </c>
      <c r="N204" s="559">
        <f t="shared" si="260"/>
      </c>
      <c r="O204" s="561">
        <f t="shared" si="277"/>
      </c>
      <c r="P204" s="562">
        <f t="shared" si="24"/>
      </c>
      <c r="Q204" s="560"/>
      <c r="R204" s="560"/>
      <c r="S204" s="563">
        <f>SUM(S199:S203)</f>
      </c>
      <c r="T204" s="563">
        <f>SUM(T199:T203)</f>
      </c>
      <c r="U204" s="563">
        <f>SUM(U199:U203)</f>
      </c>
      <c r="V204" s="563">
        <f>SUM(V199:V203)</f>
      </c>
      <c r="W204" s="563">
        <f>SUM(W199:W203)</f>
      </c>
      <c r="X204" s="563">
        <f>SUM(X199:X203)</f>
      </c>
      <c r="Y204" s="563">
        <f>SUM(Y199:Y203)</f>
      </c>
    </row>
    <row r="205">
      <c r="A205" s="534"/>
      <c r="B205" s="579" t="s">
        <v>958</v>
      </c>
      <c r="C205" s="579"/>
      <c r="D205" s="580">
        <f>D189+D194+D204+D198</f>
      </c>
      <c r="E205" s="583">
        <f>E189+E194+E204+E198</f>
      </c>
      <c r="F205" s="583">
        <f>F189+F194+F204+F198</f>
      </c>
      <c r="G205" s="580">
        <f>G189+G194+G198+G204</f>
      </c>
      <c r="H205" s="579">
        <f t="shared" si="8"/>
      </c>
      <c r="I205" s="579">
        <f t="shared" si="46"/>
      </c>
      <c r="J205" s="579">
        <f t="shared" si="99"/>
      </c>
      <c r="K205" s="581">
        <f t="shared" si="147"/>
      </c>
      <c r="L205" s="579">
        <f t="shared" si="241"/>
      </c>
      <c r="M205" s="581">
        <f t="shared" si="164"/>
      </c>
      <c r="N205" s="581">
        <f t="shared" si="260"/>
      </c>
      <c r="O205" s="581">
        <f t="shared" si="277"/>
      </c>
      <c r="P205" s="579">
        <f t="shared" si="24"/>
      </c>
      <c r="Q205" s="582"/>
      <c r="R205" s="582"/>
      <c r="S205" s="583">
        <f>S189+S194+S204+S198</f>
      </c>
      <c r="T205" s="583">
        <f>T189+T194+T204+T198</f>
      </c>
      <c r="U205" s="583">
        <f>U189+U194+U204+U198</f>
      </c>
      <c r="V205" s="583">
        <f>V189+V194+V204+V198</f>
      </c>
      <c r="W205" s="583">
        <f>W189+W194+W204+W198</f>
      </c>
      <c r="X205" s="583">
        <f>X189+X194+X204+X198</f>
      </c>
      <c r="Y205" s="583">
        <f>Y189+Y194+Y204+Y198</f>
      </c>
    </row>
    <row r="206">
      <c r="A206" s="515" t="s">
        <v>882</v>
      </c>
      <c r="B206" s="515"/>
      <c r="C206" s="515"/>
      <c r="D206" s="516" t="s">
        <v>883</v>
      </c>
      <c r="E206" s="516"/>
      <c r="F206" s="516"/>
      <c r="G206" s="516"/>
      <c r="H206" s="516"/>
      <c r="I206" s="516"/>
      <c r="J206" s="516"/>
      <c r="K206" s="517" t="s">
        <v>884</v>
      </c>
      <c r="L206" s="517"/>
      <c r="M206" s="517"/>
      <c r="N206" s="517"/>
      <c r="O206" s="517"/>
      <c r="P206" s="517"/>
      <c r="Q206" s="517"/>
      <c r="R206" s="517"/>
      <c r="S206" s="589" t="s">
        <v>885</v>
      </c>
      <c r="T206" s="589"/>
      <c r="U206" s="589"/>
      <c r="V206" s="589"/>
      <c r="W206" s="589"/>
      <c r="X206" s="589"/>
      <c r="Y206" s="589"/>
      <c r="AA206" s="520" t="s">
        <v>989</v>
      </c>
      <c r="AB206" s="520"/>
      <c r="AC206" s="520"/>
      <c r="AD206" s="520"/>
      <c r="AE206" s="520"/>
      <c r="AF206" s="520"/>
      <c r="AG206" s="520"/>
      <c r="AH206" s="520"/>
      <c r="AI206" s="520"/>
      <c r="AJ206" s="520"/>
      <c r="AK206" s="520"/>
    </row>
    <row r="207">
      <c r="A207" s="521" t="s">
        <v>887</v>
      </c>
      <c r="B207" s="521" t="s">
        <v>888</v>
      </c>
      <c r="C207" s="521" t="s">
        <v>889</v>
      </c>
      <c r="D207" s="522" t="s">
        <v>890</v>
      </c>
      <c r="E207" s="523" t="s">
        <v>891</v>
      </c>
      <c r="F207" s="524" t="s">
        <v>892</v>
      </c>
      <c r="G207" s="522" t="s">
        <v>893</v>
      </c>
      <c r="H207" s="525" t="s">
        <v>894</v>
      </c>
      <c r="I207" s="526" t="s">
        <v>895</v>
      </c>
      <c r="J207" s="522" t="s">
        <v>896</v>
      </c>
      <c r="K207" s="527" t="s">
        <v>897</v>
      </c>
      <c r="L207" s="528" t="s">
        <v>898</v>
      </c>
      <c r="M207" s="527" t="s">
        <v>899</v>
      </c>
      <c r="N207" s="527" t="s">
        <v>900</v>
      </c>
      <c r="O207" s="529" t="s">
        <v>901</v>
      </c>
      <c r="P207" s="529" t="s">
        <v>902</v>
      </c>
      <c r="Q207" s="530" t="s">
        <v>903</v>
      </c>
      <c r="R207" s="530" t="s">
        <v>904</v>
      </c>
      <c r="S207" s="585" t="s">
        <v>905</v>
      </c>
      <c r="T207" s="585" t="s">
        <v>906</v>
      </c>
      <c r="U207" s="585" t="s">
        <v>907</v>
      </c>
      <c r="V207" s="585" t="s">
        <v>908</v>
      </c>
      <c r="W207" s="585" t="s">
        <v>909</v>
      </c>
      <c r="X207" s="585" t="s">
        <v>910</v>
      </c>
      <c r="Y207" s="586" t="s">
        <v>911</v>
      </c>
      <c r="AA207" s="533" t="s">
        <v>912</v>
      </c>
      <c r="AB207" s="533" t="s">
        <v>913</v>
      </c>
      <c r="AC207" s="533" t="s">
        <v>914</v>
      </c>
      <c r="AD207" s="533" t="s">
        <v>915</v>
      </c>
      <c r="AE207" s="533" t="s">
        <v>916</v>
      </c>
      <c r="AF207" s="533" t="s">
        <v>917</v>
      </c>
      <c r="AG207" s="533" t="s">
        <v>896</v>
      </c>
      <c r="AH207" s="533" t="s">
        <v>918</v>
      </c>
      <c r="AI207" s="533" t="s">
        <v>894</v>
      </c>
      <c r="AJ207" s="533" t="s">
        <v>919</v>
      </c>
      <c r="AK207" s="533"/>
    </row>
    <row r="208">
      <c r="A208" s="534" t="s">
        <v>990</v>
      </c>
      <c r="B208" s="535" t="s">
        <v>927</v>
      </c>
      <c r="C208" s="536" t="s">
        <v>922</v>
      </c>
      <c r="D208" s="535">
        <v>2188.28</v>
      </c>
      <c r="E208" s="519">
        <v>1</v>
      </c>
      <c r="F208" s="519">
        <v>1</v>
      </c>
      <c r="G208" s="535">
        <v>368</v>
      </c>
      <c r="H208" s="538">
        <f t="shared" ref="H208:H228" si="9">G208/D208</f>
      </c>
      <c r="I208" s="538">
        <f t="shared" ref="I208:I228" si="47">D208/E208</f>
      </c>
      <c r="J208" s="538">
        <f t="shared" ref="J208:J228" si="100">G208/E208</f>
      </c>
      <c r="K208" s="539">
        <f t="shared" ref="K208:K228" si="148">T208/S208</f>
      </c>
      <c r="L208" s="540">
        <f t="shared" ref="L208:L228" si="242">D208/U208</f>
      </c>
      <c r="M208" s="541">
        <f t="shared" ref="M208:M228" si="165">V208/U208</f>
      </c>
      <c r="N208" s="541">
        <f t="shared" ref="N208:N228" si="261">E208/W208</f>
      </c>
      <c r="O208" s="541">
        <f t="shared" ref="O208:O228" si="278">X208/E208</f>
      </c>
      <c r="P208" s="542">
        <f t="shared" ref="P208:P228" si="25">(Y208*1000)/D208</f>
      </c>
      <c r="Q208" s="543" t="s">
        <v>923</v>
      </c>
      <c r="R208" s="544" t="s">
        <v>924</v>
      </c>
      <c r="S208" s="545">
        <v>4582</v>
      </c>
      <c r="T208" s="545">
        <v>716</v>
      </c>
      <c r="U208" s="545">
        <v>871</v>
      </c>
      <c r="V208" s="545">
        <v>100</v>
      </c>
      <c r="W208" s="545">
        <v>2</v>
      </c>
      <c r="X208" s="545">
        <v>0</v>
      </c>
      <c r="Y208" s="545">
        <v>53</v>
      </c>
      <c r="AA208" s="546" t="s">
        <v>927</v>
      </c>
      <c r="AB208" s="547" t="s">
        <v>974</v>
      </c>
      <c r="AC208" s="546">
        <v>4</v>
      </c>
      <c r="AD208" s="546">
        <v>11418.47</v>
      </c>
      <c r="AE208" s="546">
        <v>14100.6</v>
      </c>
      <c r="AF208" s="546">
        <v>14</v>
      </c>
      <c r="AG208" s="549">
        <f t="shared" ref="AG208:AG212" si="79">AE208/AF208</f>
      </c>
      <c r="AH208" s="549">
        <f t="shared" ref="AH208:AH212" si="132">AD208/AF208</f>
      </c>
      <c r="AI208" s="549">
        <f t="shared" ref="AI208:AI212" si="197">AE208/AD208</f>
      </c>
      <c r="AJ208" s="548">
        <f t="shared" ref="AJ208:AJ212" si="226">AD208/AC208</f>
      </c>
      <c r="AK208" s="548"/>
    </row>
    <row r="209">
      <c r="A209" s="534"/>
      <c r="B209" s="535" t="s">
        <v>927</v>
      </c>
      <c r="C209" s="535" t="s">
        <v>926</v>
      </c>
      <c r="D209" s="535">
        <v>2937.4</v>
      </c>
      <c r="E209" s="519">
        <v>7</v>
      </c>
      <c r="F209" s="519">
        <v>3</v>
      </c>
      <c r="G209" s="535">
        <v>6662.9</v>
      </c>
      <c r="H209" s="538">
        <f t="shared" si="9"/>
      </c>
      <c r="I209" s="538">
        <f t="shared" si="47"/>
      </c>
      <c r="J209" s="538">
        <f t="shared" si="100"/>
      </c>
      <c r="K209" s="539">
        <f t="shared" si="148"/>
      </c>
      <c r="L209" s="540">
        <f t="shared" si="242"/>
      </c>
      <c r="M209" s="541">
        <f t="shared" si="165"/>
      </c>
      <c r="N209" s="541">
        <f t="shared" si="261"/>
      </c>
      <c r="O209" s="541">
        <f t="shared" si="278"/>
      </c>
      <c r="P209" s="542">
        <f t="shared" si="25"/>
      </c>
      <c r="Q209" s="543" t="s">
        <v>923</v>
      </c>
      <c r="R209" s="544" t="s">
        <v>924</v>
      </c>
      <c r="S209" s="545">
        <v>4511</v>
      </c>
      <c r="T209" s="545">
        <v>592</v>
      </c>
      <c r="U209" s="545">
        <v>736</v>
      </c>
      <c r="V209" s="545">
        <v>88</v>
      </c>
      <c r="W209" s="545">
        <v>11</v>
      </c>
      <c r="X209" s="545">
        <v>3</v>
      </c>
      <c r="Y209" s="545">
        <v>51</v>
      </c>
      <c r="AA209" s="546" t="s">
        <v>975</v>
      </c>
      <c r="AB209" s="547" t="s">
        <v>976</v>
      </c>
      <c r="AC209" s="546">
        <v>4</v>
      </c>
      <c r="AD209" s="546">
        <v>6672.88</v>
      </c>
      <c r="AE209" s="546">
        <v>2831.2</v>
      </c>
      <c r="AF209" s="546">
        <v>4</v>
      </c>
      <c r="AG209" s="549">
        <f t="shared" si="79"/>
      </c>
      <c r="AH209" s="549">
        <f t="shared" si="132"/>
      </c>
      <c r="AI209" s="549">
        <f t="shared" si="197"/>
      </c>
      <c r="AJ209" s="548">
        <f t="shared" si="226"/>
      </c>
      <c r="AK209" s="548"/>
    </row>
    <row r="210">
      <c r="A210" s="534"/>
      <c r="B210" s="535" t="s">
        <v>927</v>
      </c>
      <c r="C210" s="535" t="s">
        <v>929</v>
      </c>
      <c r="D210" s="535">
        <v>3248</v>
      </c>
      <c r="E210" s="519">
        <v>2</v>
      </c>
      <c r="F210" s="519">
        <v>3</v>
      </c>
      <c r="G210" s="535">
        <v>1586.2000000000007</v>
      </c>
      <c r="H210" s="538">
        <f t="shared" si="9"/>
      </c>
      <c r="I210" s="538">
        <f t="shared" si="47"/>
      </c>
      <c r="J210" s="538">
        <f t="shared" si="100"/>
      </c>
      <c r="K210" s="539">
        <f t="shared" si="148"/>
      </c>
      <c r="L210" s="540">
        <f t="shared" si="242"/>
      </c>
      <c r="M210" s="541">
        <f t="shared" si="165"/>
      </c>
      <c r="N210" s="541">
        <f t="shared" si="261"/>
      </c>
      <c r="O210" s="541">
        <f t="shared" si="278"/>
      </c>
      <c r="P210" s="542">
        <f t="shared" si="25"/>
      </c>
      <c r="Q210" s="543" t="s">
        <v>923</v>
      </c>
      <c r="R210" s="544" t="s">
        <v>924</v>
      </c>
      <c r="S210" s="545">
        <v>5440</v>
      </c>
      <c r="T210" s="545">
        <v>738</v>
      </c>
      <c r="U210" s="545">
        <v>897</v>
      </c>
      <c r="V210" s="545">
        <v>121</v>
      </c>
      <c r="W210" s="545">
        <v>2</v>
      </c>
      <c r="X210" s="545">
        <v>1</v>
      </c>
      <c r="Y210" s="545">
        <v>47</v>
      </c>
      <c r="AA210" s="546" t="s">
        <v>988</v>
      </c>
      <c r="AB210" s="547" t="s">
        <v>977</v>
      </c>
      <c r="AC210" s="546">
        <v>3</v>
      </c>
      <c r="AD210" s="546">
        <v>2946.08</v>
      </c>
      <c r="AE210" s="546">
        <v>2503.2</v>
      </c>
      <c r="AF210" s="546">
        <v>3</v>
      </c>
      <c r="AG210" s="549">
        <f t="shared" si="79"/>
      </c>
      <c r="AH210" s="549">
        <f t="shared" si="132"/>
      </c>
      <c r="AI210" s="549">
        <f t="shared" si="197"/>
      </c>
      <c r="AJ210" s="548">
        <f t="shared" si="226"/>
      </c>
      <c r="AK210" s="548"/>
    </row>
    <row r="211">
      <c r="A211" s="534"/>
      <c r="B211" s="535" t="s">
        <v>927</v>
      </c>
      <c r="C211" s="535" t="s">
        <v>932</v>
      </c>
      <c r="D211" s="535">
        <v>3044.79</v>
      </c>
      <c r="E211" s="519">
        <v>4</v>
      </c>
      <c r="F211" s="519">
        <v>1</v>
      </c>
      <c r="G211" s="535">
        <v>5483.5</v>
      </c>
      <c r="H211" s="538">
        <f t="shared" si="9"/>
      </c>
      <c r="I211" s="538">
        <f t="shared" si="47"/>
      </c>
      <c r="J211" s="538">
        <f t="shared" si="100"/>
      </c>
      <c r="K211" s="539">
        <f t="shared" si="148"/>
      </c>
      <c r="L211" s="540">
        <f t="shared" si="242"/>
      </c>
      <c r="M211" s="541">
        <f t="shared" si="165"/>
      </c>
      <c r="N211" s="541">
        <f t="shared" si="261"/>
      </c>
      <c r="O211" s="541">
        <f t="shared" si="278"/>
      </c>
      <c r="P211" s="542">
        <f t="shared" si="25"/>
      </c>
      <c r="Q211" s="543" t="s">
        <v>923</v>
      </c>
      <c r="R211" s="544" t="s">
        <v>924</v>
      </c>
      <c r="S211" s="545">
        <v>7011</v>
      </c>
      <c r="T211" s="545">
        <v>623</v>
      </c>
      <c r="U211" s="545">
        <v>759</v>
      </c>
      <c r="V211" s="545">
        <v>116</v>
      </c>
      <c r="W211" s="545">
        <v>8</v>
      </c>
      <c r="X211" s="545">
        <v>1</v>
      </c>
      <c r="Y211" s="545">
        <v>49</v>
      </c>
      <c r="AA211" s="546" t="s">
        <v>930</v>
      </c>
      <c r="AB211" s="547" t="s">
        <v>978</v>
      </c>
      <c r="AC211" s="546">
        <v>5</v>
      </c>
      <c r="AD211" s="546">
        <v>8010</v>
      </c>
      <c r="AE211" s="546">
        <v>14303.3</v>
      </c>
      <c r="AF211" s="546">
        <v>11</v>
      </c>
      <c r="AG211" s="549">
        <f t="shared" si="79"/>
      </c>
      <c r="AH211" s="549">
        <f t="shared" si="132"/>
      </c>
      <c r="AI211" s="549">
        <f t="shared" si="197"/>
      </c>
      <c r="AJ211" s="548">
        <f t="shared" si="226"/>
      </c>
      <c r="AK211" s="548"/>
    </row>
    <row r="212">
      <c r="A212" s="534"/>
      <c r="B212" s="554" t="s">
        <v>936</v>
      </c>
      <c r="C212" s="554"/>
      <c r="D212" s="555">
        <f>SUM(D208:D211)</f>
      </c>
      <c r="E212" s="592">
        <f>SUM(E208:E211)</f>
      </c>
      <c r="F212" s="592">
        <f>SUM(F208:F211)</f>
      </c>
      <c r="G212" s="555">
        <f>SUM(G208:G211)</f>
      </c>
      <c r="H212" s="556">
        <f t="shared" si="9"/>
      </c>
      <c r="I212" s="557">
        <f t="shared" si="47"/>
      </c>
      <c r="J212" s="558">
        <f t="shared" si="100"/>
      </c>
      <c r="K212" s="559">
        <f t="shared" si="148"/>
      </c>
      <c r="L212" s="560">
        <f t="shared" si="242"/>
      </c>
      <c r="M212" s="559">
        <f t="shared" si="165"/>
      </c>
      <c r="N212" s="559">
        <f t="shared" si="261"/>
      </c>
      <c r="O212" s="561">
        <f t="shared" si="278"/>
      </c>
      <c r="P212" s="562">
        <f t="shared" si="25"/>
      </c>
      <c r="Q212" s="560"/>
      <c r="R212" s="560"/>
      <c r="S212" s="563">
        <f>SUM(S208:S211)</f>
      </c>
      <c r="T212" s="563">
        <f>SUM(T208:T211)</f>
      </c>
      <c r="U212" s="563">
        <f>SUM(U208:U211)</f>
      </c>
      <c r="V212" s="563">
        <f>SUM(V208:V211)</f>
      </c>
      <c r="W212" s="563">
        <f>SUM(W208:W211)</f>
      </c>
      <c r="X212" s="563">
        <f>SUM(X208:X211)</f>
      </c>
      <c r="Y212" s="563">
        <f>SUM(Y208:Y211)</f>
      </c>
      <c r="AA212" s="533" t="s">
        <v>933</v>
      </c>
      <c r="AB212" s="533"/>
      <c r="AC212" s="533">
        <f>SUM(AC208:AC211)</f>
      </c>
      <c r="AD212" s="533">
        <f>SUM(AD208:AD211)</f>
      </c>
      <c r="AE212" s="533">
        <f>SUM(AE208:AE211)</f>
      </c>
      <c r="AF212" s="533">
        <f>SUM(AF208:AF211)</f>
      </c>
      <c r="AG212" s="551">
        <f t="shared" si="79"/>
      </c>
      <c r="AH212" s="551">
        <f t="shared" si="132"/>
      </c>
      <c r="AI212" s="551">
        <f t="shared" si="197"/>
      </c>
      <c r="AJ212" s="550">
        <f t="shared" si="226"/>
      </c>
      <c r="AK212" s="550"/>
    </row>
    <row r="213">
      <c r="A213" s="534"/>
      <c r="B213" s="535" t="s">
        <v>975</v>
      </c>
      <c r="C213" s="552" t="s">
        <v>934</v>
      </c>
      <c r="D213" s="535">
        <v>2270.97</v>
      </c>
      <c r="E213" s="519">
        <v>0</v>
      </c>
      <c r="F213" s="519">
        <v>0</v>
      </c>
      <c r="G213" s="535">
        <v>0</v>
      </c>
      <c r="H213" s="538">
        <f t="shared" si="9"/>
      </c>
      <c r="I213" s="538">
        <f t="shared" si="47"/>
      </c>
      <c r="J213" s="538">
        <f t="shared" si="100"/>
      </c>
      <c r="K213" s="539">
        <f t="shared" si="148"/>
      </c>
      <c r="L213" s="540">
        <f t="shared" si="242"/>
      </c>
      <c r="M213" s="541">
        <f t="shared" si="165"/>
      </c>
      <c r="N213" s="541">
        <f t="shared" si="261"/>
      </c>
      <c r="O213" s="541">
        <f t="shared" si="278"/>
      </c>
      <c r="P213" s="542">
        <f t="shared" si="25"/>
      </c>
      <c r="Q213" s="543" t="s">
        <v>923</v>
      </c>
      <c r="R213" s="544" t="s">
        <v>924</v>
      </c>
      <c r="S213" s="545">
        <v>7213</v>
      </c>
      <c r="T213" s="545">
        <v>595</v>
      </c>
      <c r="U213" s="545">
        <v>717</v>
      </c>
      <c r="V213" s="545">
        <v>104</v>
      </c>
      <c r="W213" s="545">
        <v>1</v>
      </c>
      <c r="X213" s="545">
        <v>0</v>
      </c>
      <c r="Y213" s="590">
        <v>28</v>
      </c>
      <c r="AA213" s="553" t="s">
        <v>935</v>
      </c>
      <c r="AB213" s="553"/>
      <c r="AC213" s="553"/>
      <c r="AD213" s="553"/>
      <c r="AE213" s="553"/>
      <c r="AF213" s="553"/>
      <c r="AG213" s="553"/>
      <c r="AH213" s="553"/>
      <c r="AI213" s="553"/>
      <c r="AJ213" s="553"/>
      <c r="AK213" s="553"/>
    </row>
    <row r="214">
      <c r="A214" s="534"/>
      <c r="B214" s="535" t="s">
        <v>975</v>
      </c>
      <c r="C214" s="566" t="s">
        <v>945</v>
      </c>
      <c r="D214" s="535">
        <v>1015.98</v>
      </c>
      <c r="E214" s="519">
        <v>0</v>
      </c>
      <c r="F214" s="545">
        <v>0</v>
      </c>
      <c r="G214" s="535">
        <v>0</v>
      </c>
      <c r="H214" s="538">
        <f t="shared" si="9"/>
      </c>
      <c r="I214" s="538">
        <f t="shared" si="47"/>
      </c>
      <c r="J214" s="538">
        <f t="shared" si="100"/>
      </c>
      <c r="K214" s="539">
        <f t="shared" si="148"/>
      </c>
      <c r="L214" s="540">
        <f t="shared" si="242"/>
      </c>
      <c r="M214" s="541">
        <f t="shared" si="165"/>
      </c>
      <c r="N214" s="541">
        <f t="shared" si="261"/>
      </c>
      <c r="O214" s="541">
        <f t="shared" si="278"/>
      </c>
      <c r="P214" s="542">
        <f t="shared" si="25"/>
      </c>
      <c r="Q214" s="543" t="s">
        <v>923</v>
      </c>
      <c r="R214" s="544" t="s">
        <v>924</v>
      </c>
      <c r="S214" s="545">
        <v>2576</v>
      </c>
      <c r="T214" s="545">
        <v>265</v>
      </c>
      <c r="U214" s="545">
        <v>373</v>
      </c>
      <c r="V214" s="545">
        <v>52</v>
      </c>
      <c r="W214" s="545">
        <v>0</v>
      </c>
      <c r="X214" s="545">
        <v>0</v>
      </c>
      <c r="Y214" s="590">
        <v>23</v>
      </c>
      <c r="AA214" s="564" t="s">
        <v>915</v>
      </c>
      <c r="AB214" s="564" t="s">
        <v>937</v>
      </c>
      <c r="AC214" s="564" t="s">
        <v>938</v>
      </c>
      <c r="AD214" s="564" t="s">
        <v>939</v>
      </c>
      <c r="AE214" s="564" t="s">
        <v>940</v>
      </c>
      <c r="AF214" s="564" t="s">
        <v>941</v>
      </c>
      <c r="AG214" s="564" t="s">
        <v>942</v>
      </c>
      <c r="AH214" s="565" t="s">
        <v>910</v>
      </c>
      <c r="AI214" s="565" t="s">
        <v>943</v>
      </c>
      <c r="AJ214" s="565" t="s">
        <v>944</v>
      </c>
      <c r="AK214" s="565" t="s">
        <v>914</v>
      </c>
    </row>
    <row r="215">
      <c r="A215" s="534"/>
      <c r="B215" s="535" t="s">
        <v>975</v>
      </c>
      <c r="C215" s="566" t="s">
        <v>946</v>
      </c>
      <c r="D215" s="535">
        <v>1763.51</v>
      </c>
      <c r="E215" s="519">
        <v>4</v>
      </c>
      <c r="F215" s="519">
        <v>2</v>
      </c>
      <c r="G215" s="535">
        <v>2831.2</v>
      </c>
      <c r="H215" s="538">
        <f t="shared" si="9"/>
      </c>
      <c r="I215" s="538">
        <f t="shared" si="47"/>
      </c>
      <c r="J215" s="538">
        <f t="shared" si="100"/>
      </c>
      <c r="K215" s="539">
        <f t="shared" si="148"/>
      </c>
      <c r="L215" s="540">
        <f t="shared" si="242"/>
      </c>
      <c r="M215" s="541">
        <f t="shared" si="165"/>
      </c>
      <c r="N215" s="541">
        <f t="shared" si="261"/>
      </c>
      <c r="O215" s="541">
        <f t="shared" si="278"/>
      </c>
      <c r="P215" s="542">
        <f t="shared" si="25"/>
      </c>
      <c r="Q215" s="543" t="s">
        <v>923</v>
      </c>
      <c r="R215" s="544" t="s">
        <v>924</v>
      </c>
      <c r="S215" s="545">
        <v>3300</v>
      </c>
      <c r="T215" s="545">
        <v>399</v>
      </c>
      <c r="U215" s="545">
        <v>507</v>
      </c>
      <c r="V215" s="545">
        <v>55</v>
      </c>
      <c r="W215" s="545">
        <v>5</v>
      </c>
      <c r="X215" s="545">
        <v>1</v>
      </c>
      <c r="Y215" s="590">
        <v>19</v>
      </c>
      <c r="AA215" s="568">
        <f>SUM(AD208:AD211)</f>
      </c>
      <c r="AB215" s="568">
        <f>SUM(AE208:AE211)</f>
      </c>
      <c r="AC215" s="569">
        <f>AB215/((AK215*300)+AA215)</f>
      </c>
      <c r="AD215" s="570">
        <f>AA215/AJ215</f>
      </c>
      <c r="AE215" s="569">
        <f>AB215/AJ215</f>
      </c>
      <c r="AF215" s="571">
        <f>AJ215/AI215</f>
      </c>
      <c r="AG215" s="571">
        <f>AH215/AJ215</f>
      </c>
      <c r="AH215" s="572">
        <v>6</v>
      </c>
      <c r="AI215" s="572">
        <v>48</v>
      </c>
      <c r="AJ215" s="572">
        <f>AF212</f>
      </c>
      <c r="AK215" s="573">
        <f>AC212</f>
      </c>
    </row>
    <row r="216">
      <c r="A216" s="534"/>
      <c r="B216" s="535" t="s">
        <v>975</v>
      </c>
      <c r="C216" s="566" t="s">
        <v>947</v>
      </c>
      <c r="D216" s="535">
        <v>1622.42</v>
      </c>
      <c r="E216" s="519">
        <v>0</v>
      </c>
      <c r="F216" s="519">
        <v>0</v>
      </c>
      <c r="G216" s="574">
        <v>0</v>
      </c>
      <c r="H216" s="538">
        <f t="shared" si="9"/>
      </c>
      <c r="I216" s="538">
        <f t="shared" si="47"/>
      </c>
      <c r="J216" s="538">
        <f t="shared" si="100"/>
      </c>
      <c r="K216" s="539">
        <f t="shared" si="148"/>
      </c>
      <c r="L216" s="540">
        <f t="shared" si="242"/>
      </c>
      <c r="M216" s="541">
        <f t="shared" si="165"/>
      </c>
      <c r="N216" s="541">
        <f t="shared" si="261"/>
      </c>
      <c r="O216" s="541">
        <f t="shared" si="278"/>
      </c>
      <c r="P216" s="542">
        <f t="shared" si="25"/>
      </c>
      <c r="Q216" s="543" t="s">
        <v>923</v>
      </c>
      <c r="R216" s="544" t="s">
        <v>924</v>
      </c>
      <c r="S216" s="545">
        <v>2498</v>
      </c>
      <c r="T216" s="545">
        <v>390</v>
      </c>
      <c r="U216" s="545">
        <v>475</v>
      </c>
      <c r="V216" s="545">
        <v>45</v>
      </c>
      <c r="W216" s="545">
        <v>1</v>
      </c>
      <c r="X216" s="545">
        <v>0</v>
      </c>
      <c r="Y216" s="574">
        <v>22</v>
      </c>
    </row>
    <row r="217">
      <c r="A217" s="534"/>
      <c r="B217" s="554" t="s">
        <v>936</v>
      </c>
      <c r="C217" s="554"/>
      <c r="D217" s="555">
        <f>SUM(D213:D216)</f>
      </c>
      <c r="E217" s="592">
        <f>SUM(E213:E216)</f>
      </c>
      <c r="F217" s="592">
        <f>SUM(F213:F216)</f>
      </c>
      <c r="G217" s="555">
        <f>SUM(G213:G216)</f>
      </c>
      <c r="H217" s="556">
        <f t="shared" si="9"/>
      </c>
      <c r="I217" s="557">
        <f t="shared" si="47"/>
      </c>
      <c r="J217" s="558">
        <f t="shared" si="100"/>
      </c>
      <c r="K217" s="559">
        <f t="shared" si="148"/>
      </c>
      <c r="L217" s="560">
        <f t="shared" si="242"/>
      </c>
      <c r="M217" s="559">
        <f t="shared" si="165"/>
      </c>
      <c r="N217" s="559">
        <f t="shared" si="261"/>
      </c>
      <c r="O217" s="561">
        <f t="shared" si="278"/>
      </c>
      <c r="P217" s="562">
        <f t="shared" si="25"/>
      </c>
      <c r="Q217" s="560"/>
      <c r="R217" s="560"/>
      <c r="S217" s="563">
        <f>SUM(S213:S216)</f>
      </c>
      <c r="T217" s="563">
        <f>SUM(T213:T216)</f>
      </c>
      <c r="U217" s="563">
        <f>SUM(U213:U216)</f>
      </c>
      <c r="V217" s="563">
        <f>SUM(V213:V216)</f>
      </c>
      <c r="W217" s="563">
        <f>SUM(W213:W216)</f>
      </c>
      <c r="X217" s="563">
        <f>SUM(X213:X216)</f>
      </c>
      <c r="Y217" s="563">
        <f>SUM(Y213:Y216)</f>
      </c>
    </row>
    <row r="218">
      <c r="A218" s="534"/>
      <c r="B218" s="535" t="s">
        <v>988</v>
      </c>
      <c r="C218" s="566" t="s">
        <v>948</v>
      </c>
      <c r="D218" s="594">
        <v>1139.84</v>
      </c>
      <c r="E218" s="519">
        <v>1</v>
      </c>
      <c r="F218" s="519">
        <v>1</v>
      </c>
      <c r="G218" s="595">
        <v>1197.6</v>
      </c>
      <c r="H218" s="538">
        <f t="shared" si="9"/>
      </c>
      <c r="I218" s="538">
        <f t="shared" si="47"/>
      </c>
      <c r="J218" s="538">
        <f t="shared" si="100"/>
      </c>
      <c r="K218" s="539">
        <f t="shared" si="148"/>
      </c>
      <c r="L218" s="540">
        <f t="shared" si="242"/>
      </c>
      <c r="M218" s="541">
        <f t="shared" si="165"/>
      </c>
      <c r="N218" s="541">
        <f t="shared" si="261"/>
      </c>
      <c r="O218" s="541">
        <f t="shared" si="278"/>
      </c>
      <c r="P218" s="542">
        <f t="shared" si="25"/>
      </c>
      <c r="Q218" s="543" t="s">
        <v>923</v>
      </c>
      <c r="R218" s="544" t="s">
        <v>949</v>
      </c>
      <c r="S218" s="575">
        <v>2178</v>
      </c>
      <c r="T218" s="575">
        <v>353</v>
      </c>
      <c r="U218" s="575">
        <v>443</v>
      </c>
      <c r="V218" s="575">
        <v>42</v>
      </c>
      <c r="W218" s="567">
        <v>2</v>
      </c>
      <c r="X218" s="567">
        <v>0</v>
      </c>
      <c r="Y218" s="577">
        <v>12</v>
      </c>
    </row>
    <row r="219">
      <c r="A219" s="534"/>
      <c r="B219" s="535" t="s">
        <v>988</v>
      </c>
      <c r="C219" s="552" t="s">
        <v>950</v>
      </c>
      <c r="D219" s="594">
        <v>791.06</v>
      </c>
      <c r="E219" s="519">
        <v>0</v>
      </c>
      <c r="F219" s="519">
        <v>0</v>
      </c>
      <c r="G219" s="595">
        <v>0</v>
      </c>
      <c r="H219" s="538">
        <f t="shared" si="9"/>
      </c>
      <c r="I219" s="538">
        <f t="shared" si="47"/>
      </c>
      <c r="J219" s="538">
        <f t="shared" si="100"/>
      </c>
      <c r="K219" s="539">
        <f t="shared" si="148"/>
      </c>
      <c r="L219" s="540">
        <f t="shared" si="242"/>
      </c>
      <c r="M219" s="541">
        <f t="shared" si="165"/>
      </c>
      <c r="N219" s="541">
        <f t="shared" si="261"/>
      </c>
      <c r="O219" s="541">
        <f t="shared" si="278"/>
      </c>
      <c r="P219" s="542">
        <f t="shared" si="25"/>
      </c>
      <c r="Q219" s="543" t="s">
        <v>923</v>
      </c>
      <c r="R219" s="544" t="s">
        <v>949</v>
      </c>
      <c r="S219" s="575">
        <v>2239</v>
      </c>
      <c r="T219" s="575">
        <v>302</v>
      </c>
      <c r="U219" s="575">
        <v>349</v>
      </c>
      <c r="V219" s="575">
        <v>40</v>
      </c>
      <c r="W219" s="567">
        <v>0</v>
      </c>
      <c r="X219" s="567">
        <v>0</v>
      </c>
      <c r="Y219" s="577">
        <v>18</v>
      </c>
    </row>
    <row r="220">
      <c r="A220" s="534"/>
      <c r="B220" s="535" t="s">
        <v>988</v>
      </c>
      <c r="C220" s="552" t="s">
        <v>951</v>
      </c>
      <c r="D220" s="594">
        <v>1015.18</v>
      </c>
      <c r="E220" s="519">
        <v>2</v>
      </c>
      <c r="F220" s="519">
        <v>2</v>
      </c>
      <c r="G220" s="595">
        <v>1305.6</v>
      </c>
      <c r="H220" s="538">
        <f t="shared" si="9"/>
      </c>
      <c r="I220" s="538">
        <f t="shared" si="47"/>
      </c>
      <c r="J220" s="538">
        <f t="shared" si="100"/>
      </c>
      <c r="K220" s="539">
        <f t="shared" si="148"/>
      </c>
      <c r="L220" s="540">
        <f t="shared" si="242"/>
      </c>
      <c r="M220" s="541">
        <f t="shared" si="165"/>
      </c>
      <c r="N220" s="541">
        <f t="shared" si="261"/>
      </c>
      <c r="O220" s="541">
        <f t="shared" si="278"/>
      </c>
      <c r="P220" s="542">
        <f t="shared" si="25"/>
      </c>
      <c r="Q220" s="543" t="s">
        <v>923</v>
      </c>
      <c r="R220" s="544" t="s">
        <v>949</v>
      </c>
      <c r="S220" s="575">
        <v>2783</v>
      </c>
      <c r="T220" s="575">
        <v>361</v>
      </c>
      <c r="U220" s="575">
        <v>435</v>
      </c>
      <c r="V220" s="575">
        <v>38</v>
      </c>
      <c r="W220" s="567">
        <v>3</v>
      </c>
      <c r="X220" s="567">
        <v>0</v>
      </c>
      <c r="Y220" s="577">
        <v>18</v>
      </c>
    </row>
    <row r="221">
      <c r="A221" s="534"/>
      <c r="B221" s="554" t="s">
        <v>936</v>
      </c>
      <c r="C221" s="554"/>
      <c r="D221" s="555">
        <f>SUM(D218:D220)</f>
      </c>
      <c r="E221" s="592">
        <f>SUM(E218:E220)</f>
      </c>
      <c r="F221" s="592">
        <f>SUM(F218:F220)</f>
      </c>
      <c r="G221" s="555">
        <f>SUM(G218:G220)</f>
      </c>
      <c r="H221" s="556">
        <f t="shared" si="9"/>
      </c>
      <c r="I221" s="557">
        <f t="shared" si="47"/>
      </c>
      <c r="J221" s="558">
        <f t="shared" si="100"/>
      </c>
      <c r="K221" s="559">
        <f t="shared" si="148"/>
      </c>
      <c r="L221" s="560">
        <f t="shared" si="242"/>
      </c>
      <c r="M221" s="559">
        <f t="shared" si="165"/>
      </c>
      <c r="N221" s="559">
        <f t="shared" si="261"/>
      </c>
      <c r="O221" s="561">
        <f t="shared" si="278"/>
      </c>
      <c r="P221" s="562">
        <f t="shared" si="25"/>
      </c>
      <c r="Q221" s="560"/>
      <c r="R221" s="560"/>
      <c r="S221" s="563">
        <f>SUM(S218:S220)</f>
      </c>
      <c r="T221" s="563">
        <f>SUM(T218:T220)</f>
      </c>
      <c r="U221" s="563">
        <f>SUM(U218:U220)</f>
      </c>
      <c r="V221" s="563">
        <f>SUM(V218:V220)</f>
      </c>
      <c r="W221" s="563">
        <f>SUM(W218:W220)</f>
      </c>
      <c r="X221" s="563">
        <f>SUM(X218:X220)</f>
      </c>
      <c r="Y221" s="563">
        <f>SUM(Y218:Y220)</f>
      </c>
    </row>
    <row r="222">
      <c r="A222" s="534"/>
      <c r="B222" s="535" t="s">
        <v>930</v>
      </c>
      <c r="C222" s="536" t="s">
        <v>953</v>
      </c>
      <c r="D222" s="594">
        <v>1346.55</v>
      </c>
      <c r="E222" s="519">
        <v>1</v>
      </c>
      <c r="F222" s="519">
        <v>1</v>
      </c>
      <c r="G222" s="595">
        <v>652.8</v>
      </c>
      <c r="H222" s="538">
        <f t="shared" si="9"/>
      </c>
      <c r="I222" s="538">
        <f t="shared" si="47"/>
      </c>
      <c r="J222" s="538">
        <f t="shared" si="100"/>
      </c>
      <c r="K222" s="539">
        <f t="shared" si="148"/>
      </c>
      <c r="L222" s="540">
        <f t="shared" si="242"/>
      </c>
      <c r="M222" s="541">
        <f t="shared" si="165"/>
      </c>
      <c r="N222" s="541">
        <f t="shared" si="261"/>
      </c>
      <c r="O222" s="541">
        <f t="shared" si="278"/>
      </c>
      <c r="P222" s="542">
        <f t="shared" si="25"/>
      </c>
      <c r="Q222" s="543" t="s">
        <v>952</v>
      </c>
      <c r="R222" s="544" t="s">
        <v>949</v>
      </c>
      <c r="S222" s="575">
        <v>3239</v>
      </c>
      <c r="T222" s="575">
        <v>449</v>
      </c>
      <c r="U222" s="575">
        <v>529</v>
      </c>
      <c r="V222" s="575">
        <v>52</v>
      </c>
      <c r="W222" s="567">
        <v>1</v>
      </c>
      <c r="X222" s="567">
        <v>0</v>
      </c>
      <c r="Y222" s="577">
        <v>23</v>
      </c>
    </row>
    <row r="223">
      <c r="A223" s="534"/>
      <c r="B223" s="535" t="s">
        <v>930</v>
      </c>
      <c r="C223" s="552" t="s">
        <v>954</v>
      </c>
      <c r="D223" s="594">
        <v>1320.02</v>
      </c>
      <c r="E223" s="519">
        <v>3</v>
      </c>
      <c r="F223" s="519">
        <v>1</v>
      </c>
      <c r="G223" s="595">
        <v>6394.8</v>
      </c>
      <c r="H223" s="538">
        <f t="shared" si="9"/>
      </c>
      <c r="I223" s="538">
        <f t="shared" si="47"/>
      </c>
      <c r="J223" s="538">
        <f t="shared" si="100"/>
      </c>
      <c r="K223" s="539">
        <f t="shared" si="148"/>
      </c>
      <c r="L223" s="540">
        <f t="shared" si="242"/>
      </c>
      <c r="M223" s="541">
        <f t="shared" si="165"/>
      </c>
      <c r="N223" s="541">
        <f t="shared" si="261"/>
      </c>
      <c r="O223" s="541">
        <f t="shared" si="278"/>
      </c>
      <c r="P223" s="542">
        <f t="shared" si="25"/>
      </c>
      <c r="Q223" s="543" t="s">
        <v>952</v>
      </c>
      <c r="R223" s="544" t="s">
        <v>949</v>
      </c>
      <c r="S223" s="575">
        <v>2852</v>
      </c>
      <c r="T223" s="575">
        <v>396</v>
      </c>
      <c r="U223" s="575">
        <v>486</v>
      </c>
      <c r="V223" s="575">
        <v>60</v>
      </c>
      <c r="W223" s="567">
        <v>3</v>
      </c>
      <c r="X223" s="567">
        <v>1</v>
      </c>
      <c r="Y223" s="577">
        <v>20</v>
      </c>
    </row>
    <row r="224">
      <c r="A224" s="534"/>
      <c r="B224" s="535" t="s">
        <v>930</v>
      </c>
      <c r="C224" s="536" t="s">
        <v>955</v>
      </c>
      <c r="D224" s="594">
        <v>2094.76</v>
      </c>
      <c r="E224" s="519">
        <v>3</v>
      </c>
      <c r="F224" s="519">
        <v>3</v>
      </c>
      <c r="G224" s="595">
        <v>2363.7</v>
      </c>
      <c r="H224" s="538">
        <f t="shared" si="9"/>
      </c>
      <c r="I224" s="538">
        <f t="shared" si="47"/>
      </c>
      <c r="J224" s="538">
        <f t="shared" si="100"/>
      </c>
      <c r="K224" s="539">
        <f t="shared" si="148"/>
      </c>
      <c r="L224" s="540">
        <f t="shared" si="242"/>
      </c>
      <c r="M224" s="541">
        <f t="shared" si="165"/>
      </c>
      <c r="N224" s="541">
        <f t="shared" si="261"/>
      </c>
      <c r="O224" s="541">
        <f t="shared" si="278"/>
      </c>
      <c r="P224" s="542">
        <f t="shared" si="25"/>
      </c>
      <c r="Q224" s="543" t="s">
        <v>952</v>
      </c>
      <c r="R224" s="544" t="s">
        <v>949</v>
      </c>
      <c r="S224" s="575">
        <v>3744</v>
      </c>
      <c r="T224" s="575">
        <v>491</v>
      </c>
      <c r="U224" s="575">
        <v>587</v>
      </c>
      <c r="V224" s="575">
        <v>56</v>
      </c>
      <c r="W224" s="567">
        <v>4</v>
      </c>
      <c r="X224" s="567">
        <v>0</v>
      </c>
      <c r="Y224" s="577">
        <v>23</v>
      </c>
    </row>
    <row r="225">
      <c r="A225" s="534"/>
      <c r="B225" s="535" t="s">
        <v>930</v>
      </c>
      <c r="C225" s="536" t="s">
        <v>956</v>
      </c>
      <c r="D225" s="594">
        <v>2297.2</v>
      </c>
      <c r="E225" s="519">
        <v>2</v>
      </c>
      <c r="F225" s="519">
        <v>0</v>
      </c>
      <c r="G225" s="595">
        <v>1580.4</v>
      </c>
      <c r="H225" s="538">
        <f t="shared" si="9"/>
      </c>
      <c r="I225" s="538">
        <f t="shared" si="47"/>
      </c>
      <c r="J225" s="538">
        <f t="shared" si="100"/>
      </c>
      <c r="K225" s="539">
        <f t="shared" si="148"/>
      </c>
      <c r="L225" s="540">
        <f t="shared" si="242"/>
      </c>
      <c r="M225" s="541">
        <f t="shared" si="165"/>
      </c>
      <c r="N225" s="541">
        <f t="shared" si="261"/>
      </c>
      <c r="O225" s="541">
        <f t="shared" si="278"/>
      </c>
      <c r="P225" s="542">
        <f t="shared" si="25"/>
      </c>
      <c r="Q225" s="543" t="s">
        <v>952</v>
      </c>
      <c r="R225" s="544" t="s">
        <v>949</v>
      </c>
      <c r="S225" s="575">
        <v>4679</v>
      </c>
      <c r="T225" s="575">
        <v>664</v>
      </c>
      <c r="U225" s="575">
        <v>772</v>
      </c>
      <c r="V225" s="575">
        <v>55</v>
      </c>
      <c r="W225" s="567">
        <v>2</v>
      </c>
      <c r="X225" s="567">
        <v>1</v>
      </c>
      <c r="Y225" s="577">
        <v>23</v>
      </c>
    </row>
    <row r="226">
      <c r="A226" s="534"/>
      <c r="B226" s="535" t="s">
        <v>930</v>
      </c>
      <c r="C226" s="536" t="s">
        <v>957</v>
      </c>
      <c r="D226" s="594">
        <v>951.47</v>
      </c>
      <c r="E226" s="519">
        <v>2</v>
      </c>
      <c r="F226" s="519">
        <v>2</v>
      </c>
      <c r="G226" s="595">
        <v>3311.6</v>
      </c>
      <c r="H226" s="538">
        <f t="shared" si="9"/>
      </c>
      <c r="I226" s="538">
        <f t="shared" si="47"/>
      </c>
      <c r="J226" s="538">
        <f t="shared" si="100"/>
      </c>
      <c r="K226" s="539">
        <f t="shared" si="148"/>
      </c>
      <c r="L226" s="540">
        <f t="shared" si="242"/>
      </c>
      <c r="M226" s="541">
        <f t="shared" si="165"/>
      </c>
      <c r="N226" s="541">
        <f t="shared" si="261"/>
      </c>
      <c r="O226" s="541">
        <f t="shared" si="278"/>
      </c>
      <c r="P226" s="542">
        <f t="shared" si="25"/>
      </c>
      <c r="Q226" s="543" t="s">
        <v>952</v>
      </c>
      <c r="R226" s="544" t="s">
        <v>949</v>
      </c>
      <c r="S226" s="575">
        <v>2398</v>
      </c>
      <c r="T226" s="575">
        <v>355</v>
      </c>
      <c r="U226" s="575">
        <v>430</v>
      </c>
      <c r="V226" s="575">
        <v>47</v>
      </c>
      <c r="W226" s="567">
        <v>3</v>
      </c>
      <c r="X226" s="567">
        <v>0</v>
      </c>
      <c r="Y226" s="577">
        <v>14</v>
      </c>
    </row>
    <row r="227">
      <c r="A227" s="534"/>
      <c r="B227" s="554" t="s">
        <v>936</v>
      </c>
      <c r="C227" s="554"/>
      <c r="D227" s="555">
        <f>SUM(D222:D226)</f>
      </c>
      <c r="E227" s="555">
        <f>SUM(E222:E226)</f>
      </c>
      <c r="F227" s="555">
        <f>SUM(F222:F226)</f>
      </c>
      <c r="G227" s="555">
        <f>SUM(G222:G226)</f>
      </c>
      <c r="H227" s="556">
        <f t="shared" si="9"/>
      </c>
      <c r="I227" s="557">
        <f t="shared" si="47"/>
      </c>
      <c r="J227" s="558">
        <f t="shared" si="100"/>
      </c>
      <c r="K227" s="559">
        <f t="shared" si="148"/>
      </c>
      <c r="L227" s="560">
        <f t="shared" si="242"/>
      </c>
      <c r="M227" s="559">
        <f t="shared" si="165"/>
      </c>
      <c r="N227" s="559">
        <f t="shared" si="261"/>
      </c>
      <c r="O227" s="561">
        <f t="shared" si="278"/>
      </c>
      <c r="P227" s="562">
        <f t="shared" si="25"/>
      </c>
      <c r="Q227" s="560"/>
      <c r="R227" s="560"/>
      <c r="S227" s="563">
        <f>SUM(S222:S226)</f>
      </c>
      <c r="T227" s="563">
        <f>SUM(T222:T226)</f>
      </c>
      <c r="U227" s="563">
        <f>SUM(U222:U226)</f>
      </c>
      <c r="V227" s="563">
        <f>SUM(V222:V226)</f>
      </c>
      <c r="W227" s="563">
        <f>SUM(W222:W226)</f>
      </c>
      <c r="X227" s="563">
        <f>SUM(X222:X226)</f>
      </c>
      <c r="Y227" s="563">
        <f>SUM(Y222:Y226)</f>
      </c>
    </row>
    <row r="228">
      <c r="A228" s="534"/>
      <c r="B228" s="579" t="s">
        <v>958</v>
      </c>
      <c r="C228" s="579"/>
      <c r="D228" s="580">
        <f>D212+D217+D227+D221</f>
      </c>
      <c r="E228" s="583">
        <f>E212+E217+E227+E221</f>
      </c>
      <c r="F228" s="583">
        <f>F212+F217+F227+F221</f>
      </c>
      <c r="G228" s="580">
        <f>G212+G217+G221+G227</f>
      </c>
      <c r="H228" s="579">
        <f t="shared" si="9"/>
      </c>
      <c r="I228" s="579">
        <f t="shared" si="47"/>
      </c>
      <c r="J228" s="579">
        <f t="shared" si="100"/>
      </c>
      <c r="K228" s="581">
        <f t="shared" si="148"/>
      </c>
      <c r="L228" s="579">
        <f t="shared" si="242"/>
      </c>
      <c r="M228" s="581">
        <f t="shared" si="165"/>
      </c>
      <c r="N228" s="581">
        <f t="shared" si="261"/>
      </c>
      <c r="O228" s="581">
        <f t="shared" si="278"/>
      </c>
      <c r="P228" s="579">
        <f t="shared" si="25"/>
      </c>
      <c r="Q228" s="582"/>
      <c r="R228" s="582"/>
      <c r="S228" s="583">
        <f>S212+S217+S227+S221</f>
      </c>
      <c r="T228" s="583">
        <f>T212+T217+T227+T221</f>
      </c>
      <c r="U228" s="583">
        <f>U212+U217+U227+U221</f>
      </c>
      <c r="V228" s="583">
        <f>V212+V217+V227+V221</f>
      </c>
      <c r="W228" s="583">
        <f>W212+W217+W227+W221</f>
      </c>
      <c r="X228" s="583">
        <f>X212+X217+X227+X221</f>
      </c>
      <c r="Y228" s="583">
        <f>Y212+Y217+Y227+Y221</f>
      </c>
    </row>
    <row r="229">
      <c r="A229" s="515" t="s">
        <v>882</v>
      </c>
      <c r="B229" s="515"/>
      <c r="C229" s="515"/>
      <c r="D229" s="516" t="s">
        <v>883</v>
      </c>
      <c r="E229" s="516"/>
      <c r="F229" s="516"/>
      <c r="G229" s="516"/>
      <c r="H229" s="516"/>
      <c r="I229" s="516"/>
      <c r="J229" s="516"/>
      <c r="K229" s="517" t="s">
        <v>884</v>
      </c>
      <c r="L229" s="517"/>
      <c r="M229" s="517"/>
      <c r="N229" s="517"/>
      <c r="O229" s="517"/>
      <c r="P229" s="517"/>
      <c r="Q229" s="517"/>
      <c r="R229" s="517"/>
      <c r="S229" s="589" t="s">
        <v>885</v>
      </c>
      <c r="T229" s="589"/>
      <c r="U229" s="589"/>
      <c r="V229" s="589"/>
      <c r="W229" s="589"/>
      <c r="X229" s="589"/>
      <c r="Y229" s="589"/>
    </row>
    <row r="230">
      <c r="A230" s="521" t="s">
        <v>887</v>
      </c>
      <c r="B230" s="521" t="s">
        <v>888</v>
      </c>
      <c r="C230" s="521" t="s">
        <v>889</v>
      </c>
      <c r="D230" s="522" t="s">
        <v>890</v>
      </c>
      <c r="E230" s="523" t="s">
        <v>891</v>
      </c>
      <c r="F230" s="524" t="s">
        <v>892</v>
      </c>
      <c r="G230" s="522" t="s">
        <v>893</v>
      </c>
      <c r="H230" s="525" t="s">
        <v>894</v>
      </c>
      <c r="I230" s="526" t="s">
        <v>895</v>
      </c>
      <c r="J230" s="522" t="s">
        <v>896</v>
      </c>
      <c r="K230" s="527" t="s">
        <v>897</v>
      </c>
      <c r="L230" s="528" t="s">
        <v>898</v>
      </c>
      <c r="M230" s="527" t="s">
        <v>899</v>
      </c>
      <c r="N230" s="527" t="s">
        <v>900</v>
      </c>
      <c r="O230" s="529" t="s">
        <v>901</v>
      </c>
      <c r="P230" s="529" t="s">
        <v>902</v>
      </c>
      <c r="Q230" s="530" t="s">
        <v>903</v>
      </c>
      <c r="R230" s="530" t="s">
        <v>904</v>
      </c>
      <c r="S230" s="585" t="s">
        <v>905</v>
      </c>
      <c r="T230" s="585" t="s">
        <v>906</v>
      </c>
      <c r="U230" s="585" t="s">
        <v>907</v>
      </c>
      <c r="V230" s="585" t="s">
        <v>908</v>
      </c>
      <c r="W230" s="585" t="s">
        <v>909</v>
      </c>
      <c r="X230" s="585" t="s">
        <v>910</v>
      </c>
      <c r="Y230" s="586" t="s">
        <v>911</v>
      </c>
      <c r="AA230" s="520" t="s">
        <v>991</v>
      </c>
      <c r="AB230" s="520"/>
      <c r="AC230" s="520"/>
      <c r="AD230" s="520"/>
      <c r="AE230" s="520"/>
      <c r="AF230" s="520"/>
      <c r="AG230" s="520"/>
      <c r="AH230" s="520"/>
      <c r="AI230" s="520"/>
      <c r="AJ230" s="520"/>
      <c r="AK230" s="520"/>
    </row>
    <row r="231">
      <c r="A231" s="534" t="s">
        <v>992</v>
      </c>
      <c r="B231" s="535" t="s">
        <v>930</v>
      </c>
      <c r="C231" s="535" t="s">
        <v>932</v>
      </c>
      <c r="D231" s="545">
        <v>819.24</v>
      </c>
      <c r="E231" s="545">
        <v>2</v>
      </c>
      <c r="F231" s="519">
        <v>0</v>
      </c>
      <c r="G231" s="545">
        <v>1852.8</v>
      </c>
      <c r="H231" s="538">
        <f t="shared" ref="H231:H249" si="10">G231/D231</f>
      </c>
      <c r="I231" s="538">
        <f t="shared" ref="I231:I249" si="48">D231/E231</f>
      </c>
      <c r="J231" s="538">
        <f t="shared" ref="J231:J249" si="101">G231/E231</f>
      </c>
      <c r="K231" s="539">
        <f t="shared" ref="K231:K249" si="149">T231/S231</f>
      </c>
      <c r="L231" s="540">
        <f t="shared" ref="L231:L249" si="243">D231/U231</f>
      </c>
      <c r="M231" s="541">
        <f t="shared" ref="M231:M249" si="166">V231/U231</f>
      </c>
      <c r="N231" s="541">
        <f t="shared" ref="N231:N249" si="262">E231/W231</f>
      </c>
      <c r="O231" s="541">
        <f t="shared" ref="O231:O249" si="279">X231/E231</f>
      </c>
      <c r="P231" s="542">
        <f t="shared" ref="P231:P249" si="26">(Y231*1000)/D231</f>
      </c>
      <c r="Q231" s="543" t="s">
        <v>923</v>
      </c>
      <c r="R231" s="544" t="s">
        <v>924</v>
      </c>
      <c r="S231" s="545">
        <v>2538</v>
      </c>
      <c r="T231" s="545">
        <v>251</v>
      </c>
      <c r="U231" s="545">
        <v>337</v>
      </c>
      <c r="V231" s="545">
        <v>48</v>
      </c>
      <c r="W231" s="545">
        <v>2</v>
      </c>
      <c r="X231" s="545">
        <v>0</v>
      </c>
      <c r="Y231" s="545">
        <v>31</v>
      </c>
      <c r="AA231" s="533" t="s">
        <v>912</v>
      </c>
      <c r="AB231" s="533" t="s">
        <v>913</v>
      </c>
      <c r="AC231" s="533" t="s">
        <v>914</v>
      </c>
      <c r="AD231" s="533" t="s">
        <v>915</v>
      </c>
      <c r="AE231" s="533" t="s">
        <v>916</v>
      </c>
      <c r="AF231" s="533" t="s">
        <v>917</v>
      </c>
      <c r="AG231" s="533" t="s">
        <v>896</v>
      </c>
      <c r="AH231" s="533" t="s">
        <v>918</v>
      </c>
      <c r="AI231" s="533" t="s">
        <v>894</v>
      </c>
      <c r="AJ231" s="533" t="s">
        <v>919</v>
      </c>
      <c r="AK231" s="533"/>
    </row>
    <row r="232">
      <c r="A232" s="534"/>
      <c r="B232" s="535" t="s">
        <v>930</v>
      </c>
      <c r="C232" s="552" t="s">
        <v>934</v>
      </c>
      <c r="D232" s="545">
        <v>1257.52</v>
      </c>
      <c r="E232" s="545">
        <v>0</v>
      </c>
      <c r="F232" s="545">
        <v>1</v>
      </c>
      <c r="G232" s="545">
        <v>0</v>
      </c>
      <c r="H232" s="538">
        <f t="shared" si="10"/>
      </c>
      <c r="I232" s="538">
        <f t="shared" si="48"/>
      </c>
      <c r="J232" s="538">
        <f t="shared" si="101"/>
      </c>
      <c r="K232" s="539">
        <f t="shared" si="149"/>
      </c>
      <c r="L232" s="540">
        <f t="shared" si="243"/>
      </c>
      <c r="M232" s="541">
        <f t="shared" si="166"/>
      </c>
      <c r="N232" s="541">
        <f t="shared" si="262"/>
      </c>
      <c r="O232" s="541">
        <f t="shared" si="279"/>
      </c>
      <c r="P232" s="542">
        <f t="shared" si="26"/>
      </c>
      <c r="Q232" s="543" t="s">
        <v>923</v>
      </c>
      <c r="R232" s="544" t="s">
        <v>924</v>
      </c>
      <c r="S232" s="545">
        <v>3348</v>
      </c>
      <c r="T232" s="545">
        <v>362</v>
      </c>
      <c r="U232" s="545">
        <v>467</v>
      </c>
      <c r="V232" s="545">
        <v>53</v>
      </c>
      <c r="W232" s="545">
        <v>3</v>
      </c>
      <c r="X232" s="545">
        <v>0</v>
      </c>
      <c r="Y232" s="545">
        <v>18</v>
      </c>
      <c r="AA232" s="546" t="s">
        <v>930</v>
      </c>
      <c r="AB232" s="547" t="s">
        <v>993</v>
      </c>
      <c r="AC232" s="546">
        <v>5</v>
      </c>
      <c r="AD232" s="546">
        <v>6942.59</v>
      </c>
      <c r="AE232" s="546">
        <v>16625.2</v>
      </c>
      <c r="AF232" s="546">
        <v>13</v>
      </c>
      <c r="AG232" s="549">
        <f t="shared" ref="AG232:AG235" si="80">AE232/AF232</f>
      </c>
      <c r="AH232" s="549">
        <f t="shared" ref="AH232:AH235" si="133">AD232/AF232</f>
      </c>
      <c r="AI232" s="549">
        <f t="shared" ref="AI232:AI235" si="198">AE232/AD232</f>
      </c>
      <c r="AJ232" s="548">
        <f t="shared" ref="AJ232:AJ235" si="227">AD232/AC232</f>
      </c>
      <c r="AK232" s="548"/>
    </row>
    <row r="233">
      <c r="A233" s="534"/>
      <c r="B233" s="535" t="s">
        <v>930</v>
      </c>
      <c r="C233" s="566" t="s">
        <v>945</v>
      </c>
      <c r="D233" s="545">
        <v>1609.98</v>
      </c>
      <c r="E233" s="545">
        <v>3</v>
      </c>
      <c r="F233" s="545">
        <v>3</v>
      </c>
      <c r="G233" s="545">
        <v>8585.2</v>
      </c>
      <c r="H233" s="538">
        <f t="shared" si="10"/>
      </c>
      <c r="I233" s="538">
        <f t="shared" si="48"/>
      </c>
      <c r="J233" s="538">
        <f t="shared" si="101"/>
      </c>
      <c r="K233" s="539">
        <f t="shared" si="149"/>
      </c>
      <c r="L233" s="540">
        <f t="shared" si="243"/>
      </c>
      <c r="M233" s="541">
        <f t="shared" si="166"/>
      </c>
      <c r="N233" s="541">
        <f t="shared" si="262"/>
      </c>
      <c r="O233" s="541">
        <f t="shared" si="279"/>
      </c>
      <c r="P233" s="542">
        <f t="shared" si="26"/>
      </c>
      <c r="Q233" s="543" t="s">
        <v>923</v>
      </c>
      <c r="R233" s="544" t="s">
        <v>924</v>
      </c>
      <c r="S233" s="545">
        <v>4248</v>
      </c>
      <c r="T233" s="545">
        <v>566</v>
      </c>
      <c r="U233" s="545">
        <v>686</v>
      </c>
      <c r="V233" s="545">
        <v>63</v>
      </c>
      <c r="W233" s="545">
        <v>5</v>
      </c>
      <c r="X233" s="545">
        <v>0</v>
      </c>
      <c r="Y233" s="545">
        <v>30</v>
      </c>
      <c r="AA233" s="546" t="s">
        <v>966</v>
      </c>
      <c r="AB233" s="547" t="s">
        <v>994</v>
      </c>
      <c r="AC233" s="546">
        <v>5</v>
      </c>
      <c r="AD233" s="546">
        <v>6451.02</v>
      </c>
      <c r="AE233" s="546">
        <v>6903.6</v>
      </c>
      <c r="AF233" s="546">
        <v>7</v>
      </c>
      <c r="AG233" s="549">
        <f t="shared" si="80"/>
      </c>
      <c r="AH233" s="549">
        <f t="shared" si="133"/>
      </c>
      <c r="AI233" s="549">
        <f t="shared" si="198"/>
      </c>
      <c r="AJ233" s="548">
        <f t="shared" si="227"/>
      </c>
      <c r="AK233" s="548"/>
    </row>
    <row r="234">
      <c r="A234" s="534"/>
      <c r="B234" s="535" t="s">
        <v>930</v>
      </c>
      <c r="C234" s="566" t="s">
        <v>946</v>
      </c>
      <c r="D234" s="545">
        <v>1453.33</v>
      </c>
      <c r="E234" s="545">
        <v>3</v>
      </c>
      <c r="F234" s="545">
        <v>1</v>
      </c>
      <c r="G234" s="545">
        <v>1674</v>
      </c>
      <c r="H234" s="538">
        <f t="shared" si="10"/>
      </c>
      <c r="I234" s="538">
        <f t="shared" si="48"/>
      </c>
      <c r="J234" s="538">
        <f t="shared" si="101"/>
      </c>
      <c r="K234" s="539">
        <f t="shared" si="149"/>
      </c>
      <c r="L234" s="540">
        <f t="shared" si="243"/>
      </c>
      <c r="M234" s="541">
        <f t="shared" si="166"/>
      </c>
      <c r="N234" s="541">
        <f t="shared" si="262"/>
      </c>
      <c r="O234" s="541">
        <f t="shared" si="279"/>
      </c>
      <c r="P234" s="542">
        <f t="shared" si="26"/>
      </c>
      <c r="Q234" s="543" t="s">
        <v>923</v>
      </c>
      <c r="R234" s="544" t="s">
        <v>924</v>
      </c>
      <c r="S234" s="545">
        <v>4704</v>
      </c>
      <c r="T234" s="545">
        <v>596</v>
      </c>
      <c r="U234" s="545">
        <v>737</v>
      </c>
      <c r="V234" s="545">
        <v>71</v>
      </c>
      <c r="W234" s="545">
        <v>6</v>
      </c>
      <c r="X234" s="545">
        <v>1</v>
      </c>
      <c r="Y234" s="545">
        <v>24</v>
      </c>
      <c r="AA234" s="546" t="s">
        <v>927</v>
      </c>
      <c r="AB234" s="547" t="s">
        <v>995</v>
      </c>
      <c r="AC234" s="546">
        <v>5</v>
      </c>
      <c r="AD234" s="546">
        <v>8801.61</v>
      </c>
      <c r="AE234" s="546">
        <v>17539.2</v>
      </c>
      <c r="AF234" s="546">
        <v>19</v>
      </c>
      <c r="AG234" s="549">
        <f t="shared" si="80"/>
      </c>
      <c r="AH234" s="549">
        <f t="shared" si="133"/>
      </c>
      <c r="AI234" s="549">
        <f t="shared" si="198"/>
      </c>
      <c r="AJ234" s="548">
        <f t="shared" si="227"/>
      </c>
      <c r="AK234" s="548"/>
    </row>
    <row r="235">
      <c r="A235" s="534"/>
      <c r="B235" s="535" t="s">
        <v>930</v>
      </c>
      <c r="C235" s="566" t="s">
        <v>947</v>
      </c>
      <c r="D235" s="535">
        <v>1629.32</v>
      </c>
      <c r="E235" s="519">
        <v>5</v>
      </c>
      <c r="F235" s="519">
        <v>1</v>
      </c>
      <c r="G235" s="574">
        <v>4513.2</v>
      </c>
      <c r="H235" s="538">
        <f t="shared" si="10"/>
      </c>
      <c r="I235" s="538">
        <f t="shared" si="48"/>
      </c>
      <c r="J235" s="538">
        <f t="shared" si="101"/>
      </c>
      <c r="K235" s="539">
        <f t="shared" si="149"/>
      </c>
      <c r="L235" s="540">
        <f t="shared" si="243"/>
      </c>
      <c r="M235" s="541">
        <f t="shared" si="166"/>
      </c>
      <c r="N235" s="541">
        <f t="shared" si="262"/>
      </c>
      <c r="O235" s="541">
        <f t="shared" si="279"/>
      </c>
      <c r="P235" s="542">
        <f t="shared" si="26"/>
      </c>
      <c r="Q235" s="543" t="s">
        <v>923</v>
      </c>
      <c r="R235" s="544" t="s">
        <v>924</v>
      </c>
      <c r="S235" s="545">
        <v>4818</v>
      </c>
      <c r="T235" s="545">
        <v>560</v>
      </c>
      <c r="U235" s="545">
        <v>702</v>
      </c>
      <c r="V235" s="545">
        <v>71</v>
      </c>
      <c r="W235" s="545">
        <v>8</v>
      </c>
      <c r="X235" s="545">
        <v>2</v>
      </c>
      <c r="Y235" s="574">
        <v>35</v>
      </c>
      <c r="AA235" s="533" t="s">
        <v>933</v>
      </c>
      <c r="AB235" s="533"/>
      <c r="AC235" s="533">
        <f>SUM(AC231:AC234)</f>
      </c>
      <c r="AD235" s="533">
        <f>SUM(AD231:AD234)</f>
      </c>
      <c r="AE235" s="533">
        <f>SUM(AE231:AE234)</f>
      </c>
      <c r="AF235" s="533">
        <f>SUM(AF231:AF234)</f>
      </c>
      <c r="AG235" s="551">
        <f t="shared" si="80"/>
      </c>
      <c r="AH235" s="551">
        <f t="shared" si="133"/>
      </c>
      <c r="AI235" s="551">
        <f t="shared" si="198"/>
      </c>
      <c r="AJ235" s="550">
        <f t="shared" si="227"/>
      </c>
      <c r="AK235" s="550"/>
    </row>
    <row r="236">
      <c r="A236" s="534"/>
      <c r="B236" s="554" t="s">
        <v>936</v>
      </c>
      <c r="C236" s="554"/>
      <c r="D236" s="555">
        <f>SUM(D231:D235)</f>
      </c>
      <c r="E236" s="592">
        <f>SUM(E231:E235)</f>
      </c>
      <c r="F236" s="592">
        <f>SUM(F231:F235)</f>
      </c>
      <c r="G236" s="555">
        <f>SUM(G231:G235)</f>
      </c>
      <c r="H236" s="556">
        <f t="shared" si="10"/>
      </c>
      <c r="I236" s="557">
        <f t="shared" si="48"/>
      </c>
      <c r="J236" s="558">
        <f t="shared" si="101"/>
      </c>
      <c r="K236" s="559">
        <f t="shared" si="149"/>
      </c>
      <c r="L236" s="560">
        <f t="shared" si="243"/>
      </c>
      <c r="M236" s="559">
        <f t="shared" si="166"/>
      </c>
      <c r="N236" s="559">
        <f t="shared" si="262"/>
      </c>
      <c r="O236" s="561">
        <f t="shared" si="279"/>
      </c>
      <c r="P236" s="562">
        <f t="shared" si="26"/>
      </c>
      <c r="Q236" s="560"/>
      <c r="R236" s="560"/>
      <c r="S236" s="563">
        <f>SUM(S231:S235)</f>
      </c>
      <c r="T236" s="563">
        <f>SUM(T231:T235)</f>
      </c>
      <c r="U236" s="563">
        <f>SUM(U231:U235)</f>
      </c>
      <c r="V236" s="563">
        <f>SUM(V231:V235)</f>
      </c>
      <c r="W236" s="563">
        <f>SUM(W231:W235)</f>
      </c>
      <c r="X236" s="563">
        <f>SUM(X231:X235)</f>
      </c>
      <c r="Y236" s="563">
        <f>SUM(Y231:Y235)</f>
      </c>
      <c r="AA236" s="553" t="s">
        <v>935</v>
      </c>
      <c r="AB236" s="553"/>
      <c r="AC236" s="553"/>
      <c r="AD236" s="553"/>
      <c r="AE236" s="553"/>
      <c r="AF236" s="553"/>
      <c r="AG236" s="553"/>
      <c r="AH236" s="553"/>
      <c r="AI236" s="553"/>
      <c r="AJ236" s="553"/>
      <c r="AK236" s="553"/>
    </row>
    <row r="237">
      <c r="A237" s="534"/>
      <c r="B237" s="535" t="s">
        <v>966</v>
      </c>
      <c r="C237" s="566" t="s">
        <v>948</v>
      </c>
      <c r="D237" s="594">
        <v>1621.25</v>
      </c>
      <c r="E237" s="519">
        <v>0</v>
      </c>
      <c r="F237" s="519">
        <v>0</v>
      </c>
      <c r="G237" s="595">
        <v>0</v>
      </c>
      <c r="H237" s="538">
        <f t="shared" si="10"/>
      </c>
      <c r="I237" s="538">
        <f t="shared" si="48"/>
      </c>
      <c r="J237" s="538">
        <f t="shared" si="101"/>
      </c>
      <c r="K237" s="539">
        <f t="shared" si="149"/>
      </c>
      <c r="L237" s="540">
        <f t="shared" si="243"/>
      </c>
      <c r="M237" s="541">
        <f t="shared" si="166"/>
      </c>
      <c r="N237" s="541">
        <f t="shared" si="262"/>
      </c>
      <c r="O237" s="541">
        <f t="shared" si="279"/>
      </c>
      <c r="P237" s="542">
        <f t="shared" si="26"/>
      </c>
      <c r="Q237" s="543" t="s">
        <v>923</v>
      </c>
      <c r="R237" s="544" t="s">
        <v>949</v>
      </c>
      <c r="S237" s="575">
        <v>4512</v>
      </c>
      <c r="T237" s="575">
        <v>564</v>
      </c>
      <c r="U237" s="575">
        <v>661</v>
      </c>
      <c r="V237" s="575">
        <v>69</v>
      </c>
      <c r="W237" s="567">
        <v>2</v>
      </c>
      <c r="X237" s="567">
        <v>0</v>
      </c>
      <c r="Y237" s="577">
        <v>31</v>
      </c>
      <c r="AA237" s="564" t="s">
        <v>915</v>
      </c>
      <c r="AB237" s="564" t="s">
        <v>937</v>
      </c>
      <c r="AC237" s="564" t="s">
        <v>938</v>
      </c>
      <c r="AD237" s="564" t="s">
        <v>939</v>
      </c>
      <c r="AE237" s="564" t="s">
        <v>940</v>
      </c>
      <c r="AF237" s="564" t="s">
        <v>941</v>
      </c>
      <c r="AG237" s="564" t="s">
        <v>942</v>
      </c>
      <c r="AH237" s="565" t="s">
        <v>910</v>
      </c>
      <c r="AI237" s="565" t="s">
        <v>943</v>
      </c>
      <c r="AJ237" s="565" t="s">
        <v>944</v>
      </c>
      <c r="AK237" s="565" t="s">
        <v>914</v>
      </c>
    </row>
    <row r="238">
      <c r="A238" s="534"/>
      <c r="B238" s="535" t="s">
        <v>966</v>
      </c>
      <c r="C238" s="552" t="s">
        <v>950</v>
      </c>
      <c r="D238" s="594">
        <v>897.44</v>
      </c>
      <c r="E238" s="519">
        <v>1</v>
      </c>
      <c r="F238" s="519">
        <v>1</v>
      </c>
      <c r="G238" s="595">
        <v>402</v>
      </c>
      <c r="H238" s="538">
        <f t="shared" si="10"/>
      </c>
      <c r="I238" s="538">
        <f t="shared" si="48"/>
      </c>
      <c r="J238" s="538">
        <f t="shared" si="101"/>
      </c>
      <c r="K238" s="539">
        <f t="shared" si="149"/>
      </c>
      <c r="L238" s="540">
        <f t="shared" si="243"/>
      </c>
      <c r="M238" s="541">
        <f t="shared" si="166"/>
      </c>
      <c r="N238" s="541">
        <f t="shared" si="262"/>
      </c>
      <c r="O238" s="541">
        <f t="shared" si="279"/>
      </c>
      <c r="P238" s="542">
        <f t="shared" si="26"/>
      </c>
      <c r="Q238" s="543" t="s">
        <v>923</v>
      </c>
      <c r="R238" s="544" t="s">
        <v>949</v>
      </c>
      <c r="S238" s="575">
        <v>3311</v>
      </c>
      <c r="T238" s="575">
        <v>412</v>
      </c>
      <c r="U238" s="575">
        <v>485</v>
      </c>
      <c r="V238" s="575">
        <v>51</v>
      </c>
      <c r="W238" s="567">
        <v>1</v>
      </c>
      <c r="X238" s="567">
        <v>0</v>
      </c>
      <c r="Y238" s="577">
        <v>18</v>
      </c>
      <c r="AA238" s="568">
        <f>SUM(AD231:AD234)</f>
      </c>
      <c r="AB238" s="568">
        <f>SUM(AE231:AE234)</f>
      </c>
      <c r="AC238" s="569">
        <f>AB238/((AK238*300)+AA238)</f>
      </c>
      <c r="AD238" s="570">
        <f>AA238/AJ238</f>
      </c>
      <c r="AE238" s="569">
        <f>AB238/AJ238</f>
      </c>
      <c r="AF238" s="571">
        <f>AJ238/AI238</f>
      </c>
      <c r="AG238" s="571">
        <f>AH238/AJ238</f>
      </c>
      <c r="AH238" s="572">
        <v>6</v>
      </c>
      <c r="AI238" s="572">
        <v>57</v>
      </c>
      <c r="AJ238" s="572">
        <f>AF235</f>
      </c>
      <c r="AK238" s="573">
        <f>AC235</f>
      </c>
    </row>
    <row r="239">
      <c r="A239" s="534"/>
      <c r="B239" s="535" t="s">
        <v>966</v>
      </c>
      <c r="C239" s="552" t="s">
        <v>951</v>
      </c>
      <c r="D239" s="594">
        <v>877.01</v>
      </c>
      <c r="E239" s="519">
        <v>0</v>
      </c>
      <c r="F239" s="519">
        <v>0</v>
      </c>
      <c r="G239" s="595">
        <v>0</v>
      </c>
      <c r="H239" s="538">
        <f t="shared" si="10"/>
      </c>
      <c r="I239" s="538">
        <f t="shared" si="48"/>
      </c>
      <c r="J239" s="538">
        <f t="shared" si="101"/>
      </c>
      <c r="K239" s="539">
        <f t="shared" si="149"/>
      </c>
      <c r="L239" s="540">
        <f t="shared" si="243"/>
      </c>
      <c r="M239" s="541">
        <f t="shared" si="166"/>
      </c>
      <c r="N239" s="541">
        <f t="shared" si="262"/>
      </c>
      <c r="O239" s="541">
        <f t="shared" si="279"/>
      </c>
      <c r="P239" s="542">
        <f t="shared" si="26"/>
      </c>
      <c r="Q239" s="543" t="s">
        <v>923</v>
      </c>
      <c r="R239" s="544" t="s">
        <v>949</v>
      </c>
      <c r="S239" s="575">
        <v>3635</v>
      </c>
      <c r="T239" s="575">
        <v>476</v>
      </c>
      <c r="U239" s="575">
        <v>549</v>
      </c>
      <c r="V239" s="575">
        <v>49</v>
      </c>
      <c r="W239" s="567">
        <v>2</v>
      </c>
      <c r="X239" s="567">
        <v>0</v>
      </c>
      <c r="Y239" s="577">
        <v>22</v>
      </c>
    </row>
    <row customHeight="true" ht="18.452380952380953" r="240">
      <c r="A240" s="534"/>
      <c r="B240" s="535" t="s">
        <v>966</v>
      </c>
      <c r="C240" s="536" t="s">
        <v>953</v>
      </c>
      <c r="D240" s="594">
        <v>1150.56</v>
      </c>
      <c r="E240" s="519">
        <v>2</v>
      </c>
      <c r="F240" s="519">
        <v>2</v>
      </c>
      <c r="G240" s="595">
        <v>3345.6</v>
      </c>
      <c r="H240" s="538">
        <f t="shared" si="10"/>
      </c>
      <c r="I240" s="538">
        <f t="shared" si="48"/>
      </c>
      <c r="J240" s="538">
        <f t="shared" si="101"/>
      </c>
      <c r="K240" s="539">
        <f t="shared" si="149"/>
      </c>
      <c r="L240" s="540">
        <f t="shared" si="243"/>
      </c>
      <c r="M240" s="541">
        <f t="shared" si="166"/>
      </c>
      <c r="N240" s="541">
        <f t="shared" si="262"/>
      </c>
      <c r="O240" s="541">
        <f t="shared" si="279"/>
      </c>
      <c r="P240" s="542">
        <f t="shared" si="26"/>
      </c>
      <c r="Q240" s="543" t="s">
        <v>923</v>
      </c>
      <c r="R240" s="544" t="s">
        <v>949</v>
      </c>
      <c r="S240" s="575">
        <v>4326</v>
      </c>
      <c r="T240" s="575">
        <v>614</v>
      </c>
      <c r="U240" s="575">
        <v>701</v>
      </c>
      <c r="V240" s="575">
        <v>64</v>
      </c>
      <c r="W240" s="567">
        <v>2</v>
      </c>
      <c r="X240" s="567">
        <v>0</v>
      </c>
      <c r="Y240" s="577">
        <v>32</v>
      </c>
    </row>
    <row customHeight="true" ht="18.452380952380953" r="241">
      <c r="A241" s="534"/>
      <c r="B241" s="535" t="s">
        <v>966</v>
      </c>
      <c r="C241" s="552" t="s">
        <v>954</v>
      </c>
      <c r="D241" s="594">
        <v>2077.96</v>
      </c>
      <c r="E241" s="519">
        <v>4</v>
      </c>
      <c r="F241" s="519">
        <v>3</v>
      </c>
      <c r="G241" s="595">
        <v>3156</v>
      </c>
      <c r="H241" s="538">
        <f t="shared" si="10"/>
      </c>
      <c r="I241" s="538">
        <f t="shared" si="48"/>
      </c>
      <c r="J241" s="538">
        <f t="shared" si="101"/>
      </c>
      <c r="K241" s="539">
        <f t="shared" si="149"/>
      </c>
      <c r="L241" s="540">
        <f t="shared" si="243"/>
      </c>
      <c r="M241" s="541">
        <f t="shared" si="166"/>
      </c>
      <c r="N241" s="541">
        <f t="shared" si="262"/>
      </c>
      <c r="O241" s="541">
        <f t="shared" si="279"/>
      </c>
      <c r="P241" s="542">
        <f t="shared" si="26"/>
      </c>
      <c r="Q241" s="543" t="s">
        <v>923</v>
      </c>
      <c r="R241" s="544" t="s">
        <v>949</v>
      </c>
      <c r="S241" s="575">
        <v>6094</v>
      </c>
      <c r="T241" s="575">
        <v>895</v>
      </c>
      <c r="U241" s="575">
        <v>973</v>
      </c>
      <c r="V241" s="575">
        <v>100</v>
      </c>
      <c r="W241" s="567">
        <v>4</v>
      </c>
      <c r="X241" s="567">
        <v>0</v>
      </c>
      <c r="Y241" s="577">
        <v>46</v>
      </c>
    </row>
    <row r="242">
      <c r="A242" s="534"/>
      <c r="B242" s="554" t="s">
        <v>936</v>
      </c>
      <c r="C242" s="554"/>
      <c r="D242" s="555">
        <f>SUM(D237:D241)</f>
      </c>
      <c r="E242" s="592">
        <f>SUM(E237:E241)</f>
      </c>
      <c r="F242" s="592">
        <f>SUM(F237:F241)</f>
      </c>
      <c r="G242" s="555">
        <f>SUM(G237:G241)</f>
      </c>
      <c r="H242" s="556">
        <f t="shared" si="10"/>
      </c>
      <c r="I242" s="557">
        <f t="shared" si="48"/>
      </c>
      <c r="J242" s="558">
        <f t="shared" si="101"/>
      </c>
      <c r="K242" s="559">
        <f t="shared" si="149"/>
      </c>
      <c r="L242" s="560">
        <f t="shared" si="243"/>
      </c>
      <c r="M242" s="559">
        <f t="shared" si="166"/>
      </c>
      <c r="N242" s="559">
        <f t="shared" si="262"/>
      </c>
      <c r="O242" s="561">
        <f t="shared" si="279"/>
      </c>
      <c r="P242" s="562">
        <f t="shared" si="26"/>
      </c>
      <c r="Q242" s="560"/>
      <c r="R242" s="560"/>
      <c r="S242" s="563">
        <f>SUM(S237:S241)</f>
      </c>
      <c r="T242" s="563">
        <f>SUM(T237:T241)</f>
      </c>
      <c r="U242" s="563">
        <f>SUM(U237:U241)</f>
      </c>
      <c r="V242" s="563">
        <f>SUM(V237:V241)</f>
      </c>
      <c r="W242" s="563">
        <f>SUM(W237:W241)</f>
      </c>
      <c r="X242" s="563">
        <f>SUM(X237:X241)</f>
      </c>
      <c r="Y242" s="563">
        <f>SUM(Y237:Y241)</f>
      </c>
    </row>
    <row r="243">
      <c r="A243" s="534"/>
      <c r="B243" s="535" t="s">
        <v>927</v>
      </c>
      <c r="C243" s="536" t="s">
        <v>955</v>
      </c>
      <c r="D243" s="594">
        <v>2740.12</v>
      </c>
      <c r="E243" s="519">
        <v>6</v>
      </c>
      <c r="F243" s="519">
        <v>7</v>
      </c>
      <c r="G243" s="595">
        <v>5352</v>
      </c>
      <c r="H243" s="538">
        <f t="shared" si="10"/>
      </c>
      <c r="I243" s="538">
        <f t="shared" si="48"/>
      </c>
      <c r="J243" s="538">
        <f t="shared" si="101"/>
      </c>
      <c r="K243" s="539">
        <f t="shared" si="149"/>
      </c>
      <c r="L243" s="540">
        <f t="shared" si="243"/>
      </c>
      <c r="M243" s="541">
        <f t="shared" si="166"/>
      </c>
      <c r="N243" s="541">
        <f t="shared" si="262"/>
      </c>
      <c r="O243" s="541">
        <f t="shared" si="279"/>
      </c>
      <c r="P243" s="542">
        <f t="shared" si="26"/>
      </c>
      <c r="Q243" s="543" t="s">
        <v>952</v>
      </c>
      <c r="R243" s="544" t="s">
        <v>949</v>
      </c>
      <c r="S243" s="575">
        <v>7086</v>
      </c>
      <c r="T243" s="575">
        <v>1172</v>
      </c>
      <c r="U243" s="575">
        <v>1293</v>
      </c>
      <c r="V243" s="575">
        <v>126</v>
      </c>
      <c r="W243" s="567">
        <v>7</v>
      </c>
      <c r="X243" s="567">
        <v>0</v>
      </c>
      <c r="Y243" s="577">
        <v>45</v>
      </c>
    </row>
    <row r="244">
      <c r="A244" s="534"/>
      <c r="B244" s="535" t="s">
        <v>927</v>
      </c>
      <c r="C244" s="536" t="s">
        <v>956</v>
      </c>
      <c r="D244" s="594">
        <v>2179.23</v>
      </c>
      <c r="E244" s="519">
        <v>4</v>
      </c>
      <c r="F244" s="519">
        <v>4</v>
      </c>
      <c r="G244" s="595">
        <v>3642</v>
      </c>
      <c r="H244" s="538">
        <f t="shared" si="10"/>
      </c>
      <c r="I244" s="538">
        <f t="shared" si="48"/>
      </c>
      <c r="J244" s="538">
        <f t="shared" si="101"/>
      </c>
      <c r="K244" s="539">
        <f t="shared" si="149"/>
      </c>
      <c r="L244" s="540">
        <f t="shared" si="243"/>
      </c>
      <c r="M244" s="541">
        <f t="shared" si="166"/>
      </c>
      <c r="N244" s="541">
        <f t="shared" si="262"/>
      </c>
      <c r="O244" s="541">
        <f t="shared" si="279"/>
      </c>
      <c r="P244" s="542">
        <f t="shared" si="26"/>
      </c>
      <c r="Q244" s="543" t="s">
        <v>952</v>
      </c>
      <c r="R244" s="544" t="s">
        <v>949</v>
      </c>
      <c r="S244" s="575">
        <v>6045</v>
      </c>
      <c r="T244" s="575">
        <v>1102</v>
      </c>
      <c r="U244" s="575">
        <v>1245</v>
      </c>
      <c r="V244" s="575">
        <v>79</v>
      </c>
      <c r="W244" s="567">
        <v>4</v>
      </c>
      <c r="X244" s="567">
        <v>0</v>
      </c>
      <c r="Y244" s="577">
        <v>40</v>
      </c>
      <c r="AA244" s="545"/>
    </row>
    <row r="245">
      <c r="A245" s="534"/>
      <c r="B245" s="535" t="s">
        <v>927</v>
      </c>
      <c r="C245" s="536" t="s">
        <v>957</v>
      </c>
      <c r="D245" s="594">
        <v>1578.38</v>
      </c>
      <c r="E245" s="519">
        <v>2</v>
      </c>
      <c r="F245" s="519">
        <v>2</v>
      </c>
      <c r="G245" s="595">
        <v>2395.2</v>
      </c>
      <c r="H245" s="538">
        <f t="shared" si="10"/>
      </c>
      <c r="I245" s="538">
        <f t="shared" si="48"/>
      </c>
      <c r="J245" s="538">
        <f t="shared" si="101"/>
      </c>
      <c r="K245" s="539">
        <f t="shared" si="149"/>
      </c>
      <c r="L245" s="540">
        <f t="shared" si="243"/>
      </c>
      <c r="M245" s="541">
        <f t="shared" si="166"/>
      </c>
      <c r="N245" s="541">
        <f t="shared" si="262"/>
      </c>
      <c r="O245" s="541">
        <f t="shared" si="279"/>
      </c>
      <c r="P245" s="542">
        <f t="shared" si="26"/>
      </c>
      <c r="Q245" s="543" t="s">
        <v>952</v>
      </c>
      <c r="R245" s="544" t="s">
        <v>949</v>
      </c>
      <c r="S245" s="575">
        <v>6152</v>
      </c>
      <c r="T245" s="575">
        <v>1233</v>
      </c>
      <c r="U245" s="575">
        <v>1368</v>
      </c>
      <c r="V245" s="575">
        <v>90</v>
      </c>
      <c r="W245" s="567">
        <v>3</v>
      </c>
      <c r="X245" s="567">
        <v>0</v>
      </c>
      <c r="Y245" s="577">
        <v>22</v>
      </c>
    </row>
    <row r="246">
      <c r="A246" s="534"/>
      <c r="B246" s="535" t="s">
        <v>927</v>
      </c>
      <c r="C246" s="536" t="s">
        <v>996</v>
      </c>
      <c r="D246" s="594">
        <v>1666.62</v>
      </c>
      <c r="E246" s="519">
        <v>6</v>
      </c>
      <c r="F246" s="519">
        <v>3</v>
      </c>
      <c r="G246" s="595">
        <v>4952.4</v>
      </c>
      <c r="H246" s="538">
        <f t="shared" si="10"/>
      </c>
      <c r="I246" s="538">
        <f t="shared" si="48"/>
      </c>
      <c r="J246" s="538">
        <f t="shared" si="101"/>
      </c>
      <c r="K246" s="539">
        <f t="shared" si="149"/>
      </c>
      <c r="L246" s="540">
        <f t="shared" si="243"/>
      </c>
      <c r="M246" s="541">
        <f t="shared" si="166"/>
      </c>
      <c r="N246" s="541">
        <f t="shared" si="262"/>
      </c>
      <c r="O246" s="541">
        <f t="shared" si="279"/>
      </c>
      <c r="P246" s="542">
        <f t="shared" si="26"/>
      </c>
      <c r="Q246" s="543" t="s">
        <v>952</v>
      </c>
      <c r="R246" s="544" t="s">
        <v>949</v>
      </c>
      <c r="S246" s="575">
        <v>6464</v>
      </c>
      <c r="T246" s="575">
        <v>996</v>
      </c>
      <c r="U246" s="575">
        <v>1187</v>
      </c>
      <c r="V246" s="575">
        <v>58</v>
      </c>
      <c r="W246" s="567">
        <v>8</v>
      </c>
      <c r="X246" s="567">
        <v>3</v>
      </c>
      <c r="Y246" s="577">
        <v>23</v>
      </c>
    </row>
    <row r="247">
      <c r="A247" s="534"/>
      <c r="B247" s="535" t="s">
        <v>930</v>
      </c>
      <c r="C247" s="536" t="s">
        <v>997</v>
      </c>
      <c r="D247" s="594">
        <v>637.26</v>
      </c>
      <c r="E247" s="519">
        <v>1</v>
      </c>
      <c r="F247" s="519">
        <v>1</v>
      </c>
      <c r="G247" s="595">
        <v>1197.6</v>
      </c>
      <c r="H247" s="538">
        <f t="shared" si="10"/>
      </c>
      <c r="I247" s="538">
        <f t="shared" si="48"/>
      </c>
      <c r="J247" s="538">
        <f t="shared" si="101"/>
      </c>
      <c r="K247" s="539">
        <f t="shared" si="149"/>
      </c>
      <c r="L247" s="540">
        <f t="shared" si="243"/>
      </c>
      <c r="M247" s="541">
        <f t="shared" si="166"/>
      </c>
      <c r="N247" s="541">
        <f t="shared" si="262"/>
      </c>
      <c r="O247" s="541">
        <f t="shared" si="279"/>
      </c>
      <c r="P247" s="542">
        <f t="shared" si="26"/>
      </c>
      <c r="Q247" s="543" t="s">
        <v>952</v>
      </c>
      <c r="R247" s="544" t="s">
        <v>949</v>
      </c>
      <c r="S247" s="575">
        <v>4367</v>
      </c>
      <c r="T247" s="575">
        <v>765</v>
      </c>
      <c r="U247" s="575">
        <v>883</v>
      </c>
      <c r="V247" s="575">
        <v>47</v>
      </c>
      <c r="W247" s="567">
        <v>1</v>
      </c>
      <c r="X247" s="567">
        <v>0</v>
      </c>
      <c r="Y247" s="577">
        <v>13</v>
      </c>
    </row>
    <row r="248">
      <c r="A248" s="534"/>
      <c r="B248" s="554" t="s">
        <v>936</v>
      </c>
      <c r="C248" s="554"/>
      <c r="D248" s="555">
        <f>SUM(D243:D247)</f>
      </c>
      <c r="E248" s="592">
        <f>SUM(E243:E247)</f>
      </c>
      <c r="F248" s="592">
        <f>SUM(F243:F247)</f>
      </c>
      <c r="G248" s="555">
        <f>SUM(G243:G247)</f>
      </c>
      <c r="H248" s="556">
        <f t="shared" si="10"/>
      </c>
      <c r="I248" s="557">
        <f t="shared" si="48"/>
      </c>
      <c r="J248" s="558">
        <f t="shared" si="101"/>
      </c>
      <c r="K248" s="559">
        <f t="shared" si="149"/>
      </c>
      <c r="L248" s="560">
        <f t="shared" si="243"/>
      </c>
      <c r="M248" s="559">
        <f t="shared" si="166"/>
      </c>
      <c r="N248" s="559">
        <f t="shared" si="262"/>
      </c>
      <c r="O248" s="561">
        <f t="shared" si="279"/>
      </c>
      <c r="P248" s="562">
        <f t="shared" si="26"/>
      </c>
      <c r="Q248" s="560"/>
      <c r="R248" s="560"/>
      <c r="S248" s="563">
        <f>SUM(S243:S247)</f>
      </c>
      <c r="T248" s="563">
        <f>SUM(T243:T247)</f>
      </c>
      <c r="U248" s="563">
        <f>SUM(U243:U247)</f>
      </c>
      <c r="V248" s="563">
        <f>SUM(V243:V247)</f>
      </c>
      <c r="W248" s="563">
        <f>SUM(W243:W247)</f>
      </c>
      <c r="X248" s="563">
        <f>SUM(X243:X247)</f>
      </c>
      <c r="Y248" s="563">
        <f>SUM(Y243:Y247)</f>
      </c>
    </row>
    <row r="249">
      <c r="A249" s="534"/>
      <c r="B249" s="579" t="s">
        <v>958</v>
      </c>
      <c r="C249" s="579"/>
      <c r="D249" s="580">
        <f>D236+D242+D248</f>
      </c>
      <c r="E249" s="580">
        <f>E236+E242+E248</f>
      </c>
      <c r="F249" s="580">
        <f>F236+F242+F248</f>
      </c>
      <c r="G249" s="580">
        <f>G236+G242+G248</f>
      </c>
      <c r="H249" s="579">
        <f t="shared" si="10"/>
      </c>
      <c r="I249" s="579">
        <f t="shared" si="48"/>
      </c>
      <c r="J249" s="579">
        <f t="shared" si="101"/>
      </c>
      <c r="K249" s="581">
        <f t="shared" si="149"/>
      </c>
      <c r="L249" s="579">
        <f t="shared" si="243"/>
      </c>
      <c r="M249" s="581">
        <f t="shared" si="166"/>
      </c>
      <c r="N249" s="581">
        <f t="shared" si="262"/>
      </c>
      <c r="O249" s="581">
        <f t="shared" si="279"/>
      </c>
      <c r="P249" s="579">
        <f t="shared" si="26"/>
      </c>
      <c r="Q249" s="582"/>
      <c r="R249" s="582"/>
      <c r="S249" s="583">
        <f>S236+S242+S248</f>
      </c>
      <c r="T249" s="583">
        <f>T236+T242+T248</f>
      </c>
      <c r="U249" s="583">
        <f>U236+U242+U248</f>
      </c>
      <c r="V249" s="583">
        <f>V236+V242+V248</f>
      </c>
      <c r="W249" s="583">
        <f>W236+W242+W248</f>
      </c>
      <c r="X249" s="583">
        <f>X236+X242+X248</f>
      </c>
      <c r="Y249" s="583">
        <f>Y236+Y242+Y248</f>
      </c>
    </row>
    <row r="250">
      <c r="A250" s="515" t="s">
        <v>882</v>
      </c>
      <c r="B250" s="515"/>
      <c r="C250" s="515"/>
      <c r="D250" s="516" t="s">
        <v>883</v>
      </c>
      <c r="E250" s="516"/>
      <c r="F250" s="516"/>
      <c r="G250" s="516"/>
      <c r="H250" s="516"/>
      <c r="I250" s="516"/>
      <c r="J250" s="516"/>
      <c r="K250" s="517" t="s">
        <v>884</v>
      </c>
      <c r="L250" s="517"/>
      <c r="M250" s="517"/>
      <c r="N250" s="517"/>
      <c r="O250" s="517"/>
      <c r="P250" s="517"/>
      <c r="Q250" s="517"/>
      <c r="R250" s="517"/>
      <c r="S250" s="589" t="s">
        <v>885</v>
      </c>
      <c r="T250" s="589"/>
      <c r="U250" s="589"/>
      <c r="V250" s="589"/>
      <c r="W250" s="589"/>
      <c r="X250" s="589"/>
      <c r="Y250" s="589"/>
      <c r="AA250" s="520" t="s">
        <v>998</v>
      </c>
      <c r="AB250" s="520"/>
      <c r="AC250" s="520"/>
      <c r="AD250" s="520"/>
      <c r="AE250" s="520"/>
      <c r="AF250" s="520"/>
      <c r="AG250" s="520"/>
      <c r="AH250" s="520"/>
      <c r="AI250" s="520"/>
      <c r="AJ250" s="520"/>
      <c r="AK250" s="520"/>
    </row>
    <row r="251">
      <c r="A251" s="521" t="s">
        <v>887</v>
      </c>
      <c r="B251" s="521" t="s">
        <v>888</v>
      </c>
      <c r="C251" s="521" t="s">
        <v>889</v>
      </c>
      <c r="D251" s="522" t="s">
        <v>890</v>
      </c>
      <c r="E251" s="523" t="s">
        <v>891</v>
      </c>
      <c r="F251" s="524" t="s">
        <v>892</v>
      </c>
      <c r="G251" s="522" t="s">
        <v>893</v>
      </c>
      <c r="H251" s="525" t="s">
        <v>894</v>
      </c>
      <c r="I251" s="526" t="s">
        <v>895</v>
      </c>
      <c r="J251" s="522" t="s">
        <v>896</v>
      </c>
      <c r="K251" s="527" t="s">
        <v>897</v>
      </c>
      <c r="L251" s="528" t="s">
        <v>898</v>
      </c>
      <c r="M251" s="527" t="s">
        <v>899</v>
      </c>
      <c r="N251" s="527" t="s">
        <v>900</v>
      </c>
      <c r="O251" s="529" t="s">
        <v>901</v>
      </c>
      <c r="P251" s="529" t="s">
        <v>902</v>
      </c>
      <c r="Q251" s="530" t="s">
        <v>903</v>
      </c>
      <c r="R251" s="530" t="s">
        <v>904</v>
      </c>
      <c r="S251" s="585" t="s">
        <v>905</v>
      </c>
      <c r="T251" s="585" t="s">
        <v>906</v>
      </c>
      <c r="U251" s="585" t="s">
        <v>907</v>
      </c>
      <c r="V251" s="585" t="s">
        <v>908</v>
      </c>
      <c r="W251" s="585" t="s">
        <v>909</v>
      </c>
      <c r="X251" s="585" t="s">
        <v>910</v>
      </c>
      <c r="Y251" s="586" t="s">
        <v>911</v>
      </c>
      <c r="AA251" s="533" t="s">
        <v>912</v>
      </c>
      <c r="AB251" s="533" t="s">
        <v>913</v>
      </c>
      <c r="AC251" s="533" t="s">
        <v>914</v>
      </c>
      <c r="AD251" s="533" t="s">
        <v>915</v>
      </c>
      <c r="AE251" s="533" t="s">
        <v>916</v>
      </c>
      <c r="AF251" s="533" t="s">
        <v>917</v>
      </c>
      <c r="AG251" s="533" t="s">
        <v>896</v>
      </c>
      <c r="AH251" s="533" t="s">
        <v>918</v>
      </c>
      <c r="AI251" s="533" t="s">
        <v>894</v>
      </c>
      <c r="AJ251" s="533" t="s">
        <v>919</v>
      </c>
      <c r="AK251" s="533"/>
    </row>
    <row r="252">
      <c r="A252" s="534" t="s">
        <v>999</v>
      </c>
      <c r="B252" s="535" t="s">
        <v>930</v>
      </c>
      <c r="C252" s="536" t="s">
        <v>922</v>
      </c>
      <c r="D252" s="594">
        <v>2026.23</v>
      </c>
      <c r="E252" s="519">
        <v>0</v>
      </c>
      <c r="F252" s="519">
        <v>0</v>
      </c>
      <c r="G252" s="595">
        <v>0</v>
      </c>
      <c r="H252" s="538">
        <f t="shared" ref="H252:H272" si="11">G252/D252</f>
      </c>
      <c r="I252" s="538">
        <f t="shared" ref="I252:I272" si="49">D252/E252</f>
      </c>
      <c r="J252" s="538">
        <f t="shared" ref="J252:J272" si="102">G252/E252</f>
      </c>
      <c r="K252" s="539">
        <f t="shared" ref="K252:K272" si="150">T252/S252</f>
      </c>
      <c r="L252" s="540">
        <f t="shared" ref="L252:L272" si="244">D252/U252</f>
      </c>
      <c r="M252" s="541">
        <f t="shared" ref="M252:M272" si="167">V252/U252</f>
      </c>
      <c r="N252" s="541">
        <f t="shared" ref="N252:N272" si="263">E252/W252</f>
      </c>
      <c r="O252" s="541">
        <f t="shared" ref="O252:O272" si="280">X252/E252</f>
      </c>
      <c r="P252" s="542">
        <f t="shared" ref="P252:P272" si="27">(Y252*1000)/D252</f>
      </c>
      <c r="Q252" s="543" t="s">
        <v>923</v>
      </c>
      <c r="R252" s="544" t="s">
        <v>924</v>
      </c>
      <c r="S252" s="545">
        <v>4199</v>
      </c>
      <c r="T252" s="545">
        <v>525</v>
      </c>
      <c r="U252" s="545">
        <v>621</v>
      </c>
      <c r="V252" s="545">
        <v>57</v>
      </c>
      <c r="W252" s="545">
        <v>0</v>
      </c>
      <c r="X252" s="545">
        <v>0</v>
      </c>
      <c r="Y252" s="545">
        <v>26</v>
      </c>
      <c r="AA252" s="546" t="s">
        <v>930</v>
      </c>
      <c r="AB252" s="547" t="s">
        <v>974</v>
      </c>
      <c r="AC252" s="546">
        <v>4</v>
      </c>
      <c r="AD252" s="546">
        <v>8036.56</v>
      </c>
      <c r="AE252" s="546">
        <v>5161.2</v>
      </c>
      <c r="AF252" s="546">
        <v>3</v>
      </c>
      <c r="AG252" s="549">
        <f t="shared" ref="AG252:AG256" si="81">AE252/AF252</f>
      </c>
      <c r="AH252" s="549">
        <f t="shared" ref="AH252:AH256" si="134">AD252/AF252</f>
      </c>
      <c r="AI252" s="549">
        <f t="shared" ref="AI252:AI256" si="199">AE252/AD252</f>
      </c>
      <c r="AJ252" s="548">
        <f t="shared" ref="AJ252:AJ256" si="228">AD252/AC252</f>
      </c>
      <c r="AK252" s="548"/>
    </row>
    <row r="253">
      <c r="A253" s="534"/>
      <c r="B253" s="535" t="s">
        <v>930</v>
      </c>
      <c r="C253" s="535" t="s">
        <v>926</v>
      </c>
      <c r="D253" s="594">
        <v>2576.44</v>
      </c>
      <c r="E253" s="519">
        <v>0</v>
      </c>
      <c r="F253" s="519">
        <v>0</v>
      </c>
      <c r="G253" s="595">
        <v>0</v>
      </c>
      <c r="H253" s="538">
        <f t="shared" si="11"/>
      </c>
      <c r="I253" s="538">
        <f t="shared" si="49"/>
      </c>
      <c r="J253" s="538">
        <f t="shared" si="102"/>
      </c>
      <c r="K253" s="539">
        <f t="shared" si="150"/>
      </c>
      <c r="L253" s="540">
        <f t="shared" si="244"/>
      </c>
      <c r="M253" s="541">
        <f t="shared" si="167"/>
      </c>
      <c r="N253" s="541">
        <f t="shared" si="263"/>
      </c>
      <c r="O253" s="541">
        <f t="shared" si="280"/>
      </c>
      <c r="P253" s="542">
        <f t="shared" si="27"/>
      </c>
      <c r="Q253" s="543" t="s">
        <v>923</v>
      </c>
      <c r="R253" s="544" t="s">
        <v>924</v>
      </c>
      <c r="S253" s="545">
        <v>3448</v>
      </c>
      <c r="T253" s="545">
        <v>372</v>
      </c>
      <c r="U253" s="545">
        <v>449</v>
      </c>
      <c r="V253" s="545">
        <v>66</v>
      </c>
      <c r="W253" s="545">
        <v>1</v>
      </c>
      <c r="X253" s="545">
        <v>0</v>
      </c>
      <c r="Y253" s="545">
        <v>27</v>
      </c>
      <c r="AA253" s="546" t="s">
        <v>975</v>
      </c>
      <c r="AB253" s="547" t="s">
        <v>976</v>
      </c>
      <c r="AC253" s="546">
        <v>4</v>
      </c>
      <c r="AD253" s="546">
        <v>8391.55</v>
      </c>
      <c r="AE253" s="546">
        <v>9983.3</v>
      </c>
      <c r="AF253" s="546">
        <v>8</v>
      </c>
      <c r="AG253" s="549">
        <f t="shared" si="81"/>
      </c>
      <c r="AH253" s="549">
        <f t="shared" si="134"/>
      </c>
      <c r="AI253" s="549">
        <f t="shared" si="199"/>
      </c>
      <c r="AJ253" s="548">
        <f t="shared" si="228"/>
      </c>
      <c r="AK253" s="548"/>
    </row>
    <row r="254">
      <c r="A254" s="534"/>
      <c r="B254" s="535" t="s">
        <v>930</v>
      </c>
      <c r="C254" s="535" t="s">
        <v>929</v>
      </c>
      <c r="D254" s="594">
        <v>1330.79</v>
      </c>
      <c r="E254" s="519">
        <v>1</v>
      </c>
      <c r="F254" s="519">
        <v>1</v>
      </c>
      <c r="G254" s="595">
        <v>2943.6</v>
      </c>
      <c r="H254" s="538">
        <f t="shared" si="11"/>
      </c>
      <c r="I254" s="538">
        <f t="shared" si="49"/>
      </c>
      <c r="J254" s="538">
        <f t="shared" si="102"/>
      </c>
      <c r="K254" s="539">
        <f t="shared" si="150"/>
      </c>
      <c r="L254" s="540">
        <f t="shared" si="244"/>
      </c>
      <c r="M254" s="541">
        <f t="shared" si="167"/>
      </c>
      <c r="N254" s="541">
        <f t="shared" si="263"/>
      </c>
      <c r="O254" s="541">
        <f t="shared" si="280"/>
      </c>
      <c r="P254" s="542">
        <f t="shared" si="27"/>
      </c>
      <c r="Q254" s="543" t="s">
        <v>923</v>
      </c>
      <c r="R254" s="544" t="s">
        <v>924</v>
      </c>
      <c r="S254" s="545">
        <v>1397</v>
      </c>
      <c r="T254" s="545">
        <v>126</v>
      </c>
      <c r="U254" s="545">
        <v>209</v>
      </c>
      <c r="V254" s="545">
        <v>31</v>
      </c>
      <c r="W254" s="545">
        <v>1</v>
      </c>
      <c r="X254" s="545">
        <v>0</v>
      </c>
      <c r="Y254" s="545">
        <v>21</v>
      </c>
      <c r="AA254" s="546" t="s">
        <v>988</v>
      </c>
      <c r="AB254" s="547" t="s">
        <v>977</v>
      </c>
      <c r="AC254" s="546">
        <v>3</v>
      </c>
      <c r="AD254" s="546">
        <v>3522.07</v>
      </c>
      <c r="AE254" s="546">
        <v>619.2</v>
      </c>
      <c r="AF254" s="546">
        <v>1</v>
      </c>
      <c r="AG254" s="549">
        <f t="shared" si="81"/>
      </c>
      <c r="AH254" s="549">
        <f t="shared" si="134"/>
      </c>
      <c r="AI254" s="549">
        <f t="shared" si="199"/>
      </c>
      <c r="AJ254" s="548">
        <f t="shared" si="228"/>
      </c>
      <c r="AK254" s="548"/>
    </row>
    <row r="255">
      <c r="A255" s="534"/>
      <c r="B255" s="535" t="s">
        <v>930</v>
      </c>
      <c r="C255" s="535" t="s">
        <v>932</v>
      </c>
      <c r="D255" s="594">
        <v>2103.1</v>
      </c>
      <c r="E255" s="519">
        <v>2</v>
      </c>
      <c r="F255" s="519">
        <v>1</v>
      </c>
      <c r="G255" s="595">
        <v>2217.6</v>
      </c>
      <c r="H255" s="538">
        <f t="shared" si="11"/>
      </c>
      <c r="I255" s="538">
        <f t="shared" si="49"/>
      </c>
      <c r="J255" s="538">
        <f t="shared" si="102"/>
      </c>
      <c r="K255" s="539">
        <f t="shared" si="150"/>
      </c>
      <c r="L255" s="540">
        <f t="shared" si="244"/>
      </c>
      <c r="M255" s="541">
        <f t="shared" si="167"/>
      </c>
      <c r="N255" s="541">
        <f t="shared" si="263"/>
      </c>
      <c r="O255" s="541">
        <f t="shared" si="280"/>
      </c>
      <c r="P255" s="542">
        <f t="shared" si="27"/>
      </c>
      <c r="Q255" s="543" t="s">
        <v>923</v>
      </c>
      <c r="R255" s="544" t="s">
        <v>924</v>
      </c>
      <c r="S255" s="545">
        <v>5857</v>
      </c>
      <c r="T255" s="545">
        <v>400</v>
      </c>
      <c r="U255" s="545">
        <v>588</v>
      </c>
      <c r="V255" s="545">
        <v>76</v>
      </c>
      <c r="W255" s="545">
        <v>2</v>
      </c>
      <c r="X255" s="545">
        <v>1</v>
      </c>
      <c r="Y255" s="545">
        <v>26</v>
      </c>
      <c r="AA255" s="546" t="s">
        <v>966</v>
      </c>
      <c r="AB255" s="547" t="s">
        <v>978</v>
      </c>
      <c r="AC255" s="546">
        <v>5</v>
      </c>
      <c r="AD255" s="546">
        <v>6775.25</v>
      </c>
      <c r="AE255" s="546">
        <v>17083.6</v>
      </c>
      <c r="AF255" s="546">
        <v>13</v>
      </c>
      <c r="AG255" s="549">
        <f t="shared" si="81"/>
      </c>
      <c r="AH255" s="549">
        <f t="shared" si="134"/>
      </c>
      <c r="AI255" s="549">
        <f t="shared" si="199"/>
      </c>
      <c r="AJ255" s="548">
        <f t="shared" si="228"/>
      </c>
      <c r="AK255" s="548"/>
    </row>
    <row r="256">
      <c r="A256" s="534"/>
      <c r="B256" s="554" t="s">
        <v>936</v>
      </c>
      <c r="C256" s="554"/>
      <c r="D256" s="555">
        <f>SUM(D252:D255)</f>
      </c>
      <c r="E256" s="592">
        <f>SUM(E252:E255)</f>
      </c>
      <c r="F256" s="592">
        <f>SUM(F252:F255)</f>
      </c>
      <c r="G256" s="555">
        <f>SUM(G252:G255)</f>
      </c>
      <c r="H256" s="556">
        <f t="shared" si="11"/>
      </c>
      <c r="I256" s="557">
        <f t="shared" si="49"/>
      </c>
      <c r="J256" s="558">
        <f t="shared" si="102"/>
      </c>
      <c r="K256" s="559">
        <f t="shared" si="150"/>
      </c>
      <c r="L256" s="560">
        <f t="shared" si="244"/>
      </c>
      <c r="M256" s="559">
        <f t="shared" si="167"/>
      </c>
      <c r="N256" s="559">
        <f t="shared" si="263"/>
      </c>
      <c r="O256" s="561">
        <f t="shared" si="280"/>
      </c>
      <c r="P256" s="562">
        <f t="shared" si="27"/>
      </c>
      <c r="Q256" s="560"/>
      <c r="R256" s="560"/>
      <c r="S256" s="563">
        <f>SUM(S252:S255)</f>
      </c>
      <c r="T256" s="563">
        <f>SUM(T252:T255)</f>
      </c>
      <c r="U256" s="563">
        <f>SUM(U252:U255)</f>
      </c>
      <c r="V256" s="563">
        <f>SUM(V252:V255)</f>
      </c>
      <c r="W256" s="563">
        <f>SUM(W252:W255)</f>
      </c>
      <c r="X256" s="563">
        <f>SUM(X252:X255)</f>
      </c>
      <c r="Y256" s="563">
        <f>SUM(Y252:Y255)</f>
      </c>
      <c r="AA256" s="533" t="s">
        <v>933</v>
      </c>
      <c r="AB256" s="533"/>
      <c r="AC256" s="533">
        <f>SUM(AC252:AC255)</f>
      </c>
      <c r="AD256" s="533">
        <f>SUM(AD252:AD255)</f>
      </c>
      <c r="AE256" s="533">
        <f>SUM(AE252:AE255)</f>
      </c>
      <c r="AF256" s="533">
        <f>SUM(AF252:AF255)</f>
      </c>
      <c r="AG256" s="551">
        <f t="shared" si="81"/>
      </c>
      <c r="AH256" s="551">
        <f t="shared" si="134"/>
      </c>
      <c r="AI256" s="551">
        <f t="shared" si="199"/>
      </c>
      <c r="AJ256" s="550">
        <f t="shared" si="228"/>
      </c>
      <c r="AK256" s="550"/>
    </row>
    <row r="257">
      <c r="A257" s="534"/>
      <c r="B257" s="535" t="s">
        <v>975</v>
      </c>
      <c r="C257" s="552" t="s">
        <v>934</v>
      </c>
      <c r="D257" s="543">
        <v>2687.37</v>
      </c>
      <c r="E257" s="519">
        <v>1</v>
      </c>
      <c r="F257" s="519">
        <v>1</v>
      </c>
      <c r="G257" s="590">
        <v>1197.6</v>
      </c>
      <c r="H257" s="538">
        <f t="shared" si="11"/>
      </c>
      <c r="I257" s="538">
        <f t="shared" si="49"/>
      </c>
      <c r="J257" s="538">
        <f t="shared" si="102"/>
      </c>
      <c r="K257" s="539">
        <f t="shared" si="150"/>
      </c>
      <c r="L257" s="540">
        <f t="shared" si="244"/>
      </c>
      <c r="M257" s="541">
        <f t="shared" si="167"/>
      </c>
      <c r="N257" s="541">
        <f t="shared" si="263"/>
      </c>
      <c r="O257" s="541">
        <f t="shared" si="280"/>
      </c>
      <c r="P257" s="542">
        <f t="shared" si="27"/>
      </c>
      <c r="Q257" s="543" t="s">
        <v>923</v>
      </c>
      <c r="R257" s="544" t="s">
        <v>924</v>
      </c>
      <c r="S257" s="575">
        <v>7137</v>
      </c>
      <c r="T257" s="575">
        <v>479</v>
      </c>
      <c r="U257" s="575">
        <v>675</v>
      </c>
      <c r="V257" s="575">
        <v>75</v>
      </c>
      <c r="W257" s="545">
        <v>2</v>
      </c>
      <c r="X257" s="545">
        <v>0</v>
      </c>
      <c r="Y257" s="590">
        <v>31</v>
      </c>
      <c r="AA257" s="553" t="s">
        <v>935</v>
      </c>
      <c r="AB257" s="553"/>
      <c r="AC257" s="553"/>
      <c r="AD257" s="553"/>
      <c r="AE257" s="553"/>
      <c r="AF257" s="553"/>
      <c r="AG257" s="553"/>
      <c r="AH257" s="553"/>
      <c r="AI257" s="553"/>
      <c r="AJ257" s="553"/>
      <c r="AK257" s="553"/>
    </row>
    <row r="258">
      <c r="A258" s="534"/>
      <c r="B258" s="535" t="s">
        <v>975</v>
      </c>
      <c r="C258" s="566" t="s">
        <v>945</v>
      </c>
      <c r="D258" s="543">
        <v>1820.02</v>
      </c>
      <c r="E258" s="519">
        <v>2</v>
      </c>
      <c r="F258" s="545">
        <v>1</v>
      </c>
      <c r="G258" s="590">
        <v>1750.8</v>
      </c>
      <c r="H258" s="538">
        <f t="shared" si="11"/>
      </c>
      <c r="I258" s="538">
        <f t="shared" si="49"/>
      </c>
      <c r="J258" s="538">
        <f t="shared" si="102"/>
      </c>
      <c r="K258" s="539">
        <f t="shared" si="150"/>
      </c>
      <c r="L258" s="540">
        <f t="shared" si="244"/>
      </c>
      <c r="M258" s="541">
        <f t="shared" si="167"/>
      </c>
      <c r="N258" s="541">
        <f t="shared" si="263"/>
      </c>
      <c r="O258" s="541">
        <f t="shared" si="280"/>
      </c>
      <c r="P258" s="542">
        <f t="shared" si="27"/>
      </c>
      <c r="Q258" s="543" t="s">
        <v>923</v>
      </c>
      <c r="R258" s="544" t="s">
        <v>924</v>
      </c>
      <c r="S258" s="575">
        <v>6234</v>
      </c>
      <c r="T258" s="575">
        <v>556</v>
      </c>
      <c r="U258" s="575">
        <v>697</v>
      </c>
      <c r="V258" s="575">
        <v>73</v>
      </c>
      <c r="W258" s="545">
        <v>3</v>
      </c>
      <c r="X258" s="545">
        <v>0</v>
      </c>
      <c r="Y258" s="590">
        <v>31</v>
      </c>
      <c r="AA258" s="564" t="s">
        <v>915</v>
      </c>
      <c r="AB258" s="564" t="s">
        <v>937</v>
      </c>
      <c r="AC258" s="564" t="s">
        <v>938</v>
      </c>
      <c r="AD258" s="564" t="s">
        <v>939</v>
      </c>
      <c r="AE258" s="564" t="s">
        <v>940</v>
      </c>
      <c r="AF258" s="564" t="s">
        <v>941</v>
      </c>
      <c r="AG258" s="564" t="s">
        <v>942</v>
      </c>
      <c r="AH258" s="565" t="s">
        <v>910</v>
      </c>
      <c r="AI258" s="565" t="s">
        <v>943</v>
      </c>
      <c r="AJ258" s="565" t="s">
        <v>944</v>
      </c>
      <c r="AK258" s="565" t="s">
        <v>914</v>
      </c>
    </row>
    <row r="259">
      <c r="A259" s="534"/>
      <c r="B259" s="535" t="s">
        <v>975</v>
      </c>
      <c r="C259" s="566" t="s">
        <v>946</v>
      </c>
      <c r="D259" s="535">
        <v>1961.98</v>
      </c>
      <c r="E259" s="519">
        <v>1</v>
      </c>
      <c r="F259" s="519">
        <v>1</v>
      </c>
      <c r="G259" s="535">
        <v>1197.6</v>
      </c>
      <c r="H259" s="538">
        <f t="shared" si="11"/>
      </c>
      <c r="I259" s="538">
        <f t="shared" si="49"/>
      </c>
      <c r="J259" s="538">
        <f t="shared" si="102"/>
      </c>
      <c r="K259" s="539">
        <f t="shared" si="150"/>
      </c>
      <c r="L259" s="540">
        <f t="shared" si="244"/>
      </c>
      <c r="M259" s="541">
        <f t="shared" si="167"/>
      </c>
      <c r="N259" s="541">
        <f t="shared" si="263"/>
      </c>
      <c r="O259" s="541">
        <f t="shared" si="280"/>
      </c>
      <c r="P259" s="542">
        <f t="shared" si="27"/>
      </c>
      <c r="Q259" s="543" t="s">
        <v>923</v>
      </c>
      <c r="R259" s="544" t="s">
        <v>924</v>
      </c>
      <c r="S259" s="575">
        <v>5308</v>
      </c>
      <c r="T259" s="575">
        <v>449</v>
      </c>
      <c r="U259" s="575">
        <v>562</v>
      </c>
      <c r="V259" s="575">
        <v>57</v>
      </c>
      <c r="W259" s="545">
        <v>2</v>
      </c>
      <c r="X259" s="545">
        <v>0</v>
      </c>
      <c r="Y259" s="578">
        <v>28</v>
      </c>
      <c r="AA259" s="568">
        <f>SUM(AD252:AD255)</f>
      </c>
      <c r="AB259" s="568">
        <f>SUM(AE252:AE255)</f>
      </c>
      <c r="AC259" s="569">
        <f>AB259/((AK259*300)+AA259)</f>
      </c>
      <c r="AD259" s="570">
        <f>AA259/AJ259</f>
      </c>
      <c r="AE259" s="569">
        <f>AB259/AJ259</f>
      </c>
      <c r="AF259" s="571">
        <f>AJ259/AI259</f>
      </c>
      <c r="AG259" s="571">
        <f>AH259/AJ259</f>
      </c>
      <c r="AH259" s="572">
        <v>2</v>
      </c>
      <c r="AI259" s="572">
        <v>30</v>
      </c>
      <c r="AJ259" s="572">
        <f>AF256</f>
      </c>
      <c r="AK259" s="573">
        <f>AC256</f>
      </c>
    </row>
    <row r="260">
      <c r="A260" s="534"/>
      <c r="B260" s="535" t="s">
        <v>975</v>
      </c>
      <c r="C260" s="566" t="s">
        <v>947</v>
      </c>
      <c r="D260" s="535">
        <v>1922.18</v>
      </c>
      <c r="E260" s="519">
        <v>4</v>
      </c>
      <c r="F260" s="519">
        <v>3</v>
      </c>
      <c r="G260" s="574">
        <v>5837.3</v>
      </c>
      <c r="H260" s="538">
        <f t="shared" si="11"/>
      </c>
      <c r="I260" s="538">
        <f t="shared" si="49"/>
      </c>
      <c r="J260" s="538">
        <f t="shared" si="102"/>
      </c>
      <c r="K260" s="539">
        <f t="shared" si="150"/>
      </c>
      <c r="L260" s="540">
        <f t="shared" si="244"/>
      </c>
      <c r="M260" s="541">
        <f t="shared" si="167"/>
      </c>
      <c r="N260" s="541">
        <f t="shared" si="263"/>
      </c>
      <c r="O260" s="541">
        <f t="shared" si="280"/>
      </c>
      <c r="P260" s="542">
        <f t="shared" si="27"/>
      </c>
      <c r="Q260" s="543" t="s">
        <v>923</v>
      </c>
      <c r="R260" s="544" t="s">
        <v>1000</v>
      </c>
      <c r="S260" s="545">
        <v>5457</v>
      </c>
      <c r="T260" s="545">
        <v>438</v>
      </c>
      <c r="U260" s="545">
        <v>595</v>
      </c>
      <c r="V260" s="545">
        <v>51</v>
      </c>
      <c r="W260" s="545">
        <v>4</v>
      </c>
      <c r="X260" s="545">
        <v>0</v>
      </c>
      <c r="Y260" s="574">
        <v>15</v>
      </c>
    </row>
    <row r="261">
      <c r="A261" s="534"/>
      <c r="B261" s="554" t="s">
        <v>936</v>
      </c>
      <c r="C261" s="554"/>
      <c r="D261" s="555">
        <f>SUM(D257:D260)</f>
      </c>
      <c r="E261" s="592">
        <f>SUM(E257:E260)</f>
      </c>
      <c r="F261" s="592">
        <f>SUM(F257:F260)</f>
      </c>
      <c r="G261" s="555">
        <f>SUM(G257:G260)</f>
      </c>
      <c r="H261" s="556">
        <f t="shared" si="11"/>
      </c>
      <c r="I261" s="557">
        <f t="shared" si="49"/>
      </c>
      <c r="J261" s="558">
        <f t="shared" si="102"/>
      </c>
      <c r="K261" s="559">
        <f t="shared" si="150"/>
      </c>
      <c r="L261" s="560">
        <f t="shared" si="244"/>
      </c>
      <c r="M261" s="559">
        <f t="shared" si="167"/>
      </c>
      <c r="N261" s="559">
        <f t="shared" si="263"/>
      </c>
      <c r="O261" s="561">
        <f t="shared" si="280"/>
      </c>
      <c r="P261" s="562">
        <f t="shared" si="27"/>
      </c>
      <c r="Q261" s="560"/>
      <c r="R261" s="560"/>
      <c r="S261" s="563">
        <f>SUM(S257:S260)</f>
      </c>
      <c r="T261" s="563">
        <f>SUM(T257:T260)</f>
      </c>
      <c r="U261" s="563">
        <f>SUM(U257:U260)</f>
      </c>
      <c r="V261" s="563">
        <f>SUM(V257:V260)</f>
      </c>
      <c r="W261" s="563">
        <f>SUM(W257:W260)</f>
      </c>
      <c r="X261" s="563">
        <f>SUM(X257:X260)</f>
      </c>
      <c r="Y261" s="563">
        <f>SUM(Y257:Y260)</f>
      </c>
    </row>
    <row r="262">
      <c r="A262" s="534"/>
      <c r="B262" s="535" t="s">
        <v>988</v>
      </c>
      <c r="C262" s="566" t="s">
        <v>948</v>
      </c>
      <c r="D262" s="594">
        <v>1570.08</v>
      </c>
      <c r="E262" s="519">
        <v>1</v>
      </c>
      <c r="F262" s="519">
        <v>1</v>
      </c>
      <c r="G262" s="595">
        <v>619.2</v>
      </c>
      <c r="H262" s="538">
        <f t="shared" si="11"/>
      </c>
      <c r="I262" s="538">
        <f t="shared" si="49"/>
      </c>
      <c r="J262" s="538">
        <f t="shared" si="102"/>
      </c>
      <c r="K262" s="539">
        <f t="shared" si="150"/>
      </c>
      <c r="L262" s="540">
        <f t="shared" si="244"/>
      </c>
      <c r="M262" s="541">
        <f t="shared" si="167"/>
      </c>
      <c r="N262" s="541">
        <f t="shared" si="263"/>
      </c>
      <c r="O262" s="541">
        <f t="shared" si="280"/>
      </c>
      <c r="P262" s="542">
        <f t="shared" si="27"/>
      </c>
      <c r="Q262" s="543" t="s">
        <v>923</v>
      </c>
      <c r="R262" s="544" t="s">
        <v>949</v>
      </c>
      <c r="S262" s="575">
        <v>4783</v>
      </c>
      <c r="T262" s="575">
        <v>410</v>
      </c>
      <c r="U262" s="575">
        <v>497</v>
      </c>
      <c r="V262" s="575">
        <v>58</v>
      </c>
      <c r="W262" s="567">
        <v>1</v>
      </c>
      <c r="X262" s="567">
        <v>0</v>
      </c>
      <c r="Y262" s="577">
        <v>18</v>
      </c>
    </row>
    <row r="263">
      <c r="A263" s="534"/>
      <c r="B263" s="535" t="s">
        <v>988</v>
      </c>
      <c r="C263" s="552" t="s">
        <v>950</v>
      </c>
      <c r="D263" s="594">
        <v>1025.17</v>
      </c>
      <c r="E263" s="519">
        <v>0</v>
      </c>
      <c r="F263" s="519">
        <v>0</v>
      </c>
      <c r="G263" s="595">
        <v>0</v>
      </c>
      <c r="H263" s="538">
        <f t="shared" si="11"/>
      </c>
      <c r="I263" s="538">
        <f t="shared" si="49"/>
      </c>
      <c r="J263" s="538">
        <f t="shared" si="102"/>
      </c>
      <c r="K263" s="539">
        <f t="shared" si="150"/>
      </c>
      <c r="L263" s="540">
        <f t="shared" si="244"/>
      </c>
      <c r="M263" s="541">
        <f t="shared" si="167"/>
      </c>
      <c r="N263" s="541">
        <f t="shared" si="263"/>
      </c>
      <c r="O263" s="541">
        <f t="shared" si="280"/>
      </c>
      <c r="P263" s="542">
        <f t="shared" si="27"/>
      </c>
      <c r="Q263" s="543" t="s">
        <v>923</v>
      </c>
      <c r="R263" s="544" t="s">
        <v>949</v>
      </c>
      <c r="S263" s="575">
        <v>3271</v>
      </c>
      <c r="T263" s="575">
        <v>296</v>
      </c>
      <c r="U263" s="575">
        <v>371</v>
      </c>
      <c r="V263" s="575">
        <v>34</v>
      </c>
      <c r="W263" s="567">
        <v>0</v>
      </c>
      <c r="X263" s="567">
        <v>0</v>
      </c>
      <c r="Y263" s="577">
        <v>10</v>
      </c>
    </row>
    <row r="264">
      <c r="A264" s="534"/>
      <c r="B264" s="535" t="s">
        <v>988</v>
      </c>
      <c r="C264" s="552" t="s">
        <v>951</v>
      </c>
      <c r="D264" s="594">
        <v>926.82</v>
      </c>
      <c r="E264" s="519">
        <v>0</v>
      </c>
      <c r="F264" s="519">
        <v>0</v>
      </c>
      <c r="G264" s="595">
        <v>0</v>
      </c>
      <c r="H264" s="538">
        <f t="shared" si="11"/>
      </c>
      <c r="I264" s="538">
        <f t="shared" si="49"/>
      </c>
      <c r="J264" s="538">
        <f t="shared" si="102"/>
      </c>
      <c r="K264" s="539">
        <f t="shared" si="150"/>
      </c>
      <c r="L264" s="540">
        <f t="shared" si="244"/>
      </c>
      <c r="M264" s="541">
        <f t="shared" si="167"/>
      </c>
      <c r="N264" s="541">
        <f t="shared" si="263"/>
      </c>
      <c r="O264" s="541">
        <f t="shared" si="280"/>
      </c>
      <c r="P264" s="542">
        <f t="shared" si="27"/>
      </c>
      <c r="Q264" s="543" t="s">
        <v>923</v>
      </c>
      <c r="R264" s="544" t="s">
        <v>949</v>
      </c>
      <c r="S264" s="575">
        <v>2697</v>
      </c>
      <c r="T264" s="575">
        <v>230</v>
      </c>
      <c r="U264" s="575">
        <v>304</v>
      </c>
      <c r="V264" s="575">
        <v>31</v>
      </c>
      <c r="W264" s="567">
        <v>0</v>
      </c>
      <c r="X264" s="567">
        <v>0</v>
      </c>
      <c r="Y264" s="577">
        <v>11</v>
      </c>
    </row>
    <row r="265">
      <c r="A265" s="534"/>
      <c r="B265" s="554" t="s">
        <v>936</v>
      </c>
      <c r="C265" s="554"/>
      <c r="D265" s="555">
        <f>SUM(D262:D264)</f>
      </c>
      <c r="E265" s="592">
        <f>SUM(E262:E264)</f>
      </c>
      <c r="F265" s="592">
        <f>SUM(F262:F264)</f>
      </c>
      <c r="G265" s="555">
        <f>SUM(G262:G264)</f>
      </c>
      <c r="H265" s="556">
        <f t="shared" si="11"/>
      </c>
      <c r="I265" s="557">
        <f t="shared" si="49"/>
      </c>
      <c r="J265" s="558">
        <f t="shared" si="102"/>
      </c>
      <c r="K265" s="559">
        <f t="shared" si="150"/>
      </c>
      <c r="L265" s="560">
        <f t="shared" si="244"/>
      </c>
      <c r="M265" s="559">
        <f t="shared" si="167"/>
      </c>
      <c r="N265" s="559">
        <f t="shared" si="263"/>
      </c>
      <c r="O265" s="561">
        <f t="shared" si="280"/>
      </c>
      <c r="P265" s="562">
        <f t="shared" si="27"/>
      </c>
      <c r="Q265" s="560"/>
      <c r="R265" s="560"/>
      <c r="S265" s="563">
        <f>SUM(S262:S264)</f>
      </c>
      <c r="T265" s="563">
        <f>SUM(T262:T264)</f>
      </c>
      <c r="U265" s="563">
        <f>SUM(U262:U264)</f>
      </c>
      <c r="V265" s="563">
        <f>SUM(V262:V264)</f>
      </c>
      <c r="W265" s="563">
        <f>SUM(W262:W264)</f>
      </c>
      <c r="X265" s="563">
        <f>SUM(X262:X264)</f>
      </c>
      <c r="Y265" s="563">
        <f>SUM(Y262:Y264)</f>
      </c>
    </row>
    <row r="266">
      <c r="A266" s="534"/>
      <c r="B266" s="535" t="s">
        <v>966</v>
      </c>
      <c r="C266" s="536" t="s">
        <v>953</v>
      </c>
      <c r="D266" s="594">
        <v>1210.75</v>
      </c>
      <c r="E266" s="519">
        <v>1</v>
      </c>
      <c r="F266" s="519">
        <v>1</v>
      </c>
      <c r="G266" s="595">
        <v>402</v>
      </c>
      <c r="H266" s="538">
        <f t="shared" si="11"/>
      </c>
      <c r="I266" s="538">
        <f t="shared" si="49"/>
      </c>
      <c r="J266" s="538">
        <f t="shared" si="102"/>
      </c>
      <c r="K266" s="539">
        <f t="shared" si="150"/>
      </c>
      <c r="L266" s="540">
        <f t="shared" si="244"/>
      </c>
      <c r="M266" s="541">
        <f t="shared" si="167"/>
      </c>
      <c r="N266" s="541">
        <f t="shared" si="263"/>
      </c>
      <c r="O266" s="541">
        <f t="shared" si="280"/>
      </c>
      <c r="P266" s="542">
        <f t="shared" si="27"/>
      </c>
      <c r="Q266" s="543" t="s">
        <v>952</v>
      </c>
      <c r="R266" s="544" t="s">
        <v>949</v>
      </c>
      <c r="S266" s="575">
        <v>2308</v>
      </c>
      <c r="T266" s="575">
        <v>266</v>
      </c>
      <c r="U266" s="575">
        <v>333</v>
      </c>
      <c r="V266" s="575">
        <v>40</v>
      </c>
      <c r="W266" s="567">
        <v>1</v>
      </c>
      <c r="X266" s="567">
        <v>0</v>
      </c>
      <c r="Y266" s="577">
        <v>16</v>
      </c>
    </row>
    <row r="267">
      <c r="A267" s="534"/>
      <c r="B267" s="535" t="s">
        <v>966</v>
      </c>
      <c r="C267" s="552" t="s">
        <v>954</v>
      </c>
      <c r="D267" s="594">
        <v>1556.9</v>
      </c>
      <c r="E267" s="519">
        <v>2</v>
      </c>
      <c r="F267" s="519">
        <v>2</v>
      </c>
      <c r="G267" s="595">
        <v>4132.8</v>
      </c>
      <c r="H267" s="538">
        <f t="shared" si="11"/>
      </c>
      <c r="I267" s="538">
        <f t="shared" si="49"/>
      </c>
      <c r="J267" s="538">
        <f t="shared" si="102"/>
      </c>
      <c r="K267" s="539">
        <f t="shared" si="150"/>
      </c>
      <c r="L267" s="540">
        <f t="shared" si="244"/>
      </c>
      <c r="M267" s="541">
        <f t="shared" si="167"/>
      </c>
      <c r="N267" s="541">
        <f t="shared" si="263"/>
      </c>
      <c r="O267" s="541">
        <f t="shared" si="280"/>
      </c>
      <c r="P267" s="542">
        <f t="shared" si="27"/>
      </c>
      <c r="Q267" s="543" t="s">
        <v>952</v>
      </c>
      <c r="R267" s="544" t="s">
        <v>949</v>
      </c>
      <c r="S267" s="575">
        <v>2749</v>
      </c>
      <c r="T267" s="575">
        <v>279</v>
      </c>
      <c r="U267" s="575">
        <v>349</v>
      </c>
      <c r="V267" s="575">
        <v>46</v>
      </c>
      <c r="W267" s="567">
        <v>3</v>
      </c>
      <c r="X267" s="567">
        <v>0</v>
      </c>
      <c r="Y267" s="577">
        <v>12</v>
      </c>
    </row>
    <row r="268">
      <c r="A268" s="534"/>
      <c r="B268" s="535" t="s">
        <v>966</v>
      </c>
      <c r="C268" s="536" t="s">
        <v>955</v>
      </c>
      <c r="D268" s="594">
        <v>1339.13</v>
      </c>
      <c r="E268" s="519">
        <v>4</v>
      </c>
      <c r="F268" s="519">
        <v>2</v>
      </c>
      <c r="G268" s="595">
        <v>5301.6</v>
      </c>
      <c r="H268" s="538">
        <f t="shared" si="11"/>
      </c>
      <c r="I268" s="538">
        <f t="shared" si="49"/>
      </c>
      <c r="J268" s="538">
        <f t="shared" si="102"/>
      </c>
      <c r="K268" s="539">
        <f t="shared" si="150"/>
      </c>
      <c r="L268" s="540">
        <f t="shared" si="244"/>
      </c>
      <c r="M268" s="541">
        <f t="shared" si="167"/>
      </c>
      <c r="N268" s="541">
        <f t="shared" si="263"/>
      </c>
      <c r="O268" s="541">
        <f t="shared" si="280"/>
      </c>
      <c r="P268" s="542">
        <f t="shared" si="27"/>
      </c>
      <c r="Q268" s="543" t="s">
        <v>952</v>
      </c>
      <c r="R268" s="544" t="s">
        <v>949</v>
      </c>
      <c r="S268" s="575">
        <v>3013</v>
      </c>
      <c r="T268" s="575">
        <v>345</v>
      </c>
      <c r="U268" s="575">
        <v>432</v>
      </c>
      <c r="V268" s="575">
        <v>52</v>
      </c>
      <c r="W268" s="567">
        <v>4</v>
      </c>
      <c r="X268" s="567">
        <v>1</v>
      </c>
      <c r="Y268" s="577">
        <v>19</v>
      </c>
    </row>
    <row r="269">
      <c r="A269" s="534"/>
      <c r="B269" s="535" t="s">
        <v>966</v>
      </c>
      <c r="C269" s="536" t="s">
        <v>956</v>
      </c>
      <c r="D269" s="594">
        <v>1740.45</v>
      </c>
      <c r="E269" s="519">
        <v>6</v>
      </c>
      <c r="F269" s="519">
        <v>2</v>
      </c>
      <c r="G269" s="595">
        <v>7247.2</v>
      </c>
      <c r="H269" s="538">
        <f t="shared" si="11"/>
      </c>
      <c r="I269" s="538">
        <f t="shared" si="49"/>
      </c>
      <c r="J269" s="538">
        <f t="shared" si="102"/>
      </c>
      <c r="K269" s="539">
        <f t="shared" si="150"/>
      </c>
      <c r="L269" s="540">
        <f t="shared" si="244"/>
      </c>
      <c r="M269" s="541">
        <f t="shared" si="167"/>
      </c>
      <c r="N269" s="541">
        <f t="shared" si="263"/>
      </c>
      <c r="O269" s="541">
        <f t="shared" si="280"/>
      </c>
      <c r="P269" s="542">
        <f t="shared" si="27"/>
      </c>
      <c r="Q269" s="543" t="s">
        <v>952</v>
      </c>
      <c r="R269" s="544" t="s">
        <v>949</v>
      </c>
      <c r="S269" s="575">
        <v>3369</v>
      </c>
      <c r="T269" s="575">
        <v>404</v>
      </c>
      <c r="U269" s="575">
        <v>522</v>
      </c>
      <c r="V269" s="575">
        <v>46</v>
      </c>
      <c r="W269" s="567">
        <v>6</v>
      </c>
      <c r="X269" s="567">
        <v>0</v>
      </c>
      <c r="Y269" s="577">
        <v>19</v>
      </c>
    </row>
    <row r="270">
      <c r="A270" s="534"/>
      <c r="B270" s="535" t="s">
        <v>966</v>
      </c>
      <c r="C270" s="536" t="s">
        <v>957</v>
      </c>
      <c r="D270" s="594">
        <v>928.02</v>
      </c>
      <c r="E270" s="519">
        <v>0</v>
      </c>
      <c r="F270" s="519">
        <v>0</v>
      </c>
      <c r="G270" s="595">
        <v>0</v>
      </c>
      <c r="H270" s="538">
        <f t="shared" si="11"/>
      </c>
      <c r="I270" s="538">
        <f t="shared" si="49"/>
      </c>
      <c r="J270" s="538">
        <f t="shared" si="102"/>
      </c>
      <c r="K270" s="539">
        <f t="shared" si="150"/>
      </c>
      <c r="L270" s="540">
        <f t="shared" si="244"/>
      </c>
      <c r="M270" s="541">
        <f t="shared" si="167"/>
      </c>
      <c r="N270" s="541">
        <f t="shared" si="263"/>
      </c>
      <c r="O270" s="541">
        <f t="shared" si="280"/>
      </c>
      <c r="P270" s="542">
        <f t="shared" si="27"/>
      </c>
      <c r="Q270" s="543" t="s">
        <v>952</v>
      </c>
      <c r="R270" s="544" t="s">
        <v>949</v>
      </c>
      <c r="S270" s="575">
        <v>2622</v>
      </c>
      <c r="T270" s="575">
        <v>294</v>
      </c>
      <c r="U270" s="575">
        <v>380</v>
      </c>
      <c r="V270" s="575">
        <v>28</v>
      </c>
      <c r="W270" s="567">
        <v>0</v>
      </c>
      <c r="X270" s="567">
        <v>0</v>
      </c>
      <c r="Y270" s="577">
        <v>10</v>
      </c>
    </row>
    <row r="271">
      <c r="A271" s="534"/>
      <c r="B271" s="554" t="s">
        <v>936</v>
      </c>
      <c r="C271" s="554"/>
      <c r="D271" s="555">
        <f>SUM(D266:D270)</f>
      </c>
      <c r="E271" s="555">
        <f>SUM(E266:E270)</f>
      </c>
      <c r="F271" s="555">
        <f>SUM(F266:F270)</f>
      </c>
      <c r="G271" s="555">
        <f>SUM(G266:G270)</f>
      </c>
      <c r="H271" s="556">
        <f t="shared" si="11"/>
      </c>
      <c r="I271" s="557">
        <f t="shared" si="49"/>
      </c>
      <c r="J271" s="558">
        <f t="shared" si="102"/>
      </c>
      <c r="K271" s="559">
        <f t="shared" si="150"/>
      </c>
      <c r="L271" s="560">
        <f t="shared" si="244"/>
      </c>
      <c r="M271" s="559">
        <f t="shared" si="167"/>
      </c>
      <c r="N271" s="559">
        <f t="shared" si="263"/>
      </c>
      <c r="O271" s="561">
        <f t="shared" si="280"/>
      </c>
      <c r="P271" s="562">
        <f t="shared" si="27"/>
      </c>
      <c r="Q271" s="560"/>
      <c r="R271" s="560"/>
      <c r="S271" s="563">
        <f>SUM(S266:S270)</f>
      </c>
      <c r="T271" s="563">
        <f>SUM(T266:T270)</f>
      </c>
      <c r="U271" s="563">
        <f>SUM(U266:U270)</f>
      </c>
      <c r="V271" s="563">
        <f>SUM(V266:V270)</f>
      </c>
      <c r="W271" s="563">
        <f>SUM(W266:W270)</f>
      </c>
      <c r="X271" s="563">
        <f>SUM(X266:X270)</f>
      </c>
      <c r="Y271" s="563">
        <f>SUM(Y266:Y270)</f>
      </c>
    </row>
    <row r="272">
      <c r="A272" s="534"/>
      <c r="B272" s="579" t="s">
        <v>958</v>
      </c>
      <c r="C272" s="579"/>
      <c r="D272" s="580">
        <f>D256+D261+D271+D265</f>
      </c>
      <c r="E272" s="583">
        <f>E256+E261+E271+E265</f>
      </c>
      <c r="F272" s="583">
        <f>F256+F261+F271+F265</f>
      </c>
      <c r="G272" s="580">
        <f>G256+G261+G265+G271</f>
      </c>
      <c r="H272" s="579">
        <f t="shared" si="11"/>
      </c>
      <c r="I272" s="579">
        <f t="shared" si="49"/>
      </c>
      <c r="J272" s="579">
        <f t="shared" si="102"/>
      </c>
      <c r="K272" s="581">
        <f t="shared" si="150"/>
      </c>
      <c r="L272" s="579">
        <f t="shared" si="244"/>
      </c>
      <c r="M272" s="581">
        <f t="shared" si="167"/>
      </c>
      <c r="N272" s="581">
        <f t="shared" si="263"/>
      </c>
      <c r="O272" s="581">
        <f t="shared" si="280"/>
      </c>
      <c r="P272" s="579">
        <f t="shared" si="27"/>
      </c>
      <c r="Q272" s="582"/>
      <c r="R272" s="582"/>
      <c r="S272" s="583">
        <f>S256+S261+S271+S265</f>
      </c>
      <c r="T272" s="583">
        <f>T256+T261+T271+T265</f>
      </c>
      <c r="U272" s="583">
        <f>U256+U261+U271+U265</f>
      </c>
      <c r="V272" s="583">
        <f>V256+V261+V271+V265</f>
      </c>
      <c r="W272" s="583">
        <f>W256+W261+W271+W265</f>
      </c>
      <c r="X272" s="583">
        <f>X256+X261+X271+X265</f>
      </c>
      <c r="Y272" s="583">
        <f>Y256+Y261+Y271+Y265</f>
      </c>
    </row>
    <row r="273">
      <c r="A273" s="515" t="s">
        <v>882</v>
      </c>
      <c r="B273" s="515"/>
      <c r="C273" s="515"/>
      <c r="D273" s="516" t="s">
        <v>883</v>
      </c>
      <c r="E273" s="516"/>
      <c r="F273" s="516"/>
      <c r="G273" s="516"/>
      <c r="H273" s="516"/>
      <c r="I273" s="516"/>
      <c r="J273" s="516"/>
      <c r="K273" s="517" t="s">
        <v>884</v>
      </c>
      <c r="L273" s="517"/>
      <c r="M273" s="517"/>
      <c r="N273" s="517"/>
      <c r="O273" s="517"/>
      <c r="P273" s="517"/>
      <c r="Q273" s="517"/>
      <c r="R273" s="517"/>
      <c r="S273" s="589" t="s">
        <v>885</v>
      </c>
      <c r="T273" s="589"/>
      <c r="U273" s="589"/>
      <c r="V273" s="589"/>
      <c r="W273" s="589"/>
      <c r="X273" s="589"/>
      <c r="Y273" s="589"/>
      <c r="AA273" s="520" t="s">
        <v>1001</v>
      </c>
      <c r="AB273" s="520"/>
      <c r="AC273" s="520"/>
      <c r="AD273" s="520"/>
      <c r="AE273" s="520"/>
      <c r="AF273" s="520"/>
      <c r="AG273" s="520"/>
      <c r="AH273" s="520"/>
      <c r="AI273" s="520"/>
      <c r="AJ273" s="520"/>
      <c r="AK273" s="520"/>
    </row>
    <row r="274">
      <c r="A274" s="521" t="s">
        <v>887</v>
      </c>
      <c r="B274" s="521" t="s">
        <v>888</v>
      </c>
      <c r="C274" s="521" t="s">
        <v>889</v>
      </c>
      <c r="D274" s="522" t="s">
        <v>890</v>
      </c>
      <c r="E274" s="523" t="s">
        <v>891</v>
      </c>
      <c r="F274" s="524" t="s">
        <v>892</v>
      </c>
      <c r="G274" s="522" t="s">
        <v>893</v>
      </c>
      <c r="H274" s="525" t="s">
        <v>894</v>
      </c>
      <c r="I274" s="526" t="s">
        <v>895</v>
      </c>
      <c r="J274" s="522" t="s">
        <v>896</v>
      </c>
      <c r="K274" s="527" t="s">
        <v>897</v>
      </c>
      <c r="L274" s="528" t="s">
        <v>898</v>
      </c>
      <c r="M274" s="527" t="s">
        <v>899</v>
      </c>
      <c r="N274" s="527" t="s">
        <v>900</v>
      </c>
      <c r="O274" s="529" t="s">
        <v>901</v>
      </c>
      <c r="P274" s="529" t="s">
        <v>902</v>
      </c>
      <c r="Q274" s="530" t="s">
        <v>903</v>
      </c>
      <c r="R274" s="530" t="s">
        <v>904</v>
      </c>
      <c r="S274" s="585" t="s">
        <v>905</v>
      </c>
      <c r="T274" s="585" t="s">
        <v>906</v>
      </c>
      <c r="U274" s="585" t="s">
        <v>907</v>
      </c>
      <c r="V274" s="585" t="s">
        <v>908</v>
      </c>
      <c r="W274" s="585" t="s">
        <v>909</v>
      </c>
      <c r="X274" s="585" t="s">
        <v>910</v>
      </c>
      <c r="Y274" s="586" t="s">
        <v>911</v>
      </c>
      <c r="AA274" s="533" t="s">
        <v>912</v>
      </c>
      <c r="AB274" s="533" t="s">
        <v>913</v>
      </c>
      <c r="AC274" s="533" t="s">
        <v>914</v>
      </c>
      <c r="AD274" s="533" t="s">
        <v>915</v>
      </c>
      <c r="AE274" s="533" t="s">
        <v>916</v>
      </c>
      <c r="AF274" s="533" t="s">
        <v>917</v>
      </c>
      <c r="AG274" s="533" t="s">
        <v>896</v>
      </c>
      <c r="AH274" s="533" t="s">
        <v>918</v>
      </c>
      <c r="AI274" s="533" t="s">
        <v>894</v>
      </c>
      <c r="AJ274" s="533" t="s">
        <v>919</v>
      </c>
      <c r="AK274" s="533"/>
    </row>
    <row r="275">
      <c r="A275" s="534" t="s">
        <v>1002</v>
      </c>
      <c r="B275" s="535" t="s">
        <v>975</v>
      </c>
      <c r="C275" s="536" t="s">
        <v>922</v>
      </c>
      <c r="D275" s="535">
        <v>1952.54</v>
      </c>
      <c r="E275" s="519">
        <v>1</v>
      </c>
      <c r="F275" s="519">
        <v>1</v>
      </c>
      <c r="G275" s="590">
        <v>1197.6</v>
      </c>
      <c r="H275" s="538">
        <f t="shared" ref="H275:H295" si="12">G275/D275</f>
      </c>
      <c r="I275" s="538">
        <f t="shared" ref="I275:I295" si="50">D275/E275</f>
      </c>
      <c r="J275" s="538">
        <f t="shared" ref="J275:J295" si="103">G275/E275</f>
      </c>
      <c r="K275" s="539">
        <f t="shared" ref="K275:K295" si="151">T275/S275</f>
      </c>
      <c r="L275" s="540">
        <f t="shared" ref="L275:L295" si="245">D275/U275</f>
      </c>
      <c r="M275" s="541">
        <f t="shared" ref="M275:M295" si="168">V275/U275</f>
      </c>
      <c r="N275" s="541">
        <f t="shared" ref="N275:N295" si="264">E275/W275</f>
      </c>
      <c r="O275" s="541">
        <f t="shared" ref="O275:O295" si="281">X275/E275</f>
      </c>
      <c r="P275" s="542">
        <f t="shared" ref="P275:P295" si="28">(Y275*1000)/D275</f>
      </c>
      <c r="Q275" s="543" t="s">
        <v>923</v>
      </c>
      <c r="R275" s="544" t="s">
        <v>969</v>
      </c>
      <c r="S275" s="545">
        <v>4757</v>
      </c>
      <c r="T275" s="545">
        <v>737</v>
      </c>
      <c r="U275" s="545">
        <v>900</v>
      </c>
      <c r="V275" s="545">
        <v>71</v>
      </c>
      <c r="W275" s="545">
        <v>3</v>
      </c>
      <c r="X275" s="545">
        <v>0</v>
      </c>
      <c r="Y275" s="574">
        <v>41</v>
      </c>
      <c r="AA275" s="546" t="s">
        <v>975</v>
      </c>
      <c r="AB275" s="547" t="s">
        <v>974</v>
      </c>
      <c r="AC275" s="546">
        <v>4</v>
      </c>
      <c r="AD275" s="546">
        <v>7057.5</v>
      </c>
      <c r="AE275" s="546">
        <v>9092.400000000001</v>
      </c>
      <c r="AF275" s="546">
        <v>6</v>
      </c>
      <c r="AG275" s="549">
        <f t="shared" ref="AG275:AG279" si="82">AE275/AF275</f>
      </c>
      <c r="AH275" s="549">
        <f t="shared" ref="AH275:AH279" si="135">AD275/AF275</f>
      </c>
      <c r="AI275" s="549">
        <f t="shared" ref="AI275:AI279" si="200">AE275/AD275</f>
      </c>
      <c r="AJ275" s="548">
        <f t="shared" ref="AJ275:AJ279" si="229">AD275/AC275</f>
      </c>
      <c r="AK275" s="548"/>
    </row>
    <row r="276">
      <c r="A276" s="534"/>
      <c r="B276" s="535" t="s">
        <v>975</v>
      </c>
      <c r="C276" s="535" t="s">
        <v>926</v>
      </c>
      <c r="D276" s="535">
        <v>1913.69</v>
      </c>
      <c r="E276" s="519">
        <v>1</v>
      </c>
      <c r="F276" s="519">
        <v>0</v>
      </c>
      <c r="G276" s="584">
        <v>402.0000000000002</v>
      </c>
      <c r="H276" s="538">
        <f t="shared" si="12"/>
      </c>
      <c r="I276" s="538">
        <f t="shared" si="50"/>
      </c>
      <c r="J276" s="538">
        <f t="shared" si="103"/>
      </c>
      <c r="K276" s="539">
        <f t="shared" si="151"/>
      </c>
      <c r="L276" s="540">
        <f t="shared" si="245"/>
      </c>
      <c r="M276" s="541">
        <f t="shared" si="168"/>
      </c>
      <c r="N276" s="541">
        <f t="shared" si="264"/>
      </c>
      <c r="O276" s="541">
        <f t="shared" si="281"/>
      </c>
      <c r="P276" s="542">
        <f t="shared" si="28"/>
      </c>
      <c r="Q276" s="543" t="s">
        <v>923</v>
      </c>
      <c r="R276" s="544" t="s">
        <v>969</v>
      </c>
      <c r="S276" s="545">
        <v>4687</v>
      </c>
      <c r="T276" s="545">
        <v>591</v>
      </c>
      <c r="U276" s="545">
        <v>756</v>
      </c>
      <c r="V276" s="545">
        <v>95</v>
      </c>
      <c r="W276" s="545">
        <v>0</v>
      </c>
      <c r="X276" s="545">
        <v>0</v>
      </c>
      <c r="Y276" s="574">
        <v>49</v>
      </c>
      <c r="AA276" s="546" t="s">
        <v>927</v>
      </c>
      <c r="AB276" s="547" t="s">
        <v>976</v>
      </c>
      <c r="AC276" s="546">
        <v>4</v>
      </c>
      <c r="AD276" s="546">
        <v>6938.8</v>
      </c>
      <c r="AE276" s="546">
        <v>16695.199999999997</v>
      </c>
      <c r="AF276" s="546">
        <v>11</v>
      </c>
      <c r="AG276" s="549">
        <f t="shared" si="82"/>
      </c>
      <c r="AH276" s="549">
        <f t="shared" si="135"/>
      </c>
      <c r="AI276" s="549">
        <f t="shared" si="200"/>
      </c>
      <c r="AJ276" s="548">
        <f t="shared" si="229"/>
      </c>
      <c r="AK276" s="548"/>
    </row>
    <row r="277">
      <c r="A277" s="534"/>
      <c r="B277" s="535" t="s">
        <v>975</v>
      </c>
      <c r="C277" s="535" t="s">
        <v>929</v>
      </c>
      <c r="D277" s="535">
        <v>1474.62</v>
      </c>
      <c r="E277" s="519">
        <v>1</v>
      </c>
      <c r="F277" s="519">
        <v>1</v>
      </c>
      <c r="G277" s="584">
        <v>652.8</v>
      </c>
      <c r="H277" s="538">
        <f t="shared" si="12"/>
      </c>
      <c r="I277" s="538">
        <f t="shared" si="50"/>
      </c>
      <c r="J277" s="538">
        <f t="shared" si="103"/>
      </c>
      <c r="K277" s="539">
        <f t="shared" si="151"/>
      </c>
      <c r="L277" s="540">
        <f t="shared" si="245"/>
      </c>
      <c r="M277" s="541">
        <f t="shared" si="168"/>
      </c>
      <c r="N277" s="541">
        <f t="shared" si="264"/>
      </c>
      <c r="O277" s="541">
        <f t="shared" si="281"/>
      </c>
      <c r="P277" s="542">
        <f t="shared" si="28"/>
      </c>
      <c r="Q277" s="543" t="s">
        <v>923</v>
      </c>
      <c r="R277" s="544" t="s">
        <v>969</v>
      </c>
      <c r="S277" s="545">
        <v>3230</v>
      </c>
      <c r="T277" s="545">
        <v>370</v>
      </c>
      <c r="U277" s="545">
        <v>478</v>
      </c>
      <c r="V277" s="545">
        <v>49</v>
      </c>
      <c r="W277" s="545">
        <v>1</v>
      </c>
      <c r="X277" s="545">
        <v>0</v>
      </c>
      <c r="Y277" s="574">
        <v>37</v>
      </c>
      <c r="AA277" s="546" t="s">
        <v>966</v>
      </c>
      <c r="AB277" s="547" t="s">
        <v>981</v>
      </c>
      <c r="AC277" s="546">
        <v>4</v>
      </c>
      <c r="AD277" s="546">
        <v>6656</v>
      </c>
      <c r="AE277" s="546">
        <v>8476.099999999999</v>
      </c>
      <c r="AF277" s="546">
        <v>5</v>
      </c>
      <c r="AG277" s="549">
        <f t="shared" si="82"/>
      </c>
      <c r="AH277" s="549">
        <f t="shared" si="135"/>
      </c>
      <c r="AI277" s="549">
        <f t="shared" si="200"/>
      </c>
      <c r="AJ277" s="548">
        <f t="shared" si="229"/>
      </c>
      <c r="AK277" s="548"/>
    </row>
    <row r="278">
      <c r="A278" s="534"/>
      <c r="B278" s="535" t="s">
        <v>975</v>
      </c>
      <c r="C278" s="535" t="s">
        <v>932</v>
      </c>
      <c r="D278" s="535">
        <v>1716.65</v>
      </c>
      <c r="E278" s="519">
        <v>3</v>
      </c>
      <c r="F278" s="519">
        <v>1</v>
      </c>
      <c r="G278" s="584">
        <v>6840.000000000002</v>
      </c>
      <c r="H278" s="538">
        <f t="shared" si="12"/>
      </c>
      <c r="I278" s="538">
        <f t="shared" si="50"/>
      </c>
      <c r="J278" s="538">
        <f t="shared" si="103"/>
      </c>
      <c r="K278" s="539">
        <f t="shared" si="151"/>
      </c>
      <c r="L278" s="540">
        <f t="shared" si="245"/>
      </c>
      <c r="M278" s="541">
        <f t="shared" si="168"/>
      </c>
      <c r="N278" s="541">
        <f t="shared" si="264"/>
      </c>
      <c r="O278" s="541">
        <f t="shared" si="281"/>
      </c>
      <c r="P278" s="542">
        <f t="shared" si="28"/>
      </c>
      <c r="Q278" s="543" t="s">
        <v>923</v>
      </c>
      <c r="R278" s="544" t="s">
        <v>969</v>
      </c>
      <c r="S278" s="545">
        <v>4336</v>
      </c>
      <c r="T278" s="545">
        <v>490</v>
      </c>
      <c r="U278" s="545">
        <v>645</v>
      </c>
      <c r="V278" s="545">
        <v>73</v>
      </c>
      <c r="W278" s="545">
        <v>3</v>
      </c>
      <c r="X278" s="567">
        <v>1</v>
      </c>
      <c r="Y278" s="574">
        <v>46</v>
      </c>
      <c r="AA278" s="546" t="s">
        <v>930</v>
      </c>
      <c r="AB278" s="547" t="s">
        <v>968</v>
      </c>
      <c r="AC278" s="546">
        <v>4</v>
      </c>
      <c r="AD278" s="546">
        <v>7734.13</v>
      </c>
      <c r="AE278" s="546">
        <v>16077.600000000006</v>
      </c>
      <c r="AF278" s="546">
        <v>12</v>
      </c>
      <c r="AG278" s="549">
        <f t="shared" si="82"/>
      </c>
      <c r="AH278" s="549">
        <f t="shared" si="135"/>
      </c>
      <c r="AI278" s="549">
        <f t="shared" si="200"/>
      </c>
      <c r="AJ278" s="548">
        <f t="shared" si="229"/>
      </c>
      <c r="AK278" s="548"/>
    </row>
    <row r="279">
      <c r="A279" s="534"/>
      <c r="B279" s="554" t="s">
        <v>936</v>
      </c>
      <c r="C279" s="554"/>
      <c r="D279" s="555">
        <f>SUM(D275:D278)</f>
      </c>
      <c r="E279" s="592">
        <f>SUM(E275:E278)</f>
      </c>
      <c r="F279" s="592">
        <f>SUM(F275:F278)</f>
      </c>
      <c r="G279" s="555">
        <f>SUM(G275:G278)</f>
      </c>
      <c r="H279" s="556">
        <f t="shared" si="12"/>
      </c>
      <c r="I279" s="557">
        <f t="shared" si="50"/>
      </c>
      <c r="J279" s="558">
        <f t="shared" si="103"/>
      </c>
      <c r="K279" s="559">
        <f t="shared" si="151"/>
      </c>
      <c r="L279" s="560">
        <f t="shared" si="245"/>
      </c>
      <c r="M279" s="559">
        <f t="shared" si="168"/>
      </c>
      <c r="N279" s="559">
        <f t="shared" si="264"/>
      </c>
      <c r="O279" s="561">
        <f t="shared" si="281"/>
      </c>
      <c r="P279" s="562">
        <f t="shared" si="28"/>
      </c>
      <c r="Q279" s="560"/>
      <c r="R279" s="560"/>
      <c r="S279" s="563">
        <f>SUM(S275:S278)</f>
      </c>
      <c r="T279" s="563">
        <f>SUM(T275:T278)</f>
      </c>
      <c r="U279" s="563">
        <f>SUM(U275:U278)</f>
      </c>
      <c r="V279" s="563">
        <f>SUM(V275:V278)</f>
      </c>
      <c r="W279" s="563">
        <f>SUM(W275:W278)</f>
      </c>
      <c r="X279" s="563">
        <f>SUM(X275:X278)</f>
      </c>
      <c r="Y279" s="563">
        <f>SUM(Y275:Y278)</f>
      </c>
      <c r="AA279" s="533" t="s">
        <v>933</v>
      </c>
      <c r="AB279" s="533"/>
      <c r="AC279" s="533">
        <f>SUM(AC275:AC278)</f>
      </c>
      <c r="AD279" s="533">
        <f>SUM(AD275:AD278)</f>
      </c>
      <c r="AE279" s="533">
        <f>SUM(AE275:AE278)</f>
      </c>
      <c r="AF279" s="533">
        <f>SUM(AF275:AF278)</f>
      </c>
      <c r="AG279" s="551">
        <f t="shared" si="82"/>
      </c>
      <c r="AH279" s="551">
        <f t="shared" si="135"/>
      </c>
      <c r="AI279" s="551">
        <f t="shared" si="200"/>
      </c>
      <c r="AJ279" s="550">
        <f t="shared" si="229"/>
      </c>
      <c r="AK279" s="550"/>
    </row>
    <row r="280">
      <c r="A280" s="534"/>
      <c r="B280" s="535" t="s">
        <v>927</v>
      </c>
      <c r="C280" s="552" t="s">
        <v>934</v>
      </c>
      <c r="D280" s="535">
        <v>1477.03</v>
      </c>
      <c r="E280" s="519">
        <v>0</v>
      </c>
      <c r="F280" s="519">
        <v>1</v>
      </c>
      <c r="G280" s="574">
        <v>0</v>
      </c>
      <c r="H280" s="538">
        <f t="shared" si="12"/>
      </c>
      <c r="I280" s="538">
        <f t="shared" si="50"/>
      </c>
      <c r="J280" s="538">
        <f t="shared" si="103"/>
      </c>
      <c r="K280" s="539">
        <f t="shared" si="151"/>
      </c>
      <c r="L280" s="540">
        <f t="shared" si="245"/>
      </c>
      <c r="M280" s="541">
        <f t="shared" si="168"/>
      </c>
      <c r="N280" s="541">
        <f t="shared" si="264"/>
      </c>
      <c r="O280" s="541">
        <f t="shared" si="281"/>
      </c>
      <c r="P280" s="542">
        <f t="shared" si="28"/>
      </c>
      <c r="Q280" s="543" t="s">
        <v>923</v>
      </c>
      <c r="R280" s="544" t="s">
        <v>969</v>
      </c>
      <c r="S280" s="545">
        <v>5088</v>
      </c>
      <c r="T280" s="545">
        <v>544</v>
      </c>
      <c r="U280" s="545">
        <v>659</v>
      </c>
      <c r="V280" s="545">
        <v>66</v>
      </c>
      <c r="W280" s="567">
        <v>3</v>
      </c>
      <c r="X280" s="567">
        <v>0</v>
      </c>
      <c r="Y280" s="577">
        <v>35</v>
      </c>
      <c r="AA280" s="553" t="s">
        <v>935</v>
      </c>
      <c r="AB280" s="553"/>
      <c r="AC280" s="553"/>
      <c r="AD280" s="553"/>
      <c r="AE280" s="553"/>
      <c r="AF280" s="553"/>
      <c r="AG280" s="553"/>
      <c r="AH280" s="553"/>
      <c r="AI280" s="553"/>
      <c r="AJ280" s="553"/>
      <c r="AK280" s="553"/>
    </row>
    <row r="281">
      <c r="A281" s="534"/>
      <c r="B281" s="535" t="s">
        <v>927</v>
      </c>
      <c r="C281" s="566" t="s">
        <v>945</v>
      </c>
      <c r="D281" s="535">
        <v>1746.7</v>
      </c>
      <c r="E281" s="519">
        <v>3</v>
      </c>
      <c r="F281" s="519">
        <v>2</v>
      </c>
      <c r="G281" s="593">
        <v>4735.200000000001</v>
      </c>
      <c r="H281" s="538">
        <f t="shared" si="12"/>
      </c>
      <c r="I281" s="538">
        <f t="shared" si="50"/>
      </c>
      <c r="J281" s="538">
        <f t="shared" si="103"/>
      </c>
      <c r="K281" s="539">
        <f t="shared" si="151"/>
      </c>
      <c r="L281" s="540">
        <f t="shared" si="245"/>
      </c>
      <c r="M281" s="541">
        <f t="shared" si="168"/>
      </c>
      <c r="N281" s="541">
        <f t="shared" si="264"/>
      </c>
      <c r="O281" s="541">
        <f t="shared" si="281"/>
      </c>
      <c r="P281" s="542">
        <f t="shared" si="28"/>
      </c>
      <c r="Q281" s="543" t="s">
        <v>923</v>
      </c>
      <c r="R281" s="544" t="s">
        <v>969</v>
      </c>
      <c r="S281" s="545">
        <v>6579</v>
      </c>
      <c r="T281" s="545">
        <v>652</v>
      </c>
      <c r="U281" s="545">
        <v>811</v>
      </c>
      <c r="V281" s="545">
        <v>57</v>
      </c>
      <c r="W281" s="567">
        <v>3</v>
      </c>
      <c r="X281" s="567">
        <v>1</v>
      </c>
      <c r="Y281" s="577">
        <v>37</v>
      </c>
      <c r="AA281" s="564" t="s">
        <v>915</v>
      </c>
      <c r="AB281" s="564" t="s">
        <v>937</v>
      </c>
      <c r="AC281" s="564" t="s">
        <v>938</v>
      </c>
      <c r="AD281" s="564" t="s">
        <v>939</v>
      </c>
      <c r="AE281" s="564" t="s">
        <v>940</v>
      </c>
      <c r="AF281" s="564" t="s">
        <v>941</v>
      </c>
      <c r="AG281" s="564" t="s">
        <v>942</v>
      </c>
      <c r="AH281" s="565" t="s">
        <v>910</v>
      </c>
      <c r="AI281" s="565" t="s">
        <v>943</v>
      </c>
      <c r="AJ281" s="565" t="s">
        <v>944</v>
      </c>
      <c r="AK281" s="565" t="s">
        <v>914</v>
      </c>
    </row>
    <row r="282">
      <c r="A282" s="534"/>
      <c r="B282" s="535" t="s">
        <v>927</v>
      </c>
      <c r="C282" s="566" t="s">
        <v>946</v>
      </c>
      <c r="D282" s="535">
        <v>1919.79</v>
      </c>
      <c r="E282" s="519">
        <v>2</v>
      </c>
      <c r="F282" s="519">
        <v>2</v>
      </c>
      <c r="G282" s="584">
        <v>1305.5999999999985</v>
      </c>
      <c r="H282" s="538">
        <f t="shared" si="12"/>
      </c>
      <c r="I282" s="538">
        <f t="shared" si="50"/>
      </c>
      <c r="J282" s="538">
        <f t="shared" si="103"/>
      </c>
      <c r="K282" s="539">
        <f t="shared" si="151"/>
      </c>
      <c r="L282" s="540">
        <f t="shared" si="245"/>
      </c>
      <c r="M282" s="541">
        <f t="shared" si="168"/>
      </c>
      <c r="N282" s="541">
        <f t="shared" si="264"/>
      </c>
      <c r="O282" s="541">
        <f t="shared" si="281"/>
      </c>
      <c r="P282" s="542">
        <f t="shared" si="28"/>
      </c>
      <c r="Q282" s="543" t="s">
        <v>923</v>
      </c>
      <c r="R282" s="544" t="s">
        <v>969</v>
      </c>
      <c r="S282" s="545">
        <v>5842</v>
      </c>
      <c r="T282" s="545">
        <v>570</v>
      </c>
      <c r="U282" s="545">
        <v>723</v>
      </c>
      <c r="V282" s="545">
        <v>73</v>
      </c>
      <c r="W282" s="567">
        <v>2</v>
      </c>
      <c r="X282" s="567">
        <v>0</v>
      </c>
      <c r="Y282" s="577">
        <v>31</v>
      </c>
      <c r="AA282" s="568">
        <f>SUM(AD275:AD278)</f>
      </c>
      <c r="AB282" s="568">
        <f>SUM(AE275:AE278)</f>
      </c>
      <c r="AC282" s="569">
        <f>AB282/((AK282*300)+AA282)</f>
      </c>
      <c r="AD282" s="570">
        <f>AA282/AJ282</f>
      </c>
      <c r="AE282" s="569">
        <f>AB282/AJ282</f>
      </c>
      <c r="AF282" s="571">
        <f>AJ282/AI282</f>
      </c>
      <c r="AG282" s="571">
        <f>AH282/AJ282</f>
      </c>
      <c r="AH282" s="572">
        <v>7</v>
      </c>
      <c r="AI282" s="572">
        <v>53</v>
      </c>
      <c r="AJ282" s="572">
        <v>36</v>
      </c>
      <c r="AK282" s="573">
        <f>AC279</f>
      </c>
    </row>
    <row r="283">
      <c r="A283" s="534"/>
      <c r="B283" s="535" t="s">
        <v>927</v>
      </c>
      <c r="C283" s="566" t="s">
        <v>947</v>
      </c>
      <c r="D283" s="535">
        <v>1795.28</v>
      </c>
      <c r="E283" s="519">
        <v>6</v>
      </c>
      <c r="F283" s="519">
        <v>3</v>
      </c>
      <c r="G283" s="574">
        <v>10654.399999999998</v>
      </c>
      <c r="H283" s="538">
        <f t="shared" si="12"/>
      </c>
      <c r="I283" s="538">
        <f t="shared" si="50"/>
      </c>
      <c r="J283" s="538">
        <f t="shared" si="103"/>
      </c>
      <c r="K283" s="539">
        <f t="shared" si="151"/>
      </c>
      <c r="L283" s="540">
        <f t="shared" si="245"/>
      </c>
      <c r="M283" s="541">
        <f t="shared" si="168"/>
      </c>
      <c r="N283" s="541">
        <f t="shared" si="264"/>
      </c>
      <c r="O283" s="541">
        <f t="shared" si="281"/>
      </c>
      <c r="P283" s="542">
        <f t="shared" si="28"/>
      </c>
      <c r="Q283" s="543" t="s">
        <v>923</v>
      </c>
      <c r="R283" s="544" t="s">
        <v>969</v>
      </c>
      <c r="S283" s="545">
        <v>6867</v>
      </c>
      <c r="T283" s="545">
        <v>691</v>
      </c>
      <c r="U283" s="545">
        <v>833</v>
      </c>
      <c r="V283" s="545">
        <v>81</v>
      </c>
      <c r="W283" s="567">
        <v>10</v>
      </c>
      <c r="X283" s="567">
        <v>1</v>
      </c>
      <c r="Y283" s="577">
        <v>43</v>
      </c>
    </row>
    <row r="284">
      <c r="A284" s="534"/>
      <c r="B284" s="554" t="s">
        <v>936</v>
      </c>
      <c r="C284" s="554"/>
      <c r="D284" s="555">
        <f>SUM(D280:D283)</f>
      </c>
      <c r="E284" s="592">
        <f>SUM(E280:E283)</f>
      </c>
      <c r="F284" s="592">
        <f>SUM(F280:F283)</f>
      </c>
      <c r="G284" s="555">
        <f>SUM(G280:G283)</f>
      </c>
      <c r="H284" s="556">
        <f t="shared" si="12"/>
      </c>
      <c r="I284" s="557">
        <f t="shared" si="50"/>
      </c>
      <c r="J284" s="558">
        <f t="shared" si="103"/>
      </c>
      <c r="K284" s="559">
        <f t="shared" si="151"/>
      </c>
      <c r="L284" s="560">
        <f t="shared" si="245"/>
      </c>
      <c r="M284" s="559">
        <f t="shared" si="168"/>
      </c>
      <c r="N284" s="559">
        <f t="shared" si="264"/>
      </c>
      <c r="O284" s="561">
        <f t="shared" si="281"/>
      </c>
      <c r="P284" s="562">
        <f t="shared" si="28"/>
      </c>
      <c r="Q284" s="560"/>
      <c r="R284" s="560"/>
      <c r="S284" s="563">
        <f>SUM(S280:S283)</f>
      </c>
      <c r="T284" s="563">
        <f>SUM(T280:T283)</f>
      </c>
      <c r="U284" s="563">
        <f>SUM(U280:U283)</f>
      </c>
      <c r="V284" s="563">
        <f>SUM(V280:V283)</f>
      </c>
      <c r="W284" s="563">
        <f>SUM(W280:W283)</f>
      </c>
      <c r="X284" s="563">
        <f>SUM(X280:X283)</f>
      </c>
      <c r="Y284" s="563">
        <f>SUM(Y280:Y283)</f>
      </c>
    </row>
    <row r="285">
      <c r="A285" s="534"/>
      <c r="B285" s="535" t="s">
        <v>966</v>
      </c>
      <c r="C285" s="566" t="s">
        <v>948</v>
      </c>
      <c r="D285" s="594">
        <v>2155.97</v>
      </c>
      <c r="E285" s="519">
        <v>1</v>
      </c>
      <c r="F285" s="519">
        <v>1</v>
      </c>
      <c r="G285" s="595">
        <v>652.8</v>
      </c>
      <c r="H285" s="538">
        <f t="shared" si="12"/>
      </c>
      <c r="I285" s="538">
        <f t="shared" si="50"/>
      </c>
      <c r="J285" s="538">
        <f t="shared" si="103"/>
      </c>
      <c r="K285" s="539">
        <f t="shared" si="151"/>
      </c>
      <c r="L285" s="540">
        <f t="shared" si="245"/>
      </c>
      <c r="M285" s="541">
        <f t="shared" si="168"/>
      </c>
      <c r="N285" s="541">
        <f t="shared" si="264"/>
      </c>
      <c r="O285" s="541">
        <f t="shared" si="281"/>
      </c>
      <c r="P285" s="542">
        <f t="shared" si="28"/>
      </c>
      <c r="Q285" s="543" t="s">
        <v>923</v>
      </c>
      <c r="R285" s="544" t="s">
        <v>949</v>
      </c>
      <c r="S285" s="575">
        <v>7033</v>
      </c>
      <c r="T285" s="575">
        <v>901</v>
      </c>
      <c r="U285" s="575">
        <v>1019</v>
      </c>
      <c r="V285" s="575">
        <v>81</v>
      </c>
      <c r="W285" s="567">
        <v>2</v>
      </c>
      <c r="X285" s="567">
        <v>0</v>
      </c>
      <c r="Y285" s="577">
        <v>32</v>
      </c>
    </row>
    <row r="286">
      <c r="A286" s="534"/>
      <c r="B286" s="535" t="s">
        <v>966</v>
      </c>
      <c r="C286" s="552" t="s">
        <v>950</v>
      </c>
      <c r="D286" s="594">
        <v>1600.97</v>
      </c>
      <c r="E286" s="519">
        <v>3</v>
      </c>
      <c r="F286" s="519">
        <v>2</v>
      </c>
      <c r="G286" s="595">
        <v>2543.300000000003</v>
      </c>
      <c r="H286" s="538">
        <f t="shared" si="12"/>
      </c>
      <c r="I286" s="538">
        <f t="shared" si="50"/>
      </c>
      <c r="J286" s="538">
        <f t="shared" si="103"/>
      </c>
      <c r="K286" s="539">
        <f t="shared" si="151"/>
      </c>
      <c r="L286" s="540">
        <f t="shared" si="245"/>
      </c>
      <c r="M286" s="541">
        <f t="shared" si="168"/>
      </c>
      <c r="N286" s="541">
        <f t="shared" si="264"/>
      </c>
      <c r="O286" s="541">
        <f t="shared" si="281"/>
      </c>
      <c r="P286" s="542">
        <f t="shared" si="28"/>
      </c>
      <c r="Q286" s="543" t="s">
        <v>923</v>
      </c>
      <c r="R286" s="544" t="s">
        <v>949</v>
      </c>
      <c r="S286" s="575">
        <v>5040</v>
      </c>
      <c r="T286" s="575">
        <v>523</v>
      </c>
      <c r="U286" s="575">
        <v>623</v>
      </c>
      <c r="V286" s="575">
        <v>70</v>
      </c>
      <c r="W286" s="567">
        <v>4</v>
      </c>
      <c r="X286" s="567">
        <v>1</v>
      </c>
      <c r="Y286" s="577">
        <v>30</v>
      </c>
    </row>
    <row r="287">
      <c r="A287" s="534"/>
      <c r="B287" s="535" t="s">
        <v>966</v>
      </c>
      <c r="C287" s="552" t="s">
        <v>951</v>
      </c>
      <c r="D287" s="594">
        <v>1368.4</v>
      </c>
      <c r="E287" s="519">
        <v>0</v>
      </c>
      <c r="F287" s="519">
        <v>0</v>
      </c>
      <c r="G287" s="595">
        <v>0</v>
      </c>
      <c r="H287" s="538">
        <f t="shared" si="12"/>
      </c>
      <c r="I287" s="538">
        <f t="shared" si="50"/>
      </c>
      <c r="J287" s="538">
        <f t="shared" si="103"/>
      </c>
      <c r="K287" s="539">
        <f t="shared" si="151"/>
      </c>
      <c r="L287" s="540">
        <f t="shared" si="245"/>
      </c>
      <c r="M287" s="541">
        <f t="shared" si="168"/>
      </c>
      <c r="N287" s="541">
        <f t="shared" si="264"/>
      </c>
      <c r="O287" s="541">
        <f t="shared" si="281"/>
      </c>
      <c r="P287" s="542">
        <f t="shared" si="28"/>
      </c>
      <c r="Q287" s="543" t="s">
        <v>923</v>
      </c>
      <c r="R287" s="544" t="s">
        <v>949</v>
      </c>
      <c r="S287" s="575">
        <v>4482</v>
      </c>
      <c r="T287" s="575">
        <v>467</v>
      </c>
      <c r="U287" s="575">
        <v>555</v>
      </c>
      <c r="V287" s="575">
        <v>56</v>
      </c>
      <c r="W287" s="567">
        <v>1</v>
      </c>
      <c r="X287" s="567">
        <v>0</v>
      </c>
      <c r="Y287" s="577">
        <v>14</v>
      </c>
    </row>
    <row r="288">
      <c r="A288" s="534"/>
      <c r="B288" s="535" t="s">
        <v>966</v>
      </c>
      <c r="C288" s="552" t="s">
        <v>953</v>
      </c>
      <c r="D288" s="594">
        <v>1530.66</v>
      </c>
      <c r="E288" s="519">
        <v>3</v>
      </c>
      <c r="F288" s="519">
        <v>2</v>
      </c>
      <c r="G288" s="595">
        <v>5279.999999999996</v>
      </c>
      <c r="H288" s="538">
        <f t="shared" si="12"/>
      </c>
      <c r="I288" s="538">
        <f t="shared" si="50"/>
      </c>
      <c r="J288" s="538">
        <f t="shared" si="103"/>
      </c>
      <c r="K288" s="539">
        <f t="shared" si="151"/>
      </c>
      <c r="L288" s="540">
        <f t="shared" si="245"/>
      </c>
      <c r="M288" s="541">
        <f t="shared" si="168"/>
      </c>
      <c r="N288" s="541">
        <f t="shared" si="264"/>
      </c>
      <c r="O288" s="541">
        <f t="shared" si="281"/>
      </c>
      <c r="P288" s="542">
        <f t="shared" si="28"/>
      </c>
      <c r="Q288" s="543" t="s">
        <v>923</v>
      </c>
      <c r="R288" s="544" t="s">
        <v>949</v>
      </c>
      <c r="S288" s="575">
        <v>4647</v>
      </c>
      <c r="T288" s="575">
        <v>521</v>
      </c>
      <c r="U288" s="575">
        <v>654</v>
      </c>
      <c r="V288" s="575">
        <v>60</v>
      </c>
      <c r="W288" s="567">
        <v>4</v>
      </c>
      <c r="X288" s="567">
        <v>1</v>
      </c>
      <c r="Y288" s="577">
        <v>17</v>
      </c>
    </row>
    <row r="289">
      <c r="A289" s="534"/>
      <c r="B289" s="554" t="s">
        <v>936</v>
      </c>
      <c r="C289" s="554"/>
      <c r="D289" s="555">
        <f>SUM(D285:D288)</f>
      </c>
      <c r="E289" s="592">
        <f>SUM(E285:E288)</f>
      </c>
      <c r="F289" s="592">
        <f>SUM(F285:F288)</f>
      </c>
      <c r="G289" s="555">
        <f>SUM(G285:G288)</f>
      </c>
      <c r="H289" s="556">
        <f t="shared" si="12"/>
      </c>
      <c r="I289" s="557">
        <f t="shared" si="50"/>
      </c>
      <c r="J289" s="558">
        <f t="shared" si="103"/>
      </c>
      <c r="K289" s="559">
        <f t="shared" si="151"/>
      </c>
      <c r="L289" s="560">
        <f t="shared" si="245"/>
      </c>
      <c r="M289" s="559">
        <f t="shared" si="168"/>
      </c>
      <c r="N289" s="559">
        <f t="shared" si="264"/>
      </c>
      <c r="O289" s="561">
        <f t="shared" si="281"/>
      </c>
      <c r="P289" s="562">
        <f t="shared" si="28"/>
      </c>
      <c r="Q289" s="560"/>
      <c r="R289" s="560"/>
      <c r="S289" s="563">
        <f>SUM(S285:S288)</f>
      </c>
      <c r="T289" s="563">
        <f>SUM(T285:T288)</f>
      </c>
      <c r="U289" s="563">
        <f>SUM(U285:U288)</f>
      </c>
      <c r="V289" s="563">
        <f>SUM(V285:V288)</f>
      </c>
      <c r="W289" s="563">
        <f>SUM(W285:W288)</f>
      </c>
      <c r="X289" s="563">
        <f>SUM(X285:X288)</f>
      </c>
      <c r="Y289" s="563">
        <f>SUM(Y285:Y288)</f>
      </c>
    </row>
    <row r="290">
      <c r="A290" s="534"/>
      <c r="B290" s="535" t="s">
        <v>930</v>
      </c>
      <c r="C290" s="552" t="s">
        <v>954</v>
      </c>
      <c r="D290" s="594">
        <v>1951.43</v>
      </c>
      <c r="E290" s="519">
        <v>2</v>
      </c>
      <c r="F290" s="519">
        <v>1</v>
      </c>
      <c r="G290" s="595">
        <v>1850.4000000000015</v>
      </c>
      <c r="H290" s="538">
        <f t="shared" si="12"/>
      </c>
      <c r="I290" s="538">
        <f t="shared" si="50"/>
      </c>
      <c r="J290" s="538">
        <f t="shared" si="103"/>
      </c>
      <c r="K290" s="539">
        <f t="shared" si="151"/>
      </c>
      <c r="L290" s="540">
        <f t="shared" si="245"/>
      </c>
      <c r="M290" s="541">
        <f t="shared" si="168"/>
      </c>
      <c r="N290" s="541">
        <f t="shared" si="264"/>
      </c>
      <c r="O290" s="541">
        <f t="shared" si="281"/>
      </c>
      <c r="P290" s="542">
        <f t="shared" si="28"/>
      </c>
      <c r="Q290" s="543" t="s">
        <v>952</v>
      </c>
      <c r="R290" s="544" t="s">
        <v>949</v>
      </c>
      <c r="S290" s="575">
        <v>4831</v>
      </c>
      <c r="T290" s="575">
        <v>554</v>
      </c>
      <c r="U290" s="575">
        <v>642</v>
      </c>
      <c r="V290" s="575">
        <v>70</v>
      </c>
      <c r="W290" s="567">
        <v>5</v>
      </c>
      <c r="X290" s="567">
        <v>0</v>
      </c>
      <c r="Y290" s="577">
        <v>21</v>
      </c>
    </row>
    <row r="291">
      <c r="A291" s="534"/>
      <c r="B291" s="535" t="s">
        <v>930</v>
      </c>
      <c r="C291" s="536" t="s">
        <v>955</v>
      </c>
      <c r="D291" s="594">
        <v>1905.14</v>
      </c>
      <c r="E291" s="519">
        <v>0</v>
      </c>
      <c r="F291" s="519">
        <v>0</v>
      </c>
      <c r="G291" s="595">
        <v>0</v>
      </c>
      <c r="H291" s="538">
        <f t="shared" si="12"/>
      </c>
      <c r="I291" s="538">
        <f t="shared" si="50"/>
      </c>
      <c r="J291" s="538">
        <f t="shared" si="103"/>
      </c>
      <c r="K291" s="539">
        <f t="shared" si="151"/>
      </c>
      <c r="L291" s="540">
        <f t="shared" si="245"/>
      </c>
      <c r="M291" s="541">
        <f t="shared" si="168"/>
      </c>
      <c r="N291" s="541">
        <f t="shared" si="264"/>
      </c>
      <c r="O291" s="541">
        <f t="shared" si="281"/>
      </c>
      <c r="P291" s="542">
        <f t="shared" si="28"/>
      </c>
      <c r="Q291" s="543" t="s">
        <v>952</v>
      </c>
      <c r="R291" s="544" t="s">
        <v>949</v>
      </c>
      <c r="S291" s="575">
        <v>5226</v>
      </c>
      <c r="T291" s="575">
        <v>645</v>
      </c>
      <c r="U291" s="575">
        <v>768</v>
      </c>
      <c r="V291" s="575">
        <v>66</v>
      </c>
      <c r="W291" s="567">
        <v>0</v>
      </c>
      <c r="X291" s="567">
        <v>0</v>
      </c>
      <c r="Y291" s="577">
        <v>21</v>
      </c>
    </row>
    <row r="292">
      <c r="A292" s="534"/>
      <c r="B292" s="535" t="s">
        <v>930</v>
      </c>
      <c r="C292" s="536" t="s">
        <v>956</v>
      </c>
      <c r="D292" s="594">
        <v>2549.01</v>
      </c>
      <c r="E292" s="519">
        <v>8</v>
      </c>
      <c r="F292" s="519">
        <v>5</v>
      </c>
      <c r="G292" s="595">
        <v>10231.200000000004</v>
      </c>
      <c r="H292" s="538">
        <f t="shared" si="12"/>
      </c>
      <c r="I292" s="538">
        <f t="shared" si="50"/>
      </c>
      <c r="J292" s="538">
        <f t="shared" si="103"/>
      </c>
      <c r="K292" s="539">
        <f t="shared" si="151"/>
      </c>
      <c r="L292" s="540">
        <f t="shared" si="245"/>
      </c>
      <c r="M292" s="541">
        <f t="shared" si="168"/>
      </c>
      <c r="N292" s="541">
        <f t="shared" si="264"/>
      </c>
      <c r="O292" s="541">
        <f t="shared" si="281"/>
      </c>
      <c r="P292" s="542">
        <f t="shared" si="28"/>
      </c>
      <c r="Q292" s="543" t="s">
        <v>952</v>
      </c>
      <c r="R292" s="544" t="s">
        <v>949</v>
      </c>
      <c r="S292" s="575">
        <v>4830</v>
      </c>
      <c r="T292" s="575">
        <v>647</v>
      </c>
      <c r="U292" s="575">
        <v>783</v>
      </c>
      <c r="V292" s="575">
        <v>76</v>
      </c>
      <c r="W292" s="567">
        <v>10</v>
      </c>
      <c r="X292" s="567">
        <v>2</v>
      </c>
      <c r="Y292" s="577">
        <v>32</v>
      </c>
    </row>
    <row r="293">
      <c r="A293" s="534"/>
      <c r="B293" s="535" t="s">
        <v>930</v>
      </c>
      <c r="C293" s="536" t="s">
        <v>957</v>
      </c>
      <c r="D293" s="594">
        <v>1328.55</v>
      </c>
      <c r="E293" s="519">
        <v>2</v>
      </c>
      <c r="F293" s="519">
        <v>1</v>
      </c>
      <c r="G293" s="595">
        <v>3996</v>
      </c>
      <c r="H293" s="538">
        <f t="shared" si="12"/>
      </c>
      <c r="I293" s="538">
        <f t="shared" si="50"/>
      </c>
      <c r="J293" s="538">
        <f t="shared" si="103"/>
      </c>
      <c r="K293" s="539">
        <f t="shared" si="151"/>
      </c>
      <c r="L293" s="540">
        <f t="shared" si="245"/>
      </c>
      <c r="M293" s="541">
        <f t="shared" si="168"/>
      </c>
      <c r="N293" s="541">
        <f t="shared" si="264"/>
      </c>
      <c r="O293" s="541">
        <f t="shared" si="281"/>
      </c>
      <c r="P293" s="542">
        <f t="shared" si="28"/>
      </c>
      <c r="Q293" s="543" t="s">
        <v>952</v>
      </c>
      <c r="R293" s="544" t="s">
        <v>949</v>
      </c>
      <c r="S293" s="575">
        <v>2950</v>
      </c>
      <c r="T293" s="575">
        <v>395</v>
      </c>
      <c r="U293" s="575">
        <v>484</v>
      </c>
      <c r="V293" s="575">
        <v>44</v>
      </c>
      <c r="W293" s="567">
        <v>2</v>
      </c>
      <c r="X293" s="567">
        <v>0</v>
      </c>
      <c r="Y293" s="577">
        <v>20</v>
      </c>
    </row>
    <row r="294">
      <c r="A294" s="534"/>
      <c r="B294" s="554" t="s">
        <v>936</v>
      </c>
      <c r="C294" s="554"/>
      <c r="D294" s="555">
        <f>SUM(D290:D293)</f>
      </c>
      <c r="E294" s="592">
        <f>SUM(E290:E293)</f>
      </c>
      <c r="F294" s="592">
        <f>SUM(F290:F293)</f>
      </c>
      <c r="G294" s="555">
        <f>SUM(G290:G293)</f>
      </c>
      <c r="H294" s="556">
        <f t="shared" si="12"/>
      </c>
      <c r="I294" s="557">
        <f t="shared" si="50"/>
      </c>
      <c r="J294" s="558">
        <f t="shared" si="103"/>
      </c>
      <c r="K294" s="559">
        <f t="shared" si="151"/>
      </c>
      <c r="L294" s="560">
        <f t="shared" si="245"/>
      </c>
      <c r="M294" s="559">
        <f t="shared" si="168"/>
      </c>
      <c r="N294" s="559">
        <f t="shared" si="264"/>
      </c>
      <c r="O294" s="561">
        <f t="shared" si="281"/>
      </c>
      <c r="P294" s="562">
        <f t="shared" si="28"/>
      </c>
      <c r="Q294" s="560"/>
      <c r="R294" s="560"/>
      <c r="S294" s="563">
        <f>SUM(S290:S293)</f>
      </c>
      <c r="T294" s="563">
        <f>SUM(T290:T293)</f>
      </c>
      <c r="U294" s="563">
        <f>SUM(U290:U293)</f>
      </c>
      <c r="V294" s="563">
        <f>SUM(V290:V293)</f>
      </c>
      <c r="W294" s="563">
        <f>SUM(W290:W293)</f>
      </c>
      <c r="X294" s="563">
        <f>SUM(X290:X293)</f>
      </c>
      <c r="Y294" s="563">
        <f>SUM(Y290:Y293)</f>
      </c>
    </row>
    <row r="295">
      <c r="A295" s="534"/>
      <c r="B295" s="579" t="s">
        <v>958</v>
      </c>
      <c r="C295" s="579"/>
      <c r="D295" s="580">
        <f>D279+D284+D294+D289</f>
      </c>
      <c r="E295" s="583">
        <f>E279+E284+E294+E289</f>
      </c>
      <c r="F295" s="583">
        <f>F279+F284+F294+F289</f>
      </c>
      <c r="G295" s="580">
        <f>G279+G284+G289+G294</f>
      </c>
      <c r="H295" s="579">
        <f t="shared" si="12"/>
      </c>
      <c r="I295" s="579">
        <f t="shared" si="50"/>
      </c>
      <c r="J295" s="579">
        <f t="shared" si="103"/>
      </c>
      <c r="K295" s="581">
        <f t="shared" si="151"/>
      </c>
      <c r="L295" s="579">
        <f t="shared" si="245"/>
      </c>
      <c r="M295" s="581">
        <f t="shared" si="168"/>
      </c>
      <c r="N295" s="581">
        <f t="shared" si="264"/>
      </c>
      <c r="O295" s="581">
        <f t="shared" si="281"/>
      </c>
      <c r="P295" s="579">
        <f t="shared" si="28"/>
      </c>
      <c r="Q295" s="582"/>
      <c r="R295" s="582"/>
      <c r="S295" s="583">
        <f>S279+S284+S294+S289</f>
      </c>
      <c r="T295" s="583">
        <f>T279+T284+T294+T289</f>
      </c>
      <c r="U295" s="583">
        <f>U279+U284+U294+U289</f>
      </c>
      <c r="V295" s="583">
        <f>V279+V284+V294+V289</f>
      </c>
      <c r="W295" s="583">
        <f>W279+W284+W294+W289</f>
      </c>
      <c r="X295" s="583">
        <f>X279+X284+X294+X289</f>
      </c>
      <c r="Y295" s="583">
        <f>Y279+Y284+Y294+Y289</f>
      </c>
    </row>
    <row r="296">
      <c r="A296" s="515" t="s">
        <v>882</v>
      </c>
      <c r="B296" s="515"/>
      <c r="C296" s="515"/>
      <c r="D296" s="516" t="s">
        <v>883</v>
      </c>
      <c r="E296" s="516"/>
      <c r="F296" s="516"/>
      <c r="G296" s="516"/>
      <c r="H296" s="516"/>
      <c r="I296" s="516"/>
      <c r="J296" s="516"/>
      <c r="K296" s="517" t="s">
        <v>884</v>
      </c>
      <c r="L296" s="517"/>
      <c r="M296" s="517"/>
      <c r="N296" s="517"/>
      <c r="O296" s="517"/>
      <c r="P296" s="517"/>
      <c r="Q296" s="517"/>
      <c r="R296" s="517"/>
      <c r="S296" s="589" t="s">
        <v>885</v>
      </c>
      <c r="T296" s="589"/>
      <c r="U296" s="589"/>
      <c r="V296" s="589"/>
      <c r="W296" s="589"/>
      <c r="X296" s="589"/>
      <c r="Y296" s="589"/>
      <c r="AA296" s="520" t="s">
        <v>1003</v>
      </c>
      <c r="AB296" s="520"/>
      <c r="AC296" s="520"/>
      <c r="AD296" s="520"/>
      <c r="AE296" s="520"/>
      <c r="AF296" s="520"/>
      <c r="AG296" s="520"/>
      <c r="AH296" s="520"/>
      <c r="AI296" s="520"/>
      <c r="AJ296" s="520"/>
      <c r="AK296" s="520"/>
    </row>
    <row r="297">
      <c r="A297" s="521" t="s">
        <v>887</v>
      </c>
      <c r="B297" s="521" t="s">
        <v>888</v>
      </c>
      <c r="C297" s="521" t="s">
        <v>889</v>
      </c>
      <c r="D297" s="522" t="s">
        <v>890</v>
      </c>
      <c r="E297" s="523" t="s">
        <v>891</v>
      </c>
      <c r="F297" s="524" t="s">
        <v>892</v>
      </c>
      <c r="G297" s="522" t="s">
        <v>893</v>
      </c>
      <c r="H297" s="525" t="s">
        <v>894</v>
      </c>
      <c r="I297" s="526" t="s">
        <v>895</v>
      </c>
      <c r="J297" s="522" t="s">
        <v>896</v>
      </c>
      <c r="K297" s="527" t="s">
        <v>897</v>
      </c>
      <c r="L297" s="528" t="s">
        <v>898</v>
      </c>
      <c r="M297" s="527" t="s">
        <v>899</v>
      </c>
      <c r="N297" s="527" t="s">
        <v>900</v>
      </c>
      <c r="O297" s="529" t="s">
        <v>901</v>
      </c>
      <c r="P297" s="529" t="s">
        <v>902</v>
      </c>
      <c r="Q297" s="530" t="s">
        <v>903</v>
      </c>
      <c r="R297" s="530" t="s">
        <v>904</v>
      </c>
      <c r="S297" s="585" t="s">
        <v>905</v>
      </c>
      <c r="T297" s="585" t="s">
        <v>906</v>
      </c>
      <c r="U297" s="585" t="s">
        <v>907</v>
      </c>
      <c r="V297" s="585" t="s">
        <v>908</v>
      </c>
      <c r="W297" s="585" t="s">
        <v>909</v>
      </c>
      <c r="X297" s="585" t="s">
        <v>910</v>
      </c>
      <c r="Y297" s="586" t="s">
        <v>911</v>
      </c>
      <c r="AA297" s="533" t="s">
        <v>912</v>
      </c>
      <c r="AB297" s="533" t="s">
        <v>913</v>
      </c>
      <c r="AC297" s="533" t="s">
        <v>914</v>
      </c>
      <c r="AD297" s="533" t="s">
        <v>915</v>
      </c>
      <c r="AE297" s="533" t="s">
        <v>916</v>
      </c>
      <c r="AF297" s="533" t="s">
        <v>917</v>
      </c>
      <c r="AG297" s="533" t="s">
        <v>896</v>
      </c>
      <c r="AH297" s="533" t="s">
        <v>918</v>
      </c>
      <c r="AI297" s="533" t="s">
        <v>894</v>
      </c>
      <c r="AJ297" s="533" t="s">
        <v>919</v>
      </c>
      <c r="AK297" s="533"/>
    </row>
    <row r="298">
      <c r="A298" s="534" t="s">
        <v>1004</v>
      </c>
      <c r="B298" s="535" t="s">
        <v>927</v>
      </c>
      <c r="C298" s="536" t="s">
        <v>922</v>
      </c>
      <c r="D298" s="535">
        <v>1209.96</v>
      </c>
      <c r="E298" s="519">
        <v>0</v>
      </c>
      <c r="F298" s="519">
        <v>0</v>
      </c>
      <c r="G298" s="535">
        <v>0</v>
      </c>
      <c r="H298" s="538">
        <f t="shared" ref="H298:H318" si="13">G298/D298</f>
      </c>
      <c r="I298" s="538">
        <f t="shared" ref="I298:I318" si="51">D298/E298</f>
      </c>
      <c r="J298" s="538">
        <f t="shared" ref="J298:J318" si="104">G298/E298</f>
      </c>
      <c r="K298" s="539">
        <f t="shared" ref="K298:K318" si="152">T298/S298</f>
      </c>
      <c r="L298" s="540">
        <f t="shared" ref="L298:L318" si="246">D298/U298</f>
      </c>
      <c r="M298" s="541">
        <f t="shared" ref="M298:M318" si="169">V298/U298</f>
      </c>
      <c r="N298" s="541">
        <f t="shared" ref="N298:N318" si="265">E298/W298</f>
      </c>
      <c r="O298" s="541">
        <f t="shared" ref="O298:O318" si="282">X298/E298</f>
      </c>
      <c r="P298" s="542">
        <f t="shared" ref="P298:P318" si="29">(Y298*1000)/D298</f>
      </c>
      <c r="Q298" s="543" t="s">
        <v>923</v>
      </c>
      <c r="R298" s="544" t="s">
        <v>969</v>
      </c>
      <c r="S298" s="545">
        <v>5035</v>
      </c>
      <c r="T298" s="545">
        <v>658</v>
      </c>
      <c r="U298" s="545">
        <v>835</v>
      </c>
      <c r="V298" s="545">
        <v>49</v>
      </c>
      <c r="W298" s="545">
        <v>0</v>
      </c>
      <c r="X298" s="545">
        <v>0</v>
      </c>
      <c r="Y298" s="545">
        <v>31</v>
      </c>
      <c r="AA298" s="546" t="s">
        <v>927</v>
      </c>
      <c r="AB298" s="547" t="s">
        <v>974</v>
      </c>
      <c r="AC298" s="546">
        <v>4</v>
      </c>
      <c r="AD298" s="546">
        <v>5088.959999999999</v>
      </c>
      <c r="AE298" s="546">
        <v>9383.999999999998</v>
      </c>
      <c r="AF298" s="546">
        <v>6</v>
      </c>
      <c r="AG298" s="549">
        <f t="shared" ref="AG298:AG302" si="83">AE298/AF298</f>
      </c>
      <c r="AH298" s="549">
        <f t="shared" ref="AH298:AH302" si="136">AD298/AF298</f>
      </c>
      <c r="AI298" s="549">
        <f t="shared" ref="AI298:AI302" si="201">AE298/AD298</f>
      </c>
      <c r="AJ298" s="548">
        <f t="shared" ref="AJ298:AJ302" si="230">AD298/AC298</f>
      </c>
      <c r="AK298" s="548"/>
    </row>
    <row r="299">
      <c r="A299" s="534"/>
      <c r="B299" s="535" t="s">
        <v>927</v>
      </c>
      <c r="C299" s="535" t="s">
        <v>926</v>
      </c>
      <c r="D299" s="535">
        <v>1326.11</v>
      </c>
      <c r="E299" s="519">
        <v>3</v>
      </c>
      <c r="F299" s="519">
        <v>2</v>
      </c>
      <c r="G299" s="535">
        <v>6939.599999999999</v>
      </c>
      <c r="H299" s="538">
        <f t="shared" si="13"/>
      </c>
      <c r="I299" s="538">
        <f t="shared" si="51"/>
      </c>
      <c r="J299" s="538">
        <f t="shared" si="104"/>
      </c>
      <c r="K299" s="539">
        <f t="shared" si="152"/>
      </c>
      <c r="L299" s="540">
        <f t="shared" si="246"/>
      </c>
      <c r="M299" s="541">
        <f t="shared" si="169"/>
      </c>
      <c r="N299" s="541">
        <f t="shared" si="265"/>
      </c>
      <c r="O299" s="541">
        <f t="shared" si="282"/>
      </c>
      <c r="P299" s="542">
        <f t="shared" si="29"/>
      </c>
      <c r="Q299" s="543" t="s">
        <v>923</v>
      </c>
      <c r="R299" s="544" t="s">
        <v>969</v>
      </c>
      <c r="S299" s="545">
        <v>6678</v>
      </c>
      <c r="T299" s="545">
        <v>540</v>
      </c>
      <c r="U299" s="545">
        <v>700</v>
      </c>
      <c r="V299" s="545">
        <v>60</v>
      </c>
      <c r="W299" s="545">
        <v>3</v>
      </c>
      <c r="X299" s="545">
        <v>1</v>
      </c>
      <c r="Y299" s="545">
        <v>41</v>
      </c>
      <c r="AA299" s="546" t="s">
        <v>930</v>
      </c>
      <c r="AB299" s="547" t="s">
        <v>976</v>
      </c>
      <c r="AC299" s="546">
        <v>4</v>
      </c>
      <c r="AD299" s="546">
        <v>4516.360000000001</v>
      </c>
      <c r="AE299" s="546">
        <v>11438.199999999999</v>
      </c>
      <c r="AF299" s="546">
        <v>8</v>
      </c>
      <c r="AG299" s="549">
        <f t="shared" si="83"/>
      </c>
      <c r="AH299" s="549">
        <f t="shared" si="136"/>
      </c>
      <c r="AI299" s="549">
        <f t="shared" si="201"/>
      </c>
      <c r="AJ299" s="548">
        <f t="shared" si="230"/>
      </c>
      <c r="AK299" s="548"/>
    </row>
    <row r="300">
      <c r="A300" s="534"/>
      <c r="B300" s="535" t="s">
        <v>927</v>
      </c>
      <c r="C300" s="535" t="s">
        <v>929</v>
      </c>
      <c r="D300" s="535">
        <v>1603.86</v>
      </c>
      <c r="E300" s="519">
        <v>2</v>
      </c>
      <c r="F300" s="519">
        <v>2</v>
      </c>
      <c r="G300" s="535">
        <v>1791.5999999999995</v>
      </c>
      <c r="H300" s="538">
        <f t="shared" si="13"/>
      </c>
      <c r="I300" s="538">
        <f t="shared" si="51"/>
      </c>
      <c r="J300" s="538">
        <f t="shared" si="104"/>
      </c>
      <c r="K300" s="539">
        <f t="shared" si="152"/>
      </c>
      <c r="L300" s="540">
        <f t="shared" si="246"/>
      </c>
      <c r="M300" s="541">
        <f t="shared" si="169"/>
      </c>
      <c r="N300" s="541">
        <f t="shared" si="265"/>
      </c>
      <c r="O300" s="541">
        <f t="shared" si="282"/>
      </c>
      <c r="P300" s="542">
        <f t="shared" si="29"/>
      </c>
      <c r="Q300" s="543" t="s">
        <v>923</v>
      </c>
      <c r="R300" s="544" t="s">
        <v>969</v>
      </c>
      <c r="S300" s="545">
        <v>6220</v>
      </c>
      <c r="T300" s="545">
        <v>449</v>
      </c>
      <c r="U300" s="545">
        <v>603</v>
      </c>
      <c r="V300" s="545">
        <v>71</v>
      </c>
      <c r="W300" s="545">
        <v>2</v>
      </c>
      <c r="X300" s="545">
        <v>0</v>
      </c>
      <c r="Y300" s="545">
        <v>27</v>
      </c>
      <c r="AA300" s="546" t="s">
        <v>988</v>
      </c>
      <c r="AB300" s="547" t="s">
        <v>977</v>
      </c>
      <c r="AC300" s="546">
        <v>3</v>
      </c>
      <c r="AD300" s="546">
        <v>2248.1400000000003</v>
      </c>
      <c r="AE300" s="546">
        <v>1197.6000000000022</v>
      </c>
      <c r="AF300" s="546">
        <v>1</v>
      </c>
      <c r="AG300" s="549">
        <f t="shared" si="83"/>
      </c>
      <c r="AH300" s="549">
        <f t="shared" si="136"/>
      </c>
      <c r="AI300" s="549">
        <f t="shared" si="201"/>
      </c>
      <c r="AJ300" s="548">
        <f t="shared" si="230"/>
      </c>
      <c r="AK300" s="548"/>
    </row>
    <row r="301">
      <c r="A301" s="534"/>
      <c r="B301" s="535" t="s">
        <v>927</v>
      </c>
      <c r="C301" s="535" t="s">
        <v>932</v>
      </c>
      <c r="D301" s="535">
        <v>949.03</v>
      </c>
      <c r="E301" s="519">
        <v>1</v>
      </c>
      <c r="F301" s="519">
        <v>1</v>
      </c>
      <c r="G301" s="535">
        <v>652.7999999999993</v>
      </c>
      <c r="H301" s="538">
        <f t="shared" si="13"/>
      </c>
      <c r="I301" s="538">
        <f t="shared" si="51"/>
      </c>
      <c r="J301" s="538">
        <f t="shared" si="104"/>
      </c>
      <c r="K301" s="539">
        <f t="shared" si="152"/>
      </c>
      <c r="L301" s="540">
        <f t="shared" si="246"/>
      </c>
      <c r="M301" s="541">
        <f t="shared" si="169"/>
      </c>
      <c r="N301" s="541">
        <f t="shared" si="265"/>
      </c>
      <c r="O301" s="541">
        <f t="shared" si="282"/>
      </c>
      <c r="P301" s="542">
        <f t="shared" si="29"/>
      </c>
      <c r="Q301" s="543" t="s">
        <v>923</v>
      </c>
      <c r="R301" s="544" t="s">
        <v>969</v>
      </c>
      <c r="S301" s="545">
        <v>6825</v>
      </c>
      <c r="T301" s="545">
        <v>399</v>
      </c>
      <c r="U301" s="545">
        <v>494</v>
      </c>
      <c r="V301" s="545">
        <v>52</v>
      </c>
      <c r="W301" s="545">
        <v>2</v>
      </c>
      <c r="X301" s="545">
        <v>0</v>
      </c>
      <c r="Y301" s="545">
        <v>27</v>
      </c>
      <c r="AA301" s="546" t="s">
        <v>975</v>
      </c>
      <c r="AB301" s="547" t="s">
        <v>978</v>
      </c>
      <c r="AC301" s="546">
        <v>5</v>
      </c>
      <c r="AD301" s="546">
        <v>7292.65</v>
      </c>
      <c r="AE301" s="546">
        <v>10373.299999999992</v>
      </c>
      <c r="AF301" s="546">
        <v>8</v>
      </c>
      <c r="AG301" s="549">
        <f t="shared" si="83"/>
      </c>
      <c r="AH301" s="549">
        <f t="shared" si="136"/>
      </c>
      <c r="AI301" s="549">
        <f t="shared" si="201"/>
      </c>
      <c r="AJ301" s="548">
        <f t="shared" si="230"/>
      </c>
      <c r="AK301" s="548"/>
    </row>
    <row r="302">
      <c r="A302" s="534"/>
      <c r="B302" s="554" t="s">
        <v>936</v>
      </c>
      <c r="C302" s="554"/>
      <c r="D302" s="555">
        <f>SUM(D298:D301)</f>
      </c>
      <c r="E302" s="592">
        <f>SUM(E298:E301)</f>
      </c>
      <c r="F302" s="592">
        <f>SUM(F298:F301)</f>
      </c>
      <c r="G302" s="555">
        <f>SUM(G298:G301)</f>
      </c>
      <c r="H302" s="556">
        <f t="shared" si="13"/>
      </c>
      <c r="I302" s="557">
        <f t="shared" si="51"/>
      </c>
      <c r="J302" s="558">
        <f t="shared" si="104"/>
      </c>
      <c r="K302" s="559">
        <f t="shared" si="152"/>
      </c>
      <c r="L302" s="560">
        <f t="shared" si="246"/>
      </c>
      <c r="M302" s="559">
        <f t="shared" si="169"/>
      </c>
      <c r="N302" s="559">
        <f t="shared" si="265"/>
      </c>
      <c r="O302" s="561">
        <f t="shared" si="282"/>
      </c>
      <c r="P302" s="562">
        <f t="shared" si="29"/>
      </c>
      <c r="Q302" s="560"/>
      <c r="R302" s="560"/>
      <c r="S302" s="563">
        <f>SUM(S298:S301)</f>
      </c>
      <c r="T302" s="563">
        <f>SUM(T298:T301)</f>
      </c>
      <c r="U302" s="563">
        <f>SUM(U298:U301)</f>
      </c>
      <c r="V302" s="563">
        <f>SUM(V298:V301)</f>
      </c>
      <c r="W302" s="563">
        <f>SUM(W298:W301)</f>
      </c>
      <c r="X302" s="563">
        <f>SUM(X298:X301)</f>
      </c>
      <c r="Y302" s="563">
        <f>SUM(Y298:Y301)</f>
      </c>
      <c r="AA302" s="533" t="s">
        <v>933</v>
      </c>
      <c r="AB302" s="533"/>
      <c r="AC302" s="533">
        <f>SUM(AC298:AC301)</f>
      </c>
      <c r="AD302" s="533">
        <f>SUM(AD298:AD301)</f>
      </c>
      <c r="AE302" s="533">
        <f>SUM(AE298:AE301)</f>
      </c>
      <c r="AF302" s="533">
        <f>SUM(AF298:AF301)</f>
      </c>
      <c r="AG302" s="551">
        <f t="shared" si="83"/>
      </c>
      <c r="AH302" s="551">
        <f t="shared" si="136"/>
      </c>
      <c r="AI302" s="551">
        <f t="shared" si="201"/>
      </c>
      <c r="AJ302" s="550">
        <f t="shared" si="230"/>
      </c>
      <c r="AK302" s="550"/>
    </row>
    <row r="303">
      <c r="A303" s="534"/>
      <c r="B303" s="535" t="s">
        <v>930</v>
      </c>
      <c r="C303" s="552" t="s">
        <v>934</v>
      </c>
      <c r="D303" s="535">
        <v>1246.77</v>
      </c>
      <c r="E303" s="519">
        <v>1</v>
      </c>
      <c r="F303" s="519">
        <v>1</v>
      </c>
      <c r="G303" s="535">
        <v>1197.6000000000004</v>
      </c>
      <c r="H303" s="538">
        <f t="shared" si="13"/>
      </c>
      <c r="I303" s="538">
        <f t="shared" si="51"/>
      </c>
      <c r="J303" s="538">
        <f t="shared" si="104"/>
      </c>
      <c r="K303" s="539">
        <f t="shared" si="152"/>
      </c>
      <c r="L303" s="540">
        <f t="shared" si="246"/>
      </c>
      <c r="M303" s="541">
        <f t="shared" si="169"/>
      </c>
      <c r="N303" s="541">
        <f t="shared" si="265"/>
      </c>
      <c r="O303" s="541">
        <f t="shared" si="282"/>
      </c>
      <c r="P303" s="542">
        <f t="shared" si="29"/>
      </c>
      <c r="Q303" s="543" t="s">
        <v>923</v>
      </c>
      <c r="R303" s="544" t="s">
        <v>969</v>
      </c>
      <c r="S303" s="545">
        <v>6540</v>
      </c>
      <c r="T303" s="545">
        <v>411</v>
      </c>
      <c r="U303" s="545">
        <v>547</v>
      </c>
      <c r="V303" s="545">
        <v>71</v>
      </c>
      <c r="W303" s="545">
        <v>1</v>
      </c>
      <c r="X303" s="545">
        <v>0</v>
      </c>
      <c r="Y303" s="545">
        <v>24</v>
      </c>
      <c r="AA303" s="553" t="s">
        <v>935</v>
      </c>
      <c r="AB303" s="553"/>
      <c r="AC303" s="553"/>
      <c r="AD303" s="553"/>
      <c r="AE303" s="553"/>
      <c r="AF303" s="553"/>
      <c r="AG303" s="553"/>
      <c r="AH303" s="553"/>
      <c r="AI303" s="553"/>
      <c r="AJ303" s="553"/>
      <c r="AK303" s="553"/>
    </row>
    <row r="304">
      <c r="A304" s="534"/>
      <c r="B304" s="535" t="s">
        <v>930</v>
      </c>
      <c r="C304" s="566" t="s">
        <v>945</v>
      </c>
      <c r="D304" s="535">
        <v>1163.16</v>
      </c>
      <c r="E304" s="519">
        <v>3</v>
      </c>
      <c r="F304" s="545">
        <v>2</v>
      </c>
      <c r="G304" s="535">
        <v>6104.799999999999</v>
      </c>
      <c r="H304" s="538">
        <f t="shared" si="13"/>
      </c>
      <c r="I304" s="538">
        <f t="shared" si="51"/>
      </c>
      <c r="J304" s="538">
        <f t="shared" si="104"/>
      </c>
      <c r="K304" s="539">
        <f t="shared" si="152"/>
      </c>
      <c r="L304" s="540">
        <f t="shared" si="246"/>
      </c>
      <c r="M304" s="541">
        <f t="shared" si="169"/>
      </c>
      <c r="N304" s="541">
        <f t="shared" si="265"/>
      </c>
      <c r="O304" s="541">
        <f t="shared" si="282"/>
      </c>
      <c r="P304" s="542">
        <f t="shared" si="29"/>
      </c>
      <c r="Q304" s="543" t="s">
        <v>923</v>
      </c>
      <c r="R304" s="544" t="s">
        <v>969</v>
      </c>
      <c r="S304" s="545">
        <v>8122</v>
      </c>
      <c r="T304" s="545">
        <v>494</v>
      </c>
      <c r="U304" s="545">
        <v>621</v>
      </c>
      <c r="V304" s="545">
        <v>59</v>
      </c>
      <c r="W304" s="545">
        <v>5</v>
      </c>
      <c r="X304" s="545">
        <v>1</v>
      </c>
      <c r="Y304" s="545">
        <v>28</v>
      </c>
      <c r="AA304" s="564" t="s">
        <v>915</v>
      </c>
      <c r="AB304" s="564" t="s">
        <v>937</v>
      </c>
      <c r="AC304" s="564" t="s">
        <v>938</v>
      </c>
      <c r="AD304" s="564" t="s">
        <v>939</v>
      </c>
      <c r="AE304" s="564" t="s">
        <v>940</v>
      </c>
      <c r="AF304" s="564" t="s">
        <v>941</v>
      </c>
      <c r="AG304" s="564" t="s">
        <v>942</v>
      </c>
      <c r="AH304" s="565" t="s">
        <v>910</v>
      </c>
      <c r="AI304" s="565" t="s">
        <v>943</v>
      </c>
      <c r="AJ304" s="565" t="s">
        <v>944</v>
      </c>
      <c r="AK304" s="565" t="s">
        <v>914</v>
      </c>
    </row>
    <row r="305">
      <c r="A305" s="534"/>
      <c r="B305" s="535" t="s">
        <v>930</v>
      </c>
      <c r="C305" s="566" t="s">
        <v>946</v>
      </c>
      <c r="D305" s="535">
        <v>1053.89</v>
      </c>
      <c r="E305" s="519">
        <v>2</v>
      </c>
      <c r="F305" s="519">
        <v>1</v>
      </c>
      <c r="G305" s="535">
        <v>2830.2000000000007</v>
      </c>
      <c r="H305" s="538">
        <f t="shared" si="13"/>
      </c>
      <c r="I305" s="538">
        <f t="shared" si="51"/>
      </c>
      <c r="J305" s="538">
        <f t="shared" si="104"/>
      </c>
      <c r="K305" s="539">
        <f t="shared" si="152"/>
      </c>
      <c r="L305" s="540">
        <f t="shared" si="246"/>
      </c>
      <c r="M305" s="541">
        <f t="shared" si="169"/>
      </c>
      <c r="N305" s="541">
        <f t="shared" si="265"/>
      </c>
      <c r="O305" s="541">
        <f t="shared" si="282"/>
      </c>
      <c r="P305" s="542">
        <f t="shared" si="29"/>
      </c>
      <c r="Q305" s="543" t="s">
        <v>923</v>
      </c>
      <c r="R305" s="544" t="s">
        <v>969</v>
      </c>
      <c r="S305" s="545">
        <v>5949</v>
      </c>
      <c r="T305" s="545">
        <v>447</v>
      </c>
      <c r="U305" s="545">
        <v>561</v>
      </c>
      <c r="V305" s="545">
        <v>49</v>
      </c>
      <c r="W305" s="545">
        <v>3</v>
      </c>
      <c r="X305" s="545">
        <v>0</v>
      </c>
      <c r="Y305" s="545">
        <v>28</v>
      </c>
      <c r="AA305" s="568">
        <f>SUM(AD298:AD301)</f>
      </c>
      <c r="AB305" s="568">
        <f>SUM(AE298:AE301)</f>
      </c>
      <c r="AC305" s="569">
        <f>AB305/((AK305*300)+AA305)</f>
      </c>
      <c r="AD305" s="570">
        <f>AA305/AJ305</f>
      </c>
      <c r="AE305" s="569">
        <f>AB305/AJ305</f>
      </c>
      <c r="AF305" s="571">
        <f>AJ305/AI305</f>
      </c>
      <c r="AG305" s="571">
        <f>AH305/AJ305</f>
      </c>
      <c r="AH305" s="572">
        <v>3</v>
      </c>
      <c r="AI305" s="572">
        <v>33</v>
      </c>
      <c r="AJ305" s="572">
        <v>23</v>
      </c>
      <c r="AK305" s="572">
        <v>15</v>
      </c>
    </row>
    <row r="306">
      <c r="A306" s="534"/>
      <c r="B306" s="535" t="s">
        <v>930</v>
      </c>
      <c r="C306" s="566" t="s">
        <v>947</v>
      </c>
      <c r="D306" s="535">
        <v>1052.54</v>
      </c>
      <c r="E306" s="519">
        <v>2</v>
      </c>
      <c r="F306" s="519">
        <v>1</v>
      </c>
      <c r="G306" s="574">
        <v>1305.5999999999985</v>
      </c>
      <c r="H306" s="538">
        <f t="shared" si="13"/>
      </c>
      <c r="I306" s="538">
        <f t="shared" si="51"/>
      </c>
      <c r="J306" s="538">
        <f t="shared" si="104"/>
      </c>
      <c r="K306" s="539">
        <f t="shared" si="152"/>
      </c>
      <c r="L306" s="540">
        <f t="shared" si="246"/>
      </c>
      <c r="M306" s="541">
        <f t="shared" si="169"/>
      </c>
      <c r="N306" s="541">
        <f t="shared" si="265"/>
      </c>
      <c r="O306" s="541">
        <f t="shared" si="282"/>
      </c>
      <c r="P306" s="542">
        <f t="shared" si="29"/>
      </c>
      <c r="Q306" s="543" t="s">
        <v>923</v>
      </c>
      <c r="R306" s="544" t="s">
        <v>969</v>
      </c>
      <c r="S306" s="545">
        <v>4441</v>
      </c>
      <c r="T306" s="545">
        <v>418</v>
      </c>
      <c r="U306" s="545">
        <v>534</v>
      </c>
      <c r="V306" s="545">
        <v>51</v>
      </c>
      <c r="W306" s="545">
        <v>3</v>
      </c>
      <c r="X306" s="545">
        <v>0</v>
      </c>
      <c r="Y306" s="574">
        <v>20</v>
      </c>
    </row>
    <row r="307">
      <c r="A307" s="534"/>
      <c r="B307" s="554" t="s">
        <v>936</v>
      </c>
      <c r="C307" s="554"/>
      <c r="D307" s="555">
        <f>SUM(D303:D306)</f>
      </c>
      <c r="E307" s="592">
        <f>SUM(E303:E306)</f>
      </c>
      <c r="F307" s="592">
        <f>SUM(F303:F306)</f>
      </c>
      <c r="G307" s="555">
        <f>SUM(G303:G306)</f>
      </c>
      <c r="H307" s="556">
        <f t="shared" si="13"/>
      </c>
      <c r="I307" s="557">
        <f t="shared" si="51"/>
      </c>
      <c r="J307" s="558">
        <f t="shared" si="104"/>
      </c>
      <c r="K307" s="559">
        <f t="shared" si="152"/>
      </c>
      <c r="L307" s="560">
        <f t="shared" si="246"/>
      </c>
      <c r="M307" s="559">
        <f t="shared" si="169"/>
      </c>
      <c r="N307" s="559">
        <f t="shared" si="265"/>
      </c>
      <c r="O307" s="561">
        <f t="shared" si="282"/>
      </c>
      <c r="P307" s="562">
        <f t="shared" si="29"/>
      </c>
      <c r="Q307" s="560"/>
      <c r="R307" s="560"/>
      <c r="S307" s="563">
        <f>SUM(S303:S306)</f>
      </c>
      <c r="T307" s="563">
        <f>SUM(T303:T306)</f>
      </c>
      <c r="U307" s="563">
        <f>SUM(U303:U306)</f>
      </c>
      <c r="V307" s="563">
        <f>SUM(V303:V306)</f>
      </c>
      <c r="W307" s="563">
        <f>SUM(W303:W306)</f>
      </c>
      <c r="X307" s="563">
        <f>SUM(X303:X306)</f>
      </c>
      <c r="Y307" s="563">
        <f>SUM(Y303:Y306)</f>
      </c>
    </row>
    <row r="308">
      <c r="A308" s="534"/>
      <c r="B308" s="535" t="s">
        <v>988</v>
      </c>
      <c r="C308" s="566" t="s">
        <v>948</v>
      </c>
      <c r="D308" s="594">
        <v>813.08</v>
      </c>
      <c r="E308" s="519">
        <v>0</v>
      </c>
      <c r="F308" s="519">
        <v>0</v>
      </c>
      <c r="G308" s="595">
        <v>0</v>
      </c>
      <c r="H308" s="538">
        <f t="shared" si="13"/>
      </c>
      <c r="I308" s="538">
        <f t="shared" si="51"/>
      </c>
      <c r="J308" s="538">
        <f t="shared" si="104"/>
      </c>
      <c r="K308" s="539">
        <f t="shared" si="152"/>
      </c>
      <c r="L308" s="540">
        <f t="shared" si="246"/>
      </c>
      <c r="M308" s="541">
        <f t="shared" si="169"/>
      </c>
      <c r="N308" s="541">
        <f t="shared" si="265"/>
      </c>
      <c r="O308" s="541">
        <f t="shared" si="282"/>
      </c>
      <c r="P308" s="542">
        <f t="shared" si="29"/>
      </c>
      <c r="Q308" s="543" t="s">
        <v>923</v>
      </c>
      <c r="R308" s="544" t="s">
        <v>1005</v>
      </c>
      <c r="S308" s="575">
        <v>3139</v>
      </c>
      <c r="T308" s="575">
        <v>334</v>
      </c>
      <c r="U308" s="575">
        <v>408</v>
      </c>
      <c r="V308" s="575">
        <v>38</v>
      </c>
      <c r="W308" s="567">
        <v>0</v>
      </c>
      <c r="X308" s="567">
        <v>0</v>
      </c>
      <c r="Y308" s="577">
        <v>10</v>
      </c>
    </row>
    <row r="309">
      <c r="A309" s="534"/>
      <c r="B309" s="535" t="s">
        <v>988</v>
      </c>
      <c r="C309" s="536" t="s">
        <v>1006</v>
      </c>
      <c r="D309" s="594">
        <v>750.86</v>
      </c>
      <c r="E309" s="519">
        <v>1</v>
      </c>
      <c r="F309" s="519">
        <v>1</v>
      </c>
      <c r="G309" s="595">
        <v>1197.6000000000022</v>
      </c>
      <c r="H309" s="538">
        <f t="shared" si="13"/>
      </c>
      <c r="I309" s="538">
        <f t="shared" si="51"/>
      </c>
      <c r="J309" s="538">
        <f t="shared" si="104"/>
      </c>
      <c r="K309" s="539">
        <f t="shared" si="152"/>
      </c>
      <c r="L309" s="540">
        <f t="shared" si="246"/>
      </c>
      <c r="M309" s="541">
        <f t="shared" si="169"/>
      </c>
      <c r="N309" s="541">
        <f t="shared" si="265"/>
      </c>
      <c r="O309" s="541">
        <f t="shared" si="282"/>
      </c>
      <c r="P309" s="542">
        <f t="shared" si="29"/>
      </c>
      <c r="Q309" s="543" t="s">
        <v>923</v>
      </c>
      <c r="R309" s="544" t="s">
        <v>1005</v>
      </c>
      <c r="S309" s="575">
        <v>1987</v>
      </c>
      <c r="T309" s="575">
        <v>124</v>
      </c>
      <c r="U309" s="575">
        <v>160</v>
      </c>
      <c r="V309" s="575">
        <v>15</v>
      </c>
      <c r="W309" s="567">
        <v>1</v>
      </c>
      <c r="X309" s="567">
        <v>0</v>
      </c>
      <c r="Y309" s="577">
        <v>6</v>
      </c>
    </row>
    <row r="310">
      <c r="A310" s="534"/>
      <c r="B310" s="535" t="s">
        <v>988</v>
      </c>
      <c r="C310" s="536" t="s">
        <v>1007</v>
      </c>
      <c r="D310" s="594">
        <v>684.2</v>
      </c>
      <c r="E310" s="519">
        <v>0</v>
      </c>
      <c r="F310" s="519">
        <v>0</v>
      </c>
      <c r="G310" s="595">
        <v>0</v>
      </c>
      <c r="H310" s="538">
        <f t="shared" si="13"/>
      </c>
      <c r="I310" s="538">
        <f t="shared" si="51"/>
      </c>
      <c r="J310" s="538">
        <f t="shared" si="104"/>
      </c>
      <c r="K310" s="539">
        <f t="shared" si="152"/>
      </c>
      <c r="L310" s="540">
        <f t="shared" si="246"/>
      </c>
      <c r="M310" s="541">
        <f t="shared" si="169"/>
      </c>
      <c r="N310" s="541">
        <f t="shared" si="265"/>
      </c>
      <c r="O310" s="541">
        <f t="shared" si="282"/>
      </c>
      <c r="P310" s="542">
        <f t="shared" si="29"/>
      </c>
      <c r="Q310" s="543" t="s">
        <v>923</v>
      </c>
      <c r="R310" s="544" t="s">
        <v>1005</v>
      </c>
      <c r="S310" s="575">
        <v>1802</v>
      </c>
      <c r="T310" s="575">
        <v>149</v>
      </c>
      <c r="U310" s="575">
        <v>215</v>
      </c>
      <c r="V310" s="575">
        <v>17</v>
      </c>
      <c r="W310" s="567">
        <v>0</v>
      </c>
      <c r="X310" s="567">
        <v>0</v>
      </c>
      <c r="Y310" s="577">
        <v>9</v>
      </c>
    </row>
    <row r="311">
      <c r="A311" s="534"/>
      <c r="B311" s="554" t="s">
        <v>936</v>
      </c>
      <c r="C311" s="554"/>
      <c r="D311" s="555">
        <f>SUM(D308:D310)</f>
      </c>
      <c r="E311" s="592">
        <f>SUM(E308:E310)</f>
      </c>
      <c r="F311" s="592">
        <f>SUM(F308:F310)</f>
      </c>
      <c r="G311" s="555">
        <f>SUM(G308:G310)</f>
      </c>
      <c r="H311" s="556">
        <f t="shared" si="13"/>
      </c>
      <c r="I311" s="557">
        <f t="shared" si="51"/>
      </c>
      <c r="J311" s="558">
        <f t="shared" si="104"/>
      </c>
      <c r="K311" s="559">
        <f t="shared" si="152"/>
      </c>
      <c r="L311" s="560">
        <f t="shared" si="246"/>
      </c>
      <c r="M311" s="559">
        <f t="shared" si="169"/>
      </c>
      <c r="N311" s="559">
        <f t="shared" si="265"/>
      </c>
      <c r="O311" s="561">
        <f t="shared" si="282"/>
      </c>
      <c r="P311" s="562">
        <f t="shared" si="29"/>
      </c>
      <c r="Q311" s="560"/>
      <c r="R311" s="560"/>
      <c r="S311" s="563">
        <f>SUM(S308:S310)</f>
      </c>
      <c r="T311" s="563">
        <f>SUM(T308:T310)</f>
      </c>
      <c r="U311" s="563">
        <f>SUM(U308:U310)</f>
      </c>
      <c r="V311" s="563">
        <f>SUM(V308:V310)</f>
      </c>
      <c r="W311" s="563">
        <f>SUM(W308:W310)</f>
      </c>
      <c r="X311" s="563">
        <f>SUM(X308:X310)</f>
      </c>
      <c r="Y311" s="563">
        <f>SUM(Y308:Y310)</f>
      </c>
    </row>
    <row r="312">
      <c r="A312" s="534"/>
      <c r="B312" s="535" t="s">
        <v>975</v>
      </c>
      <c r="C312" s="536" t="s">
        <v>953</v>
      </c>
      <c r="D312" s="594">
        <v>1088.24</v>
      </c>
      <c r="E312" s="519">
        <v>0</v>
      </c>
      <c r="F312" s="519">
        <v>0</v>
      </c>
      <c r="G312" s="595">
        <v>0</v>
      </c>
      <c r="H312" s="538">
        <f t="shared" si="13"/>
      </c>
      <c r="I312" s="538">
        <f t="shared" si="51"/>
      </c>
      <c r="J312" s="538">
        <f t="shared" si="104"/>
      </c>
      <c r="K312" s="539">
        <f t="shared" si="152"/>
      </c>
      <c r="L312" s="540">
        <f t="shared" si="246"/>
      </c>
      <c r="M312" s="541">
        <f t="shared" si="169"/>
      </c>
      <c r="N312" s="541">
        <f t="shared" si="265"/>
      </c>
      <c r="O312" s="541">
        <f t="shared" si="282"/>
      </c>
      <c r="P312" s="542">
        <f t="shared" si="29"/>
      </c>
      <c r="Q312" s="543" t="s">
        <v>952</v>
      </c>
      <c r="R312" s="544" t="s">
        <v>1005</v>
      </c>
      <c r="S312" s="575">
        <v>3253</v>
      </c>
      <c r="T312" s="575">
        <v>356</v>
      </c>
      <c r="U312" s="575">
        <v>481</v>
      </c>
      <c r="V312" s="575">
        <v>55</v>
      </c>
      <c r="W312" s="567">
        <v>0</v>
      </c>
      <c r="X312" s="567">
        <v>0</v>
      </c>
      <c r="Y312" s="577">
        <v>25</v>
      </c>
    </row>
    <row r="313">
      <c r="A313" s="534"/>
      <c r="B313" s="535" t="s">
        <v>975</v>
      </c>
      <c r="C313" s="552" t="s">
        <v>954</v>
      </c>
      <c r="D313" s="594">
        <v>1249.36</v>
      </c>
      <c r="E313" s="519">
        <v>1</v>
      </c>
      <c r="F313" s="519">
        <v>1</v>
      </c>
      <c r="G313" s="595">
        <v>1197.6000000000022</v>
      </c>
      <c r="H313" s="538">
        <f t="shared" si="13"/>
      </c>
      <c r="I313" s="538">
        <f t="shared" si="51"/>
      </c>
      <c r="J313" s="538">
        <f t="shared" si="104"/>
      </c>
      <c r="K313" s="539">
        <f t="shared" si="152"/>
      </c>
      <c r="L313" s="540">
        <f t="shared" si="246"/>
      </c>
      <c r="M313" s="541">
        <f t="shared" si="169"/>
      </c>
      <c r="N313" s="541">
        <f t="shared" si="265"/>
      </c>
      <c r="O313" s="541">
        <f t="shared" si="282"/>
      </c>
      <c r="P313" s="542">
        <f t="shared" si="29"/>
      </c>
      <c r="Q313" s="543" t="s">
        <v>952</v>
      </c>
      <c r="R313" s="544" t="s">
        <v>1005</v>
      </c>
      <c r="S313" s="575">
        <v>3329</v>
      </c>
      <c r="T313" s="575">
        <v>406</v>
      </c>
      <c r="U313" s="575">
        <v>572</v>
      </c>
      <c r="V313" s="575">
        <v>60</v>
      </c>
      <c r="W313" s="567">
        <v>3</v>
      </c>
      <c r="X313" s="567">
        <v>0</v>
      </c>
      <c r="Y313" s="577">
        <v>27</v>
      </c>
    </row>
    <row r="314">
      <c r="A314" s="534"/>
      <c r="B314" s="535" t="s">
        <v>975</v>
      </c>
      <c r="C314" s="536" t="s">
        <v>955</v>
      </c>
      <c r="D314" s="594">
        <v>1231.91</v>
      </c>
      <c r="E314" s="519">
        <v>1</v>
      </c>
      <c r="F314" s="519">
        <v>1</v>
      </c>
      <c r="G314" s="595">
        <v>402</v>
      </c>
      <c r="H314" s="538">
        <f t="shared" si="13"/>
      </c>
      <c r="I314" s="538">
        <f t="shared" si="51"/>
      </c>
      <c r="J314" s="538">
        <f t="shared" si="104"/>
      </c>
      <c r="K314" s="539">
        <f t="shared" si="152"/>
      </c>
      <c r="L314" s="540">
        <f t="shared" si="246"/>
      </c>
      <c r="M314" s="541">
        <f t="shared" si="169"/>
      </c>
      <c r="N314" s="541">
        <f t="shared" si="265"/>
      </c>
      <c r="O314" s="541">
        <f t="shared" si="282"/>
      </c>
      <c r="P314" s="542">
        <f t="shared" si="29"/>
      </c>
      <c r="Q314" s="543" t="s">
        <v>952</v>
      </c>
      <c r="R314" s="544" t="s">
        <v>1005</v>
      </c>
      <c r="S314" s="575">
        <v>3003</v>
      </c>
      <c r="T314" s="575">
        <v>334</v>
      </c>
      <c r="U314" s="575">
        <v>435</v>
      </c>
      <c r="V314" s="575">
        <v>51</v>
      </c>
      <c r="W314" s="567">
        <v>3</v>
      </c>
      <c r="X314" s="567">
        <v>0</v>
      </c>
      <c r="Y314" s="577">
        <v>20</v>
      </c>
    </row>
    <row r="315">
      <c r="A315" s="534"/>
      <c r="B315" s="535" t="s">
        <v>975</v>
      </c>
      <c r="C315" s="536" t="s">
        <v>956</v>
      </c>
      <c r="D315" s="594">
        <v>1732.82</v>
      </c>
      <c r="E315" s="519">
        <v>2</v>
      </c>
      <c r="F315" s="519">
        <v>2</v>
      </c>
      <c r="G315" s="595">
        <v>3350.7999999999993</v>
      </c>
      <c r="H315" s="538">
        <f t="shared" si="13"/>
      </c>
      <c r="I315" s="538">
        <f t="shared" si="51"/>
      </c>
      <c r="J315" s="538">
        <f t="shared" si="104"/>
      </c>
      <c r="K315" s="539">
        <f t="shared" si="152"/>
      </c>
      <c r="L315" s="540">
        <f t="shared" si="246"/>
      </c>
      <c r="M315" s="541">
        <f t="shared" si="169"/>
      </c>
      <c r="N315" s="541">
        <f t="shared" si="265"/>
      </c>
      <c r="O315" s="541">
        <f t="shared" si="282"/>
      </c>
      <c r="P315" s="542">
        <f t="shared" si="29"/>
      </c>
      <c r="Q315" s="543" t="s">
        <v>952</v>
      </c>
      <c r="R315" s="544" t="s">
        <v>1005</v>
      </c>
      <c r="S315" s="575">
        <v>6294</v>
      </c>
      <c r="T315" s="575">
        <v>620</v>
      </c>
      <c r="U315" s="575">
        <v>805</v>
      </c>
      <c r="V315" s="575">
        <v>82</v>
      </c>
      <c r="W315" s="567">
        <v>3</v>
      </c>
      <c r="X315" s="567">
        <v>0</v>
      </c>
      <c r="Y315" s="577">
        <v>31</v>
      </c>
    </row>
    <row customHeight="true" ht="18.452380952380953" r="316">
      <c r="A316" s="534"/>
      <c r="B316" s="535" t="s">
        <v>975</v>
      </c>
      <c r="C316" s="536" t="s">
        <v>957</v>
      </c>
      <c r="D316" s="594">
        <v>1990.32</v>
      </c>
      <c r="E316" s="519">
        <v>4</v>
      </c>
      <c r="F316" s="519">
        <v>1</v>
      </c>
      <c r="G316" s="595">
        <v>5422.8999999999905</v>
      </c>
      <c r="H316" s="538">
        <f t="shared" si="13"/>
      </c>
      <c r="I316" s="538">
        <f t="shared" si="51"/>
      </c>
      <c r="J316" s="538">
        <f t="shared" si="104"/>
      </c>
      <c r="K316" s="539">
        <f t="shared" si="152"/>
      </c>
      <c r="L316" s="540">
        <f t="shared" si="246"/>
      </c>
      <c r="M316" s="541">
        <f t="shared" si="169"/>
      </c>
      <c r="N316" s="541">
        <f t="shared" si="265"/>
      </c>
      <c r="O316" s="541">
        <f t="shared" si="282"/>
      </c>
      <c r="P316" s="542">
        <f t="shared" si="29"/>
      </c>
      <c r="Q316" s="543" t="s">
        <v>952</v>
      </c>
      <c r="R316" s="544" t="s">
        <v>1005</v>
      </c>
      <c r="S316" s="575">
        <v>4060</v>
      </c>
      <c r="T316" s="575">
        <v>487</v>
      </c>
      <c r="U316" s="575">
        <v>684</v>
      </c>
      <c r="V316" s="575">
        <v>62</v>
      </c>
      <c r="W316" s="567">
        <v>4</v>
      </c>
      <c r="X316" s="567">
        <v>1</v>
      </c>
      <c r="Y316" s="577">
        <v>21</v>
      </c>
    </row>
    <row r="317">
      <c r="A317" s="534"/>
      <c r="B317" s="554" t="s">
        <v>936</v>
      </c>
      <c r="C317" s="554"/>
      <c r="D317" s="555">
        <f>SUM(D312:D316)</f>
      </c>
      <c r="E317" s="555">
        <f>SUM(E312:E316)</f>
      </c>
      <c r="F317" s="555">
        <f>SUM(F312:F316)</f>
      </c>
      <c r="G317" s="555">
        <f>SUM(G312:G316)</f>
      </c>
      <c r="H317" s="556">
        <f t="shared" si="13"/>
      </c>
      <c r="I317" s="557">
        <f t="shared" si="51"/>
      </c>
      <c r="J317" s="558">
        <f t="shared" si="104"/>
      </c>
      <c r="K317" s="559">
        <f t="shared" si="152"/>
      </c>
      <c r="L317" s="560">
        <f t="shared" si="246"/>
      </c>
      <c r="M317" s="559">
        <f t="shared" si="169"/>
      </c>
      <c r="N317" s="559">
        <f t="shared" si="265"/>
      </c>
      <c r="O317" s="561">
        <f t="shared" si="282"/>
      </c>
      <c r="P317" s="562">
        <f t="shared" si="29"/>
      </c>
      <c r="Q317" s="560"/>
      <c r="R317" s="560"/>
      <c r="S317" s="563">
        <f>SUM(S312:S316)</f>
      </c>
      <c r="T317" s="563">
        <f>SUM(T312:T316)</f>
      </c>
      <c r="U317" s="563">
        <f>SUM(U312:U316)</f>
      </c>
      <c r="V317" s="563">
        <f>SUM(V312:V316)</f>
      </c>
      <c r="W317" s="563">
        <f>SUM(W312:W316)</f>
      </c>
      <c r="X317" s="563">
        <f>SUM(X312:X316)</f>
      </c>
      <c r="Y317" s="563">
        <f>SUM(Y312:Y316)</f>
      </c>
    </row>
    <row r="318">
      <c r="A318" s="534"/>
      <c r="B318" s="579" t="s">
        <v>958</v>
      </c>
      <c r="C318" s="579"/>
      <c r="D318" s="580">
        <f>D302+D307+D317+D311</f>
      </c>
      <c r="E318" s="583">
        <f>E302+E307+E317+E311</f>
      </c>
      <c r="F318" s="583">
        <f>F302+F307+F317+F311</f>
      </c>
      <c r="G318" s="580">
        <f>G302+G307+G311+G317</f>
      </c>
      <c r="H318" s="579">
        <f t="shared" si="13"/>
      </c>
      <c r="I318" s="579">
        <f t="shared" si="51"/>
      </c>
      <c r="J318" s="579">
        <f t="shared" si="104"/>
      </c>
      <c r="K318" s="581">
        <f t="shared" si="152"/>
      </c>
      <c r="L318" s="579">
        <f t="shared" si="246"/>
      </c>
      <c r="M318" s="581">
        <f t="shared" si="169"/>
      </c>
      <c r="N318" s="581">
        <f t="shared" si="265"/>
      </c>
      <c r="O318" s="581">
        <f t="shared" si="282"/>
      </c>
      <c r="P318" s="579">
        <f t="shared" si="29"/>
      </c>
      <c r="Q318" s="582"/>
      <c r="R318" s="582"/>
      <c r="S318" s="583">
        <f>S302+S307+S317+S311</f>
      </c>
      <c r="T318" s="583">
        <f>T302+T307+T317+T311</f>
      </c>
      <c r="U318" s="583">
        <f>U302+U307+U317+U311</f>
      </c>
      <c r="V318" s="583">
        <f>V302+V307+V317+V311</f>
      </c>
      <c r="W318" s="583">
        <f>W302+W307+W317+W311</f>
      </c>
      <c r="X318" s="583">
        <f>X302+X307+X317+X311</f>
      </c>
      <c r="Y318" s="583">
        <f>Y302+Y307+Y317+Y311</f>
      </c>
    </row>
    <row r="319">
      <c r="A319" s="515" t="s">
        <v>882</v>
      </c>
      <c r="B319" s="515"/>
      <c r="C319" s="515"/>
      <c r="D319" s="516" t="s">
        <v>883</v>
      </c>
      <c r="E319" s="516"/>
      <c r="F319" s="516"/>
      <c r="G319" s="516"/>
      <c r="H319" s="516"/>
      <c r="I319" s="516"/>
      <c r="J319" s="516"/>
      <c r="K319" s="517" t="s">
        <v>884</v>
      </c>
      <c r="L319" s="517"/>
      <c r="M319" s="517"/>
      <c r="N319" s="517"/>
      <c r="O319" s="517"/>
      <c r="P319" s="517"/>
      <c r="Q319" s="517"/>
      <c r="R319" s="517"/>
      <c r="S319" s="589" t="s">
        <v>885</v>
      </c>
      <c r="T319" s="589"/>
      <c r="U319" s="589"/>
      <c r="V319" s="589"/>
      <c r="W319" s="589"/>
      <c r="X319" s="589"/>
      <c r="Y319" s="589"/>
      <c r="AA319" s="520" t="s">
        <v>1008</v>
      </c>
      <c r="AB319" s="520"/>
      <c r="AC319" s="520"/>
      <c r="AD319" s="520"/>
      <c r="AE319" s="520"/>
      <c r="AF319" s="520"/>
      <c r="AG319" s="520"/>
      <c r="AH319" s="520"/>
      <c r="AI319" s="520"/>
      <c r="AJ319" s="520"/>
      <c r="AK319" s="520"/>
    </row>
    <row r="320">
      <c r="A320" s="521" t="s">
        <v>887</v>
      </c>
      <c r="B320" s="521" t="s">
        <v>888</v>
      </c>
      <c r="C320" s="521" t="s">
        <v>889</v>
      </c>
      <c r="D320" s="522" t="s">
        <v>890</v>
      </c>
      <c r="E320" s="523" t="s">
        <v>891</v>
      </c>
      <c r="F320" s="524" t="s">
        <v>892</v>
      </c>
      <c r="G320" s="522" t="s">
        <v>893</v>
      </c>
      <c r="H320" s="525" t="s">
        <v>894</v>
      </c>
      <c r="I320" s="526" t="s">
        <v>895</v>
      </c>
      <c r="J320" s="522" t="s">
        <v>896</v>
      </c>
      <c r="K320" s="527" t="s">
        <v>897</v>
      </c>
      <c r="L320" s="528" t="s">
        <v>898</v>
      </c>
      <c r="M320" s="527" t="s">
        <v>899</v>
      </c>
      <c r="N320" s="527" t="s">
        <v>900</v>
      </c>
      <c r="O320" s="529" t="s">
        <v>901</v>
      </c>
      <c r="P320" s="529" t="s">
        <v>902</v>
      </c>
      <c r="Q320" s="530" t="s">
        <v>903</v>
      </c>
      <c r="R320" s="530" t="s">
        <v>904</v>
      </c>
      <c r="S320" s="585" t="s">
        <v>905</v>
      </c>
      <c r="T320" s="585" t="s">
        <v>906</v>
      </c>
      <c r="U320" s="585" t="s">
        <v>907</v>
      </c>
      <c r="V320" s="585" t="s">
        <v>908</v>
      </c>
      <c r="W320" s="585" t="s">
        <v>909</v>
      </c>
      <c r="X320" s="585" t="s">
        <v>910</v>
      </c>
      <c r="Y320" s="586" t="s">
        <v>911</v>
      </c>
      <c r="AA320" s="533" t="s">
        <v>912</v>
      </c>
      <c r="AB320" s="533" t="s">
        <v>913</v>
      </c>
      <c r="AC320" s="533" t="s">
        <v>914</v>
      </c>
      <c r="AD320" s="533" t="s">
        <v>915</v>
      </c>
      <c r="AE320" s="533" t="s">
        <v>916</v>
      </c>
      <c r="AF320" s="533" t="s">
        <v>917</v>
      </c>
      <c r="AG320" s="533" t="s">
        <v>896</v>
      </c>
      <c r="AH320" s="533" t="s">
        <v>918</v>
      </c>
      <c r="AI320" s="533" t="s">
        <v>894</v>
      </c>
      <c r="AJ320" s="533" t="s">
        <v>919</v>
      </c>
      <c r="AK320" s="533"/>
    </row>
    <row r="321">
      <c r="A321" s="534" t="s">
        <v>1009</v>
      </c>
      <c r="B321" s="535" t="s">
        <v>930</v>
      </c>
      <c r="C321" s="536" t="s">
        <v>922</v>
      </c>
      <c r="D321" s="535">
        <v>1237.1</v>
      </c>
      <c r="E321" s="519">
        <v>0</v>
      </c>
      <c r="F321" s="519">
        <v>0</v>
      </c>
      <c r="G321" s="578">
        <v>0</v>
      </c>
      <c r="H321" s="538">
        <f t="shared" ref="H321:H341" si="14">G321/D321</f>
      </c>
      <c r="I321" s="538">
        <f t="shared" ref="I321:I341" si="52">D321/E321</f>
      </c>
      <c r="J321" s="538">
        <f t="shared" ref="J321:J341" si="105">G321/E321</f>
      </c>
      <c r="K321" s="539">
        <f t="shared" ref="K321:K341" si="153">T321/S321</f>
      </c>
      <c r="L321" s="540">
        <f t="shared" ref="L321:L341" si="247">D321/U321</f>
      </c>
      <c r="M321" s="541">
        <f t="shared" ref="M321:M341" si="170">V321/U321</f>
      </c>
      <c r="N321" s="541">
        <f t="shared" ref="N321:N341" si="266">E321/W321</f>
      </c>
      <c r="O321" s="541">
        <f t="shared" ref="O321:O341" si="283">X321/E321</f>
      </c>
      <c r="P321" s="542">
        <f t="shared" ref="P321:P341" si="30">(Y321*1000)/D321</f>
      </c>
      <c r="Q321" s="543" t="s">
        <v>923</v>
      </c>
      <c r="R321" s="544" t="s">
        <v>969</v>
      </c>
      <c r="S321" s="545">
        <v>2851</v>
      </c>
      <c r="T321" s="545">
        <v>447</v>
      </c>
      <c r="U321" s="545">
        <v>580</v>
      </c>
      <c r="V321" s="545">
        <v>59</v>
      </c>
      <c r="W321" s="545">
        <v>2</v>
      </c>
      <c r="X321" s="545">
        <v>0</v>
      </c>
      <c r="Y321" s="574">
        <v>28</v>
      </c>
      <c r="AA321" s="546" t="s">
        <v>930</v>
      </c>
      <c r="AB321" s="547" t="s">
        <v>974</v>
      </c>
      <c r="AC321" s="546">
        <v>4</v>
      </c>
      <c r="AD321" s="546">
        <v>5083.71</v>
      </c>
      <c r="AE321" s="546">
        <v>12953.699999999997</v>
      </c>
      <c r="AF321" s="546">
        <v>8</v>
      </c>
      <c r="AG321" s="549">
        <f t="shared" ref="AG321:AG325" si="84">AE321/AF321</f>
      </c>
      <c r="AH321" s="549">
        <f t="shared" ref="AH321:AH325" si="137">AD321/AF321</f>
      </c>
      <c r="AI321" s="549">
        <f t="shared" ref="AI321:AI325" si="202">AE321/AD321</f>
      </c>
      <c r="AJ321" s="548">
        <f t="shared" ref="AJ321:AJ325" si="231">AD321/AC321</f>
      </c>
      <c r="AK321" s="548"/>
    </row>
    <row r="322">
      <c r="A322" s="534"/>
      <c r="B322" s="535" t="s">
        <v>930</v>
      </c>
      <c r="C322" s="535" t="s">
        <v>926</v>
      </c>
      <c r="D322" s="535">
        <v>871.13</v>
      </c>
      <c r="E322" s="519">
        <v>0</v>
      </c>
      <c r="F322" s="519">
        <v>0</v>
      </c>
      <c r="G322" s="574">
        <v>0</v>
      </c>
      <c r="H322" s="538">
        <f t="shared" si="14"/>
      </c>
      <c r="I322" s="538">
        <f t="shared" si="52"/>
      </c>
      <c r="J322" s="538">
        <f t="shared" si="105"/>
      </c>
      <c r="K322" s="539">
        <f t="shared" si="153"/>
      </c>
      <c r="L322" s="540">
        <f t="shared" si="247"/>
      </c>
      <c r="M322" s="541">
        <f t="shared" si="170"/>
      </c>
      <c r="N322" s="541">
        <f t="shared" si="266"/>
      </c>
      <c r="O322" s="541">
        <f t="shared" si="283"/>
      </c>
      <c r="P322" s="542">
        <f t="shared" si="30"/>
      </c>
      <c r="Q322" s="543" t="s">
        <v>923</v>
      </c>
      <c r="R322" s="544" t="s">
        <v>969</v>
      </c>
      <c r="S322" s="545">
        <v>2120</v>
      </c>
      <c r="T322" s="545">
        <v>309</v>
      </c>
      <c r="U322" s="545">
        <v>424</v>
      </c>
      <c r="V322" s="545">
        <v>54</v>
      </c>
      <c r="W322" s="545">
        <v>0</v>
      </c>
      <c r="X322" s="545">
        <v>0</v>
      </c>
      <c r="Y322" s="574">
        <v>20</v>
      </c>
      <c r="AA322" s="546" t="s">
        <v>966</v>
      </c>
      <c r="AB322" s="547" t="s">
        <v>976</v>
      </c>
      <c r="AC322" s="546">
        <v>4</v>
      </c>
      <c r="AD322" s="546">
        <v>7938.15</v>
      </c>
      <c r="AE322" s="546">
        <v>12809.7</v>
      </c>
      <c r="AF322" s="546">
        <v>11</v>
      </c>
      <c r="AG322" s="549">
        <f t="shared" si="84"/>
      </c>
      <c r="AH322" s="549">
        <f t="shared" si="137"/>
      </c>
      <c r="AI322" s="549">
        <f t="shared" si="202"/>
      </c>
      <c r="AJ322" s="548">
        <f t="shared" si="231"/>
      </c>
      <c r="AK322" s="548"/>
    </row>
    <row r="323">
      <c r="A323" s="534"/>
      <c r="B323" s="535" t="s">
        <v>930</v>
      </c>
      <c r="C323" s="535" t="s">
        <v>929</v>
      </c>
      <c r="D323" s="535">
        <v>942.33</v>
      </c>
      <c r="E323" s="519">
        <v>2</v>
      </c>
      <c r="F323" s="519">
        <v>1</v>
      </c>
      <c r="G323" s="584">
        <v>2141.3</v>
      </c>
      <c r="H323" s="538">
        <f t="shared" si="14"/>
      </c>
      <c r="I323" s="538">
        <f t="shared" si="52"/>
      </c>
      <c r="J323" s="538">
        <f t="shared" si="105"/>
      </c>
      <c r="K323" s="539">
        <f t="shared" si="153"/>
      </c>
      <c r="L323" s="540">
        <f t="shared" si="247"/>
      </c>
      <c r="M323" s="541">
        <f t="shared" si="170"/>
      </c>
      <c r="N323" s="541">
        <f t="shared" si="266"/>
      </c>
      <c r="O323" s="541">
        <f t="shared" si="283"/>
      </c>
      <c r="P323" s="542">
        <f t="shared" si="30"/>
      </c>
      <c r="Q323" s="543" t="s">
        <v>923</v>
      </c>
      <c r="R323" s="544" t="s">
        <v>969</v>
      </c>
      <c r="S323" s="545">
        <v>2027</v>
      </c>
      <c r="T323" s="545">
        <v>221</v>
      </c>
      <c r="U323" s="545">
        <v>309</v>
      </c>
      <c r="V323" s="545">
        <v>35</v>
      </c>
      <c r="W323" s="545">
        <v>1</v>
      </c>
      <c r="X323" s="545">
        <v>1</v>
      </c>
      <c r="Y323" s="574">
        <v>20</v>
      </c>
      <c r="AA323" s="546" t="s">
        <v>975</v>
      </c>
      <c r="AB323" s="547" t="s">
        <v>981</v>
      </c>
      <c r="AC323" s="546">
        <v>4</v>
      </c>
      <c r="AD323" s="546">
        <v>8772.27</v>
      </c>
      <c r="AE323" s="546">
        <v>13434</v>
      </c>
      <c r="AF323" s="546">
        <v>11</v>
      </c>
      <c r="AG323" s="549">
        <f t="shared" si="84"/>
      </c>
      <c r="AH323" s="549">
        <f t="shared" si="137"/>
      </c>
      <c r="AI323" s="549">
        <f t="shared" si="202"/>
      </c>
      <c r="AJ323" s="548">
        <f t="shared" si="231"/>
      </c>
      <c r="AK323" s="548"/>
    </row>
    <row r="324">
      <c r="A324" s="534"/>
      <c r="B324" s="535" t="s">
        <v>930</v>
      </c>
      <c r="C324" s="535" t="s">
        <v>932</v>
      </c>
      <c r="D324" s="535">
        <v>2033.15</v>
      </c>
      <c r="E324" s="519">
        <v>6</v>
      </c>
      <c r="F324" s="519">
        <v>5</v>
      </c>
      <c r="G324" s="584">
        <v>10812.399999999998</v>
      </c>
      <c r="H324" s="538">
        <f t="shared" si="14"/>
      </c>
      <c r="I324" s="538">
        <f t="shared" si="52"/>
      </c>
      <c r="J324" s="538">
        <f t="shared" si="105"/>
      </c>
      <c r="K324" s="539">
        <f t="shared" si="153"/>
      </c>
      <c r="L324" s="540">
        <f t="shared" si="247"/>
      </c>
      <c r="M324" s="541">
        <f t="shared" si="170"/>
      </c>
      <c r="N324" s="541">
        <f t="shared" si="266"/>
      </c>
      <c r="O324" s="541">
        <f t="shared" si="283"/>
      </c>
      <c r="P324" s="542">
        <f t="shared" si="30"/>
      </c>
      <c r="Q324" s="543" t="s">
        <v>923</v>
      </c>
      <c r="R324" s="544" t="s">
        <v>969</v>
      </c>
      <c r="S324" s="545">
        <v>3311</v>
      </c>
      <c r="T324" s="545">
        <v>362</v>
      </c>
      <c r="U324" s="545">
        <v>462</v>
      </c>
      <c r="V324" s="545">
        <v>57</v>
      </c>
      <c r="W324" s="545">
        <v>8</v>
      </c>
      <c r="X324" s="567">
        <v>1</v>
      </c>
      <c r="Y324" s="574">
        <v>39</v>
      </c>
      <c r="AA324" s="546" t="s">
        <v>927</v>
      </c>
      <c r="AB324" s="547" t="s">
        <v>968</v>
      </c>
      <c r="AC324" s="546">
        <v>4</v>
      </c>
      <c r="AD324" s="546">
        <v>9252.15</v>
      </c>
      <c r="AE324" s="546">
        <v>15294.9</v>
      </c>
      <c r="AF324" s="546">
        <v>10</v>
      </c>
      <c r="AG324" s="549">
        <f t="shared" si="84"/>
      </c>
      <c r="AH324" s="549">
        <f t="shared" si="137"/>
      </c>
      <c r="AI324" s="549">
        <f t="shared" si="202"/>
      </c>
      <c r="AJ324" s="548">
        <f t="shared" si="231"/>
      </c>
      <c r="AK324" s="548"/>
    </row>
    <row r="325">
      <c r="A325" s="534"/>
      <c r="B325" s="554" t="s">
        <v>936</v>
      </c>
      <c r="C325" s="554"/>
      <c r="D325" s="555">
        <f>SUM(D321:D324)</f>
      </c>
      <c r="E325" s="592">
        <f>SUM(E321:E324)</f>
      </c>
      <c r="F325" s="592">
        <f>SUM(F321:F324)</f>
      </c>
      <c r="G325" s="555">
        <f>SUM(G321:G324)</f>
      </c>
      <c r="H325" s="556">
        <f t="shared" si="14"/>
      </c>
      <c r="I325" s="557">
        <f t="shared" si="52"/>
      </c>
      <c r="J325" s="558">
        <f t="shared" si="105"/>
      </c>
      <c r="K325" s="559">
        <f t="shared" si="153"/>
      </c>
      <c r="L325" s="560">
        <f t="shared" si="247"/>
      </c>
      <c r="M325" s="559">
        <f t="shared" si="170"/>
      </c>
      <c r="N325" s="559">
        <f t="shared" si="266"/>
      </c>
      <c r="O325" s="561">
        <f t="shared" si="283"/>
      </c>
      <c r="P325" s="562">
        <f t="shared" si="30"/>
      </c>
      <c r="Q325" s="560"/>
      <c r="R325" s="560"/>
      <c r="S325" s="563">
        <f>SUM(S321:S324)</f>
      </c>
      <c r="T325" s="563">
        <f>SUM(T321:T324)</f>
      </c>
      <c r="U325" s="563">
        <f>SUM(U321:U324)</f>
      </c>
      <c r="V325" s="563">
        <f>SUM(V321:V324)</f>
      </c>
      <c r="W325" s="563">
        <f>SUM(W321:W324)</f>
      </c>
      <c r="X325" s="563">
        <f>SUM(X321:X324)</f>
      </c>
      <c r="Y325" s="563">
        <f>SUM(Y321:Y324)</f>
      </c>
      <c r="AA325" s="533" t="s">
        <v>933</v>
      </c>
      <c r="AB325" s="533"/>
      <c r="AC325" s="533">
        <f>SUM(AC321:AC324)</f>
      </c>
      <c r="AD325" s="533">
        <f>SUM(AD321:AD324)</f>
      </c>
      <c r="AE325" s="533">
        <f>SUM(AE321:AE324)</f>
      </c>
      <c r="AF325" s="533">
        <f>SUM(AF321:AF324)</f>
      </c>
      <c r="AG325" s="551">
        <f t="shared" si="84"/>
      </c>
      <c r="AH325" s="551">
        <f t="shared" si="137"/>
      </c>
      <c r="AI325" s="551">
        <f t="shared" si="202"/>
      </c>
      <c r="AJ325" s="550">
        <f t="shared" si="231"/>
      </c>
      <c r="AK325" s="550"/>
    </row>
    <row r="326">
      <c r="A326" s="534"/>
      <c r="B326" s="535" t="s">
        <v>966</v>
      </c>
      <c r="C326" s="552" t="s">
        <v>934</v>
      </c>
      <c r="D326" s="535">
        <v>1645.61</v>
      </c>
      <c r="E326" s="519">
        <v>2</v>
      </c>
      <c r="F326" s="519">
        <v>1</v>
      </c>
      <c r="G326" s="574">
        <v>4041.600000000002</v>
      </c>
      <c r="H326" s="538">
        <f t="shared" si="14"/>
      </c>
      <c r="I326" s="538">
        <f t="shared" si="52"/>
      </c>
      <c r="J326" s="538">
        <f t="shared" si="105"/>
      </c>
      <c r="K326" s="539">
        <f t="shared" si="153"/>
      </c>
      <c r="L326" s="540">
        <f t="shared" si="247"/>
      </c>
      <c r="M326" s="541">
        <f t="shared" si="170"/>
      </c>
      <c r="N326" s="541">
        <f t="shared" si="266"/>
      </c>
      <c r="O326" s="541">
        <f t="shared" si="283"/>
      </c>
      <c r="P326" s="542">
        <f t="shared" si="30"/>
      </c>
      <c r="Q326" s="543" t="s">
        <v>923</v>
      </c>
      <c r="R326" s="544" t="s">
        <v>969</v>
      </c>
      <c r="S326" s="545">
        <v>3925</v>
      </c>
      <c r="T326" s="545">
        <v>500</v>
      </c>
      <c r="U326" s="545">
        <v>604</v>
      </c>
      <c r="V326" s="545">
        <v>79</v>
      </c>
      <c r="W326" s="567">
        <v>1</v>
      </c>
      <c r="X326" s="567">
        <v>0</v>
      </c>
      <c r="Y326" s="577">
        <v>51</v>
      </c>
      <c r="AA326" s="553" t="s">
        <v>935</v>
      </c>
      <c r="AB326" s="553"/>
      <c r="AC326" s="553"/>
      <c r="AD326" s="553"/>
      <c r="AE326" s="553"/>
      <c r="AF326" s="553"/>
      <c r="AG326" s="553"/>
      <c r="AH326" s="553"/>
      <c r="AI326" s="553"/>
      <c r="AJ326" s="553"/>
      <c r="AK326" s="553"/>
    </row>
    <row r="327">
      <c r="A327" s="534"/>
      <c r="B327" s="535" t="s">
        <v>966</v>
      </c>
      <c r="C327" s="566" t="s">
        <v>945</v>
      </c>
      <c r="D327" s="535">
        <v>1918.75</v>
      </c>
      <c r="E327" s="519">
        <v>3</v>
      </c>
      <c r="F327" s="519">
        <v>1</v>
      </c>
      <c r="G327" s="593">
        <v>1776.5</v>
      </c>
      <c r="H327" s="538">
        <f t="shared" si="14"/>
      </c>
      <c r="I327" s="538">
        <f t="shared" si="52"/>
      </c>
      <c r="J327" s="538">
        <f t="shared" si="105"/>
      </c>
      <c r="K327" s="539">
        <f t="shared" si="153"/>
      </c>
      <c r="L327" s="540">
        <f t="shared" si="247"/>
      </c>
      <c r="M327" s="541">
        <f t="shared" si="170"/>
      </c>
      <c r="N327" s="541">
        <f t="shared" si="266"/>
      </c>
      <c r="O327" s="541">
        <f t="shared" si="283"/>
      </c>
      <c r="P327" s="542">
        <f t="shared" si="30"/>
      </c>
      <c r="Q327" s="543" t="s">
        <v>923</v>
      </c>
      <c r="R327" s="544" t="s">
        <v>969</v>
      </c>
      <c r="S327" s="545">
        <v>4658</v>
      </c>
      <c r="T327" s="545">
        <v>522</v>
      </c>
      <c r="U327" s="545">
        <v>652</v>
      </c>
      <c r="V327" s="545">
        <v>77</v>
      </c>
      <c r="W327" s="567">
        <v>2</v>
      </c>
      <c r="X327" s="567">
        <v>1</v>
      </c>
      <c r="Y327" s="577">
        <v>27</v>
      </c>
      <c r="AA327" s="564" t="s">
        <v>915</v>
      </c>
      <c r="AB327" s="564" t="s">
        <v>937</v>
      </c>
      <c r="AC327" s="564" t="s">
        <v>938</v>
      </c>
      <c r="AD327" s="564" t="s">
        <v>939</v>
      </c>
      <c r="AE327" s="564" t="s">
        <v>940</v>
      </c>
      <c r="AF327" s="564" t="s">
        <v>941</v>
      </c>
      <c r="AG327" s="564" t="s">
        <v>942</v>
      </c>
      <c r="AH327" s="565" t="s">
        <v>910</v>
      </c>
      <c r="AI327" s="565" t="s">
        <v>943</v>
      </c>
      <c r="AJ327" s="565" t="s">
        <v>944</v>
      </c>
      <c r="AK327" s="565" t="s">
        <v>914</v>
      </c>
    </row>
    <row r="328">
      <c r="A328" s="534"/>
      <c r="B328" s="535" t="s">
        <v>966</v>
      </c>
      <c r="C328" s="566" t="s">
        <v>946</v>
      </c>
      <c r="D328" s="535">
        <v>1928.37</v>
      </c>
      <c r="E328" s="519">
        <v>3</v>
      </c>
      <c r="F328" s="519">
        <v>3</v>
      </c>
      <c r="G328" s="584">
        <v>4739.200000000001</v>
      </c>
      <c r="H328" s="538">
        <f t="shared" si="14"/>
      </c>
      <c r="I328" s="538">
        <f t="shared" si="52"/>
      </c>
      <c r="J328" s="538">
        <f t="shared" si="105"/>
      </c>
      <c r="K328" s="539">
        <f t="shared" si="153"/>
      </c>
      <c r="L328" s="540">
        <f t="shared" si="247"/>
      </c>
      <c r="M328" s="541">
        <f t="shared" si="170"/>
      </c>
      <c r="N328" s="541">
        <f t="shared" si="266"/>
      </c>
      <c r="O328" s="541">
        <f t="shared" si="283"/>
      </c>
      <c r="P328" s="542">
        <f t="shared" si="30"/>
      </c>
      <c r="Q328" s="543" t="s">
        <v>923</v>
      </c>
      <c r="R328" s="544" t="s">
        <v>969</v>
      </c>
      <c r="S328" s="545">
        <v>4307</v>
      </c>
      <c r="T328" s="545">
        <v>451</v>
      </c>
      <c r="U328" s="545">
        <v>566</v>
      </c>
      <c r="V328" s="545">
        <v>59</v>
      </c>
      <c r="W328" s="567">
        <v>4</v>
      </c>
      <c r="X328" s="567">
        <v>0</v>
      </c>
      <c r="Y328" s="577">
        <v>25</v>
      </c>
      <c r="AA328" s="568">
        <f>SUM(AD321:AD324)</f>
      </c>
      <c r="AB328" s="568">
        <f>SUM(AE321:AE324)</f>
      </c>
      <c r="AC328" s="569">
        <f>AB328/((AK328*300)+AA328)</f>
      </c>
      <c r="AD328" s="570">
        <f>AA328/AJ328</f>
      </c>
      <c r="AE328" s="569">
        <f>AB328/AJ328</f>
      </c>
      <c r="AF328" s="571">
        <f>AJ328/AI328</f>
      </c>
      <c r="AG328" s="571">
        <f>AH328/AJ328</f>
      </c>
      <c r="AH328" s="572">
        <v>5</v>
      </c>
      <c r="AI328" s="572">
        <v>60</v>
      </c>
      <c r="AJ328" s="572">
        <f>AF325</f>
      </c>
      <c r="AK328" s="573">
        <f>AC325</f>
      </c>
    </row>
    <row r="329">
      <c r="A329" s="534"/>
      <c r="B329" s="535" t="s">
        <v>966</v>
      </c>
      <c r="C329" s="566" t="s">
        <v>947</v>
      </c>
      <c r="D329" s="535">
        <v>2445.42</v>
      </c>
      <c r="E329" s="519">
        <v>3</v>
      </c>
      <c r="F329" s="519">
        <v>1</v>
      </c>
      <c r="G329" s="574">
        <v>2252.399999999998</v>
      </c>
      <c r="H329" s="538">
        <f t="shared" si="14"/>
      </c>
      <c r="I329" s="538">
        <f t="shared" si="52"/>
      </c>
      <c r="J329" s="538">
        <f t="shared" si="105"/>
      </c>
      <c r="K329" s="539">
        <f t="shared" si="153"/>
      </c>
      <c r="L329" s="540">
        <f t="shared" si="247"/>
      </c>
      <c r="M329" s="541">
        <f t="shared" si="170"/>
      </c>
      <c r="N329" s="541">
        <f t="shared" si="266"/>
      </c>
      <c r="O329" s="541">
        <f t="shared" si="283"/>
      </c>
      <c r="P329" s="542">
        <f t="shared" si="30"/>
      </c>
      <c r="Q329" s="543" t="s">
        <v>923</v>
      </c>
      <c r="R329" s="544" t="s">
        <v>969</v>
      </c>
      <c r="S329" s="545">
        <v>4803</v>
      </c>
      <c r="T329" s="545">
        <v>525</v>
      </c>
      <c r="U329" s="545">
        <v>640</v>
      </c>
      <c r="V329" s="545">
        <v>74</v>
      </c>
      <c r="W329" s="567">
        <v>5</v>
      </c>
      <c r="X329" s="567">
        <v>0</v>
      </c>
      <c r="Y329" s="577">
        <v>36</v>
      </c>
    </row>
    <row r="330">
      <c r="A330" s="534"/>
      <c r="B330" s="554" t="s">
        <v>936</v>
      </c>
      <c r="C330" s="554"/>
      <c r="D330" s="555">
        <f>SUM(D326:D329)</f>
      </c>
      <c r="E330" s="592">
        <f>SUM(E326:E329)</f>
      </c>
      <c r="F330" s="592">
        <f>SUM(F326:F329)</f>
      </c>
      <c r="G330" s="555">
        <f>SUM(G326:G329)</f>
      </c>
      <c r="H330" s="556">
        <f t="shared" si="14"/>
      </c>
      <c r="I330" s="557">
        <f t="shared" si="52"/>
      </c>
      <c r="J330" s="558">
        <f t="shared" si="105"/>
      </c>
      <c r="K330" s="559">
        <f t="shared" si="153"/>
      </c>
      <c r="L330" s="560">
        <f t="shared" si="247"/>
      </c>
      <c r="M330" s="559">
        <f t="shared" si="170"/>
      </c>
      <c r="N330" s="559">
        <f t="shared" si="266"/>
      </c>
      <c r="O330" s="561">
        <f t="shared" si="283"/>
      </c>
      <c r="P330" s="562">
        <f t="shared" si="30"/>
      </c>
      <c r="Q330" s="560"/>
      <c r="R330" s="560"/>
      <c r="S330" s="563">
        <f>SUM(S326:S329)</f>
      </c>
      <c r="T330" s="563">
        <f>SUM(T326:T329)</f>
      </c>
      <c r="U330" s="563">
        <f>SUM(U326:U329)</f>
      </c>
      <c r="V330" s="563">
        <f>SUM(V326:V329)</f>
      </c>
      <c r="W330" s="563">
        <f>SUM(W326:W329)</f>
      </c>
      <c r="X330" s="563">
        <f>SUM(X326:X329)</f>
      </c>
      <c r="Y330" s="563">
        <f>SUM(Y326:Y329)</f>
      </c>
    </row>
    <row r="331">
      <c r="A331" s="534"/>
      <c r="B331" s="535" t="s">
        <v>975</v>
      </c>
      <c r="C331" s="566" t="s">
        <v>948</v>
      </c>
      <c r="D331" s="594">
        <v>2011.85</v>
      </c>
      <c r="E331" s="519">
        <v>3</v>
      </c>
      <c r="F331" s="519">
        <v>1</v>
      </c>
      <c r="G331" s="595">
        <v>1958.4</v>
      </c>
      <c r="H331" s="538">
        <f t="shared" si="14"/>
      </c>
      <c r="I331" s="538">
        <f t="shared" si="52"/>
      </c>
      <c r="J331" s="538">
        <f t="shared" si="105"/>
      </c>
      <c r="K331" s="539">
        <f t="shared" si="153"/>
      </c>
      <c r="L331" s="540">
        <f t="shared" si="247"/>
      </c>
      <c r="M331" s="541">
        <f t="shared" si="170"/>
      </c>
      <c r="N331" s="541">
        <f t="shared" si="266"/>
      </c>
      <c r="O331" s="541">
        <f t="shared" si="283"/>
      </c>
      <c r="P331" s="542">
        <f t="shared" si="30"/>
      </c>
      <c r="Q331" s="543" t="s">
        <v>923</v>
      </c>
      <c r="R331" s="544" t="s">
        <v>949</v>
      </c>
      <c r="S331" s="575">
        <v>4268</v>
      </c>
      <c r="T331" s="575">
        <v>455</v>
      </c>
      <c r="U331" s="575">
        <v>539</v>
      </c>
      <c r="V331" s="575">
        <v>63</v>
      </c>
      <c r="W331" s="567">
        <v>5</v>
      </c>
      <c r="X331" s="567">
        <v>0</v>
      </c>
      <c r="Y331" s="577">
        <v>33</v>
      </c>
    </row>
    <row r="332">
      <c r="A332" s="534"/>
      <c r="B332" s="535" t="s">
        <v>975</v>
      </c>
      <c r="C332" s="552" t="s">
        <v>950</v>
      </c>
      <c r="D332" s="594">
        <v>1715.12</v>
      </c>
      <c r="E332" s="519">
        <v>4</v>
      </c>
      <c r="F332" s="519">
        <v>1</v>
      </c>
      <c r="G332" s="595">
        <v>7488</v>
      </c>
      <c r="H332" s="538">
        <f t="shared" si="14"/>
      </c>
      <c r="I332" s="538">
        <f t="shared" si="52"/>
      </c>
      <c r="J332" s="538">
        <f t="shared" si="105"/>
      </c>
      <c r="K332" s="539">
        <f t="shared" si="153"/>
      </c>
      <c r="L332" s="540">
        <f t="shared" si="247"/>
      </c>
      <c r="M332" s="541">
        <f t="shared" si="170"/>
      </c>
      <c r="N332" s="541">
        <f t="shared" si="266"/>
      </c>
      <c r="O332" s="541">
        <f t="shared" si="283"/>
      </c>
      <c r="P332" s="542">
        <f t="shared" si="30"/>
      </c>
      <c r="Q332" s="543" t="s">
        <v>923</v>
      </c>
      <c r="R332" s="544" t="s">
        <v>949</v>
      </c>
      <c r="S332" s="575">
        <v>4166</v>
      </c>
      <c r="T332" s="575">
        <v>372</v>
      </c>
      <c r="U332" s="575">
        <v>471</v>
      </c>
      <c r="V332" s="575">
        <v>34</v>
      </c>
      <c r="W332" s="567">
        <v>6</v>
      </c>
      <c r="X332" s="567">
        <v>1</v>
      </c>
      <c r="Y332" s="577">
        <v>18</v>
      </c>
    </row>
    <row r="333">
      <c r="A333" s="534"/>
      <c r="B333" s="535" t="s">
        <v>975</v>
      </c>
      <c r="C333" s="552" t="s">
        <v>951</v>
      </c>
      <c r="D333" s="594">
        <v>2478.57</v>
      </c>
      <c r="E333" s="519">
        <v>2</v>
      </c>
      <c r="F333" s="519">
        <v>2</v>
      </c>
      <c r="G333" s="595">
        <v>1791.6</v>
      </c>
      <c r="H333" s="538">
        <f t="shared" si="14"/>
      </c>
      <c r="I333" s="538">
        <f t="shared" si="52"/>
      </c>
      <c r="J333" s="538">
        <f t="shared" si="105"/>
      </c>
      <c r="K333" s="539">
        <f t="shared" si="153"/>
      </c>
      <c r="L333" s="540">
        <f t="shared" si="247"/>
      </c>
      <c r="M333" s="541">
        <f t="shared" si="170"/>
      </c>
      <c r="N333" s="541">
        <f t="shared" si="266"/>
      </c>
      <c r="O333" s="541">
        <f t="shared" si="283"/>
      </c>
      <c r="P333" s="542">
        <f t="shared" si="30"/>
      </c>
      <c r="Q333" s="543" t="s">
        <v>923</v>
      </c>
      <c r="R333" s="544" t="s">
        <v>949</v>
      </c>
      <c r="S333" s="575">
        <v>5925</v>
      </c>
      <c r="T333" s="575">
        <v>474</v>
      </c>
      <c r="U333" s="575">
        <v>579</v>
      </c>
      <c r="V333" s="575">
        <v>84</v>
      </c>
      <c r="W333" s="567">
        <v>3</v>
      </c>
      <c r="X333" s="567">
        <v>0</v>
      </c>
      <c r="Y333" s="577">
        <v>31</v>
      </c>
    </row>
    <row r="334">
      <c r="A334" s="534"/>
      <c r="B334" s="535" t="s">
        <v>975</v>
      </c>
      <c r="C334" s="552" t="s">
        <v>953</v>
      </c>
      <c r="D334" s="594">
        <v>2566.73</v>
      </c>
      <c r="E334" s="519">
        <v>2</v>
      </c>
      <c r="F334" s="519">
        <v>2</v>
      </c>
      <c r="G334" s="595">
        <v>2196</v>
      </c>
      <c r="H334" s="538">
        <f t="shared" si="14"/>
      </c>
      <c r="I334" s="538">
        <f t="shared" si="52"/>
      </c>
      <c r="J334" s="538">
        <f t="shared" si="105"/>
      </c>
      <c r="K334" s="539">
        <f t="shared" si="153"/>
      </c>
      <c r="L334" s="540">
        <f t="shared" si="247"/>
      </c>
      <c r="M334" s="541">
        <f t="shared" si="170"/>
      </c>
      <c r="N334" s="541">
        <f t="shared" si="266"/>
      </c>
      <c r="O334" s="541">
        <f t="shared" si="283"/>
      </c>
      <c r="P334" s="542">
        <f t="shared" si="30"/>
      </c>
      <c r="Q334" s="543" t="s">
        <v>923</v>
      </c>
      <c r="R334" s="544" t="s">
        <v>949</v>
      </c>
      <c r="S334" s="575">
        <v>6281</v>
      </c>
      <c r="T334" s="575">
        <v>493</v>
      </c>
      <c r="U334" s="575">
        <v>591</v>
      </c>
      <c r="V334" s="575">
        <v>85</v>
      </c>
      <c r="W334" s="567">
        <v>2</v>
      </c>
      <c r="X334" s="567">
        <v>0</v>
      </c>
      <c r="Y334" s="577">
        <v>44</v>
      </c>
    </row>
    <row r="335">
      <c r="A335" s="534"/>
      <c r="B335" s="554" t="s">
        <v>936</v>
      </c>
      <c r="C335" s="554"/>
      <c r="D335" s="555">
        <f>SUM(D331:D334)</f>
      </c>
      <c r="E335" s="592">
        <f>SUM(E331:E334)</f>
      </c>
      <c r="F335" s="592">
        <f>SUM(F331:F334)</f>
      </c>
      <c r="G335" s="555">
        <f>SUM(G331:G334)</f>
      </c>
      <c r="H335" s="556">
        <f t="shared" si="14"/>
      </c>
      <c r="I335" s="557">
        <f t="shared" si="52"/>
      </c>
      <c r="J335" s="558">
        <f t="shared" si="105"/>
      </c>
      <c r="K335" s="559">
        <f t="shared" si="153"/>
      </c>
      <c r="L335" s="560">
        <f t="shared" si="247"/>
      </c>
      <c r="M335" s="559">
        <f t="shared" si="170"/>
      </c>
      <c r="N335" s="559">
        <f t="shared" si="266"/>
      </c>
      <c r="O335" s="561">
        <f t="shared" si="283"/>
      </c>
      <c r="P335" s="562">
        <f t="shared" si="30"/>
      </c>
      <c r="Q335" s="560"/>
      <c r="R335" s="560"/>
      <c r="S335" s="563">
        <f>SUM(S331:S334)</f>
      </c>
      <c r="T335" s="563">
        <f>SUM(T331:T334)</f>
      </c>
      <c r="U335" s="563">
        <f>SUM(U331:U334)</f>
      </c>
      <c r="V335" s="563">
        <f>SUM(V331:V334)</f>
      </c>
      <c r="W335" s="563">
        <f>SUM(W331:W334)</f>
      </c>
      <c r="X335" s="563">
        <f>SUM(X331:X334)</f>
      </c>
      <c r="Y335" s="563">
        <f>SUM(Y331:Y334)</f>
      </c>
    </row>
    <row r="336">
      <c r="A336" s="534"/>
      <c r="B336" s="535" t="s">
        <v>927</v>
      </c>
      <c r="C336" s="552" t="s">
        <v>954</v>
      </c>
      <c r="D336" s="594">
        <v>3004.72</v>
      </c>
      <c r="E336" s="519">
        <v>5</v>
      </c>
      <c r="F336" s="519">
        <v>4</v>
      </c>
      <c r="G336" s="595">
        <v>7734</v>
      </c>
      <c r="H336" s="538">
        <f t="shared" si="14"/>
      </c>
      <c r="I336" s="538">
        <f t="shared" si="52"/>
      </c>
      <c r="J336" s="538">
        <f t="shared" si="105"/>
      </c>
      <c r="K336" s="539">
        <f t="shared" si="153"/>
      </c>
      <c r="L336" s="540">
        <f t="shared" si="247"/>
      </c>
      <c r="M336" s="541">
        <f t="shared" si="170"/>
      </c>
      <c r="N336" s="541">
        <f t="shared" si="266"/>
      </c>
      <c r="O336" s="541">
        <f t="shared" si="283"/>
      </c>
      <c r="P336" s="542">
        <f t="shared" si="30"/>
      </c>
      <c r="Q336" s="543" t="s">
        <v>952</v>
      </c>
      <c r="R336" s="544" t="s">
        <v>949</v>
      </c>
      <c r="S336" s="575">
        <v>6493</v>
      </c>
      <c r="T336" s="575">
        <v>671</v>
      </c>
      <c r="U336" s="575">
        <v>765</v>
      </c>
      <c r="V336" s="575">
        <v>104</v>
      </c>
      <c r="W336" s="567">
        <v>7</v>
      </c>
      <c r="X336" s="567">
        <v>0</v>
      </c>
      <c r="Y336" s="577">
        <v>33</v>
      </c>
    </row>
    <row r="337">
      <c r="A337" s="534"/>
      <c r="B337" s="535" t="s">
        <v>927</v>
      </c>
      <c r="C337" s="536" t="s">
        <v>955</v>
      </c>
      <c r="D337" s="594">
        <v>3011.77</v>
      </c>
      <c r="E337" s="519">
        <v>2</v>
      </c>
      <c r="F337" s="519">
        <v>1</v>
      </c>
      <c r="G337" s="595">
        <v>5742</v>
      </c>
      <c r="H337" s="538">
        <f t="shared" si="14"/>
      </c>
      <c r="I337" s="538">
        <f t="shared" si="52"/>
      </c>
      <c r="J337" s="538">
        <f t="shared" si="105"/>
      </c>
      <c r="K337" s="539">
        <f t="shared" si="153"/>
      </c>
      <c r="L337" s="540">
        <f t="shared" si="247"/>
      </c>
      <c r="M337" s="541">
        <f t="shared" si="170"/>
      </c>
      <c r="N337" s="541">
        <f t="shared" si="266"/>
      </c>
      <c r="O337" s="541">
        <f t="shared" si="283"/>
      </c>
      <c r="P337" s="542">
        <f t="shared" si="30"/>
      </c>
      <c r="Q337" s="543" t="s">
        <v>952</v>
      </c>
      <c r="R337" s="544" t="s">
        <v>949</v>
      </c>
      <c r="S337" s="575">
        <v>6616</v>
      </c>
      <c r="T337" s="575">
        <v>844</v>
      </c>
      <c r="U337" s="575">
        <v>985</v>
      </c>
      <c r="V337" s="575">
        <v>84</v>
      </c>
      <c r="W337" s="567">
        <v>1</v>
      </c>
      <c r="X337" s="567">
        <v>0</v>
      </c>
      <c r="Y337" s="577">
        <v>34</v>
      </c>
    </row>
    <row r="338">
      <c r="A338" s="534"/>
      <c r="B338" s="535" t="s">
        <v>927</v>
      </c>
      <c r="C338" s="536" t="s">
        <v>956</v>
      </c>
      <c r="D338" s="594">
        <v>2230.5</v>
      </c>
      <c r="E338" s="519">
        <v>0</v>
      </c>
      <c r="F338" s="519">
        <v>0</v>
      </c>
      <c r="G338" s="595">
        <v>0</v>
      </c>
      <c r="H338" s="538">
        <f t="shared" si="14"/>
      </c>
      <c r="I338" s="538">
        <f t="shared" si="52"/>
      </c>
      <c r="J338" s="538">
        <f t="shared" si="105"/>
      </c>
      <c r="K338" s="539">
        <f t="shared" si="153"/>
      </c>
      <c r="L338" s="540">
        <f t="shared" si="247"/>
      </c>
      <c r="M338" s="541">
        <f t="shared" si="170"/>
      </c>
      <c r="N338" s="541">
        <f t="shared" si="266"/>
      </c>
      <c r="O338" s="541">
        <f t="shared" si="283"/>
      </c>
      <c r="P338" s="542">
        <f t="shared" si="30"/>
      </c>
      <c r="Q338" s="543" t="s">
        <v>952</v>
      </c>
      <c r="R338" s="544" t="s">
        <v>949</v>
      </c>
      <c r="S338" s="575">
        <v>5548</v>
      </c>
      <c r="T338" s="575">
        <v>742</v>
      </c>
      <c r="U338" s="575">
        <v>893</v>
      </c>
      <c r="V338" s="575">
        <v>94</v>
      </c>
      <c r="W338" s="567">
        <v>2</v>
      </c>
      <c r="X338" s="567">
        <v>0</v>
      </c>
      <c r="Y338" s="577">
        <v>39</v>
      </c>
    </row>
    <row r="339">
      <c r="A339" s="534"/>
      <c r="B339" s="535" t="s">
        <v>927</v>
      </c>
      <c r="C339" s="536" t="s">
        <v>957</v>
      </c>
      <c r="D339" s="594">
        <v>1005.16</v>
      </c>
      <c r="E339" s="519">
        <v>3</v>
      </c>
      <c r="F339" s="519">
        <v>2</v>
      </c>
      <c r="G339" s="595">
        <v>1818.9</v>
      </c>
      <c r="H339" s="538">
        <f t="shared" si="14"/>
      </c>
      <c r="I339" s="538">
        <f t="shared" si="52"/>
      </c>
      <c r="J339" s="538">
        <f t="shared" si="105"/>
      </c>
      <c r="K339" s="539">
        <f t="shared" si="153"/>
      </c>
      <c r="L339" s="540">
        <f t="shared" si="247"/>
      </c>
      <c r="M339" s="541">
        <f t="shared" si="170"/>
      </c>
      <c r="N339" s="541">
        <f t="shared" si="266"/>
      </c>
      <c r="O339" s="541">
        <f t="shared" si="283"/>
      </c>
      <c r="P339" s="542">
        <f t="shared" si="30"/>
      </c>
      <c r="Q339" s="543" t="s">
        <v>952</v>
      </c>
      <c r="R339" s="544" t="s">
        <v>949</v>
      </c>
      <c r="S339" s="575">
        <v>2951</v>
      </c>
      <c r="T339" s="575">
        <v>414</v>
      </c>
      <c r="U339" s="575">
        <v>536</v>
      </c>
      <c r="V339" s="575">
        <v>38</v>
      </c>
      <c r="W339" s="567">
        <v>5</v>
      </c>
      <c r="X339" s="567">
        <v>1</v>
      </c>
      <c r="Y339" s="577">
        <v>21</v>
      </c>
    </row>
    <row r="340">
      <c r="A340" s="534"/>
      <c r="B340" s="554" t="s">
        <v>936</v>
      </c>
      <c r="C340" s="554"/>
      <c r="D340" s="555">
        <f>SUM(D336:D339)</f>
      </c>
      <c r="E340" s="592">
        <f>SUM(E336:E339)</f>
      </c>
      <c r="F340" s="592">
        <f>SUM(F336:F339)</f>
      </c>
      <c r="G340" s="555">
        <f>SUM(G336:G339)</f>
      </c>
      <c r="H340" s="556">
        <f t="shared" si="14"/>
      </c>
      <c r="I340" s="557">
        <f t="shared" si="52"/>
      </c>
      <c r="J340" s="558">
        <f t="shared" si="105"/>
      </c>
      <c r="K340" s="559">
        <f t="shared" si="153"/>
      </c>
      <c r="L340" s="560">
        <f t="shared" si="247"/>
      </c>
      <c r="M340" s="559">
        <f t="shared" si="170"/>
      </c>
      <c r="N340" s="559">
        <f t="shared" si="266"/>
      </c>
      <c r="O340" s="561">
        <f t="shared" si="283"/>
      </c>
      <c r="P340" s="562">
        <f t="shared" si="30"/>
      </c>
      <c r="Q340" s="560"/>
      <c r="R340" s="560"/>
      <c r="S340" s="563">
        <f>SUM(S336:S339)</f>
      </c>
      <c r="T340" s="563">
        <f>SUM(T336:T339)</f>
      </c>
      <c r="U340" s="563">
        <f>SUM(U336:U339)</f>
      </c>
      <c r="V340" s="563">
        <f>SUM(V336:V339)</f>
      </c>
      <c r="W340" s="563">
        <f>SUM(W336:W339)</f>
      </c>
      <c r="X340" s="563">
        <f>SUM(X336:X339)</f>
      </c>
      <c r="Y340" s="563">
        <f>SUM(Y336:Y339)</f>
      </c>
    </row>
    <row r="341">
      <c r="A341" s="534"/>
      <c r="B341" s="579" t="s">
        <v>958</v>
      </c>
      <c r="C341" s="579"/>
      <c r="D341" s="580">
        <f>D325+D330+D340+D335</f>
      </c>
      <c r="E341" s="583">
        <f>E325+E330+E340+E335</f>
      </c>
      <c r="F341" s="583">
        <f>F325+F330+F340+F335</f>
      </c>
      <c r="G341" s="580">
        <f>G325+G330+G335+G340</f>
      </c>
      <c r="H341" s="579">
        <f t="shared" si="14"/>
      </c>
      <c r="I341" s="579">
        <f t="shared" si="52"/>
      </c>
      <c r="J341" s="579">
        <f t="shared" si="105"/>
      </c>
      <c r="K341" s="581">
        <f t="shared" si="153"/>
      </c>
      <c r="L341" s="579">
        <f t="shared" si="247"/>
      </c>
      <c r="M341" s="581">
        <f t="shared" si="170"/>
      </c>
      <c r="N341" s="581">
        <f t="shared" si="266"/>
      </c>
      <c r="O341" s="581">
        <f t="shared" si="283"/>
      </c>
      <c r="P341" s="579">
        <f t="shared" si="30"/>
      </c>
      <c r="Q341" s="582"/>
      <c r="R341" s="582"/>
      <c r="S341" s="583">
        <f>S325+S330+S340+S335</f>
      </c>
      <c r="T341" s="583">
        <f>T325+T330+T340+T335</f>
      </c>
      <c r="U341" s="583">
        <f>U325+U330+U340+U335</f>
      </c>
      <c r="V341" s="583">
        <f>V325+V330+V340+V335</f>
      </c>
      <c r="W341" s="583">
        <f>W325+W330+W340+W335</f>
      </c>
      <c r="X341" s="583">
        <f>X325+X330+X340+X335</f>
      </c>
      <c r="Y341" s="583">
        <f>Y325+Y330+Y340+Y335</f>
      </c>
    </row>
    <row r="342">
      <c r="A342" s="515" t="s">
        <v>882</v>
      </c>
      <c r="B342" s="515"/>
      <c r="C342" s="515"/>
      <c r="D342" s="516" t="s">
        <v>883</v>
      </c>
      <c r="E342" s="516"/>
      <c r="F342" s="516"/>
      <c r="G342" s="516"/>
      <c r="H342" s="516"/>
      <c r="I342" s="516"/>
      <c r="J342" s="516"/>
      <c r="K342" s="517" t="s">
        <v>884</v>
      </c>
      <c r="L342" s="517"/>
      <c r="M342" s="517"/>
      <c r="N342" s="517"/>
      <c r="O342" s="517"/>
      <c r="P342" s="517"/>
      <c r="Q342" s="517"/>
      <c r="R342" s="517"/>
      <c r="S342" s="589" t="s">
        <v>885</v>
      </c>
      <c r="T342" s="589"/>
      <c r="U342" s="589"/>
      <c r="V342" s="589"/>
      <c r="W342" s="589"/>
      <c r="X342" s="589"/>
      <c r="Y342" s="589"/>
      <c r="AA342" s="520" t="s">
        <v>1010</v>
      </c>
      <c r="AB342" s="520"/>
      <c r="AC342" s="520"/>
      <c r="AD342" s="520"/>
      <c r="AE342" s="520"/>
      <c r="AF342" s="520"/>
      <c r="AG342" s="520"/>
      <c r="AH342" s="520"/>
      <c r="AI342" s="520"/>
      <c r="AJ342" s="520"/>
      <c r="AK342" s="520"/>
    </row>
    <row r="343">
      <c r="A343" s="521" t="s">
        <v>887</v>
      </c>
      <c r="B343" s="521" t="s">
        <v>888</v>
      </c>
      <c r="C343" s="521" t="s">
        <v>889</v>
      </c>
      <c r="D343" s="522" t="s">
        <v>890</v>
      </c>
      <c r="E343" s="523" t="s">
        <v>891</v>
      </c>
      <c r="F343" s="524" t="s">
        <v>892</v>
      </c>
      <c r="G343" s="522" t="s">
        <v>893</v>
      </c>
      <c r="H343" s="525" t="s">
        <v>894</v>
      </c>
      <c r="I343" s="526" t="s">
        <v>895</v>
      </c>
      <c r="J343" s="522" t="s">
        <v>896</v>
      </c>
      <c r="K343" s="527" t="s">
        <v>897</v>
      </c>
      <c r="L343" s="528" t="s">
        <v>898</v>
      </c>
      <c r="M343" s="527" t="s">
        <v>899</v>
      </c>
      <c r="N343" s="527" t="s">
        <v>900</v>
      </c>
      <c r="O343" s="529" t="s">
        <v>901</v>
      </c>
      <c r="P343" s="529" t="s">
        <v>902</v>
      </c>
      <c r="Q343" s="530" t="s">
        <v>903</v>
      </c>
      <c r="R343" s="530" t="s">
        <v>904</v>
      </c>
      <c r="S343" s="585" t="s">
        <v>905</v>
      </c>
      <c r="T343" s="585" t="s">
        <v>906</v>
      </c>
      <c r="U343" s="585" t="s">
        <v>907</v>
      </c>
      <c r="V343" s="585" t="s">
        <v>908</v>
      </c>
      <c r="W343" s="585" t="s">
        <v>909</v>
      </c>
      <c r="X343" s="585" t="s">
        <v>910</v>
      </c>
      <c r="Y343" s="586" t="s">
        <v>911</v>
      </c>
      <c r="AA343" s="533" t="s">
        <v>912</v>
      </c>
      <c r="AB343" s="533" t="s">
        <v>913</v>
      </c>
      <c r="AC343" s="533" t="s">
        <v>914</v>
      </c>
      <c r="AD343" s="533" t="s">
        <v>915</v>
      </c>
      <c r="AE343" s="533" t="s">
        <v>916</v>
      </c>
      <c r="AF343" s="533" t="s">
        <v>917</v>
      </c>
      <c r="AG343" s="533" t="s">
        <v>896</v>
      </c>
      <c r="AH343" s="533" t="s">
        <v>918</v>
      </c>
      <c r="AI343" s="533" t="s">
        <v>894</v>
      </c>
      <c r="AJ343" s="533" t="s">
        <v>919</v>
      </c>
      <c r="AK343" s="533"/>
    </row>
    <row r="344">
      <c r="A344" s="534" t="s">
        <v>1011</v>
      </c>
      <c r="B344" s="535" t="s">
        <v>930</v>
      </c>
      <c r="C344" s="536" t="s">
        <v>922</v>
      </c>
      <c r="D344" s="584">
        <v>1786.49</v>
      </c>
      <c r="E344" s="519">
        <v>0</v>
      </c>
      <c r="F344" s="519">
        <v>0</v>
      </c>
      <c r="G344" s="584">
        <v>0</v>
      </c>
      <c r="H344" s="538">
        <f t="shared" ref="H344:H364" si="15">G344/D344</f>
      </c>
      <c r="I344" s="538">
        <f t="shared" ref="I344:I357" si="53">D344/E344</f>
      </c>
      <c r="J344" s="538">
        <f t="shared" ref="J344:J357" si="106">G344/E344</f>
      </c>
      <c r="K344" s="539">
        <f t="shared" ref="K344:K357" si="154">T344/S344</f>
      </c>
      <c r="L344" s="540">
        <f t="shared" ref="L344:L357" si="248">D344/U344</f>
      </c>
      <c r="M344" s="541">
        <f t="shared" ref="M344:M357" si="171">V344/U344</f>
      </c>
      <c r="N344" s="541">
        <f t="shared" ref="N344:N357" si="267">E344/W344</f>
      </c>
      <c r="O344" s="541">
        <f t="shared" ref="O344:O357" si="284">X344/E344</f>
      </c>
      <c r="P344" s="542">
        <f t="shared" ref="P344:P357" si="31">(Y344*1000)/D344</f>
      </c>
      <c r="Q344" s="543" t="s">
        <v>923</v>
      </c>
      <c r="R344" s="544" t="s">
        <v>924</v>
      </c>
      <c r="S344" s="597">
        <v>4368</v>
      </c>
      <c r="T344" s="597">
        <v>486</v>
      </c>
      <c r="U344" s="597">
        <v>720</v>
      </c>
      <c r="V344" s="597">
        <v>71</v>
      </c>
      <c r="W344" s="545">
        <v>2</v>
      </c>
      <c r="X344" s="545">
        <v>0</v>
      </c>
      <c r="Y344" s="584">
        <v>33</v>
      </c>
      <c r="AA344" s="546" t="s">
        <v>930</v>
      </c>
      <c r="AB344" s="547" t="s">
        <v>974</v>
      </c>
      <c r="AC344" s="546">
        <v>4</v>
      </c>
      <c r="AD344" s="546">
        <v>11020.61</v>
      </c>
      <c r="AE344" s="546">
        <v>13982</v>
      </c>
      <c r="AF344" s="546">
        <v>9</v>
      </c>
      <c r="AG344" s="549">
        <f t="shared" ref="AG344:AG348" si="85">AE344/AF344</f>
      </c>
      <c r="AH344" s="549">
        <f t="shared" ref="AH344:AH348" si="138">AD344/AF344</f>
      </c>
      <c r="AI344" s="549">
        <f t="shared" ref="AI344:AI348" si="203">AE344/AD344</f>
      </c>
      <c r="AJ344" s="548">
        <f t="shared" ref="AJ344:AJ348" si="232">AD344/AC344</f>
      </c>
      <c r="AK344" s="548"/>
    </row>
    <row r="345">
      <c r="A345" s="534"/>
      <c r="B345" s="535" t="s">
        <v>930</v>
      </c>
      <c r="C345" s="535" t="s">
        <v>926</v>
      </c>
      <c r="D345" s="584">
        <v>2505.66</v>
      </c>
      <c r="E345" s="519">
        <v>5</v>
      </c>
      <c r="F345" s="519">
        <v>5</v>
      </c>
      <c r="G345" s="584">
        <v>8935.2</v>
      </c>
      <c r="H345" s="538">
        <f t="shared" si="15"/>
      </c>
      <c r="I345" s="538">
        <f t="shared" si="53"/>
      </c>
      <c r="J345" s="538">
        <f t="shared" si="106"/>
      </c>
      <c r="K345" s="539">
        <f t="shared" si="154"/>
      </c>
      <c r="L345" s="540">
        <f t="shared" si="248"/>
      </c>
      <c r="M345" s="541">
        <f t="shared" si="171"/>
      </c>
      <c r="N345" s="541">
        <f t="shared" si="267"/>
      </c>
      <c r="O345" s="541">
        <f t="shared" si="284"/>
      </c>
      <c r="P345" s="542">
        <f t="shared" si="31"/>
      </c>
      <c r="Q345" s="543" t="s">
        <v>923</v>
      </c>
      <c r="R345" s="544" t="s">
        <v>924</v>
      </c>
      <c r="S345" s="597">
        <v>4004</v>
      </c>
      <c r="T345" s="597">
        <v>471</v>
      </c>
      <c r="U345" s="597">
        <v>603</v>
      </c>
      <c r="V345" s="597">
        <v>106</v>
      </c>
      <c r="W345" s="545">
        <v>6</v>
      </c>
      <c r="X345" s="545">
        <v>0</v>
      </c>
      <c r="Y345" s="584">
        <v>31</v>
      </c>
      <c r="AA345" s="546" t="s">
        <v>975</v>
      </c>
      <c r="AB345" s="547" t="s">
        <v>976</v>
      </c>
      <c r="AC345" s="546">
        <v>4</v>
      </c>
      <c r="AD345" s="546">
        <v>8444.97</v>
      </c>
      <c r="AE345" s="546">
        <v>12223.4</v>
      </c>
      <c r="AF345" s="546">
        <v>9</v>
      </c>
      <c r="AG345" s="549">
        <f t="shared" si="85"/>
      </c>
      <c r="AH345" s="549">
        <f t="shared" si="138"/>
      </c>
      <c r="AI345" s="549">
        <f t="shared" si="203"/>
      </c>
      <c r="AJ345" s="548">
        <f t="shared" si="232"/>
      </c>
      <c r="AK345" s="548"/>
    </row>
    <row r="346">
      <c r="A346" s="534"/>
      <c r="B346" s="535" t="s">
        <v>930</v>
      </c>
      <c r="C346" s="535" t="s">
        <v>929</v>
      </c>
      <c r="D346" s="584">
        <v>3645.65</v>
      </c>
      <c r="E346" s="519">
        <v>4</v>
      </c>
      <c r="F346" s="519">
        <v>0</v>
      </c>
      <c r="G346" s="584">
        <v>5046.8</v>
      </c>
      <c r="H346" s="538">
        <f t="shared" si="15"/>
      </c>
      <c r="I346" s="538">
        <f t="shared" si="53"/>
      </c>
      <c r="J346" s="538">
        <f t="shared" si="106"/>
      </c>
      <c r="K346" s="539">
        <f t="shared" si="154"/>
      </c>
      <c r="L346" s="540">
        <f t="shared" si="248"/>
      </c>
      <c r="M346" s="541">
        <f t="shared" si="171"/>
      </c>
      <c r="N346" s="541">
        <f t="shared" si="267"/>
      </c>
      <c r="O346" s="541">
        <f t="shared" si="284"/>
      </c>
      <c r="P346" s="542">
        <f t="shared" si="31"/>
      </c>
      <c r="Q346" s="543" t="s">
        <v>923</v>
      </c>
      <c r="R346" s="544" t="s">
        <v>924</v>
      </c>
      <c r="S346" s="597">
        <v>4544</v>
      </c>
      <c r="T346" s="597">
        <v>511</v>
      </c>
      <c r="U346" s="597">
        <v>666</v>
      </c>
      <c r="V346" s="597">
        <v>122</v>
      </c>
      <c r="W346" s="545">
        <v>4</v>
      </c>
      <c r="X346" s="545">
        <v>1</v>
      </c>
      <c r="Y346" s="584">
        <v>40</v>
      </c>
      <c r="AA346" s="546" t="s">
        <v>988</v>
      </c>
      <c r="AB346" s="547" t="s">
        <v>977</v>
      </c>
      <c r="AC346" s="546">
        <v>3</v>
      </c>
      <c r="AD346" s="546">
        <v>4110.65</v>
      </c>
      <c r="AE346" s="546">
        <v>1850.4</v>
      </c>
      <c r="AF346" s="546">
        <v>2</v>
      </c>
      <c r="AG346" s="549">
        <f t="shared" si="85"/>
      </c>
      <c r="AH346" s="549">
        <f t="shared" si="138"/>
      </c>
      <c r="AI346" s="549">
        <f t="shared" si="203"/>
      </c>
      <c r="AJ346" s="548">
        <f t="shared" si="232"/>
      </c>
      <c r="AK346" s="548"/>
    </row>
    <row r="347">
      <c r="A347" s="534"/>
      <c r="B347" s="535" t="s">
        <v>930</v>
      </c>
      <c r="C347" s="535" t="s">
        <v>932</v>
      </c>
      <c r="D347" s="584">
        <v>3082.81</v>
      </c>
      <c r="E347" s="519">
        <v>0</v>
      </c>
      <c r="F347" s="519">
        <v>0</v>
      </c>
      <c r="G347" s="584">
        <v>0</v>
      </c>
      <c r="H347" s="538">
        <f t="shared" si="15"/>
      </c>
      <c r="I347" s="538">
        <f t="shared" si="53"/>
      </c>
      <c r="J347" s="538">
        <f t="shared" si="106"/>
      </c>
      <c r="K347" s="539">
        <f t="shared" si="154"/>
      </c>
      <c r="L347" s="540">
        <f t="shared" si="248"/>
      </c>
      <c r="M347" s="541">
        <f t="shared" si="171"/>
      </c>
      <c r="N347" s="541">
        <f t="shared" si="267"/>
      </c>
      <c r="O347" s="541">
        <f t="shared" si="284"/>
      </c>
      <c r="P347" s="542">
        <f t="shared" si="31"/>
      </c>
      <c r="Q347" s="543" t="s">
        <v>923</v>
      </c>
      <c r="R347" s="544" t="s">
        <v>924</v>
      </c>
      <c r="S347" s="597">
        <v>4489</v>
      </c>
      <c r="T347" s="597">
        <v>485</v>
      </c>
      <c r="U347" s="597">
        <v>641</v>
      </c>
      <c r="V347" s="597">
        <v>79</v>
      </c>
      <c r="W347" s="545">
        <v>2</v>
      </c>
      <c r="X347" s="567">
        <v>0</v>
      </c>
      <c r="Y347" s="584">
        <v>28</v>
      </c>
      <c r="AA347" s="546" t="s">
        <v>927</v>
      </c>
      <c r="AB347" s="547" t="s">
        <v>978</v>
      </c>
      <c r="AC347" s="546">
        <v>5</v>
      </c>
      <c r="AD347" s="546">
        <v>7793.73</v>
      </c>
      <c r="AE347" s="546">
        <v>5068</v>
      </c>
      <c r="AF347" s="546">
        <v>6</v>
      </c>
      <c r="AG347" s="549">
        <f t="shared" si="85"/>
      </c>
      <c r="AH347" s="549">
        <f t="shared" si="138"/>
      </c>
      <c r="AI347" s="549">
        <f t="shared" si="203"/>
      </c>
      <c r="AJ347" s="548">
        <f t="shared" si="232"/>
      </c>
      <c r="AK347" s="548"/>
    </row>
    <row r="348">
      <c r="A348" s="534"/>
      <c r="B348" s="554" t="s">
        <v>936</v>
      </c>
      <c r="C348" s="554"/>
      <c r="D348" s="555">
        <f>SUM(D344:D347)</f>
      </c>
      <c r="E348" s="592">
        <f>SUM(E344:E347)</f>
      </c>
      <c r="F348" s="592">
        <f>SUM(F344:F347)</f>
      </c>
      <c r="G348" s="555">
        <f>SUM(G344:G347)</f>
      </c>
      <c r="H348" s="556">
        <f t="shared" si="15"/>
      </c>
      <c r="I348" s="557">
        <f t="shared" si="53"/>
      </c>
      <c r="J348" s="558">
        <f t="shared" si="106"/>
      </c>
      <c r="K348" s="559">
        <f t="shared" si="154"/>
      </c>
      <c r="L348" s="560">
        <f t="shared" si="248"/>
      </c>
      <c r="M348" s="559">
        <f t="shared" si="171"/>
      </c>
      <c r="N348" s="559">
        <f t="shared" si="267"/>
      </c>
      <c r="O348" s="561">
        <f t="shared" si="284"/>
      </c>
      <c r="P348" s="562">
        <f t="shared" si="31"/>
      </c>
      <c r="Q348" s="560"/>
      <c r="R348" s="560"/>
      <c r="S348" s="563">
        <f>SUM(S344:S347)</f>
      </c>
      <c r="T348" s="563">
        <f>SUM(T344:T347)</f>
      </c>
      <c r="U348" s="563">
        <f>SUM(U344:U347)</f>
      </c>
      <c r="V348" s="563">
        <f>SUM(V344:V347)</f>
      </c>
      <c r="W348" s="563">
        <f>SUM(W344:W347)</f>
      </c>
      <c r="X348" s="563">
        <f>SUM(X344:X347)</f>
      </c>
      <c r="Y348" s="563">
        <f>SUM(Y344:Y347)</f>
      </c>
      <c r="AA348" s="533" t="s">
        <v>933</v>
      </c>
      <c r="AB348" s="533"/>
      <c r="AC348" s="533">
        <f>SUM(AC344:AC347)</f>
      </c>
      <c r="AD348" s="533">
        <f>SUM(AD344:AD347)</f>
      </c>
      <c r="AE348" s="533">
        <f>SUM(AE344:AE347)</f>
      </c>
      <c r="AF348" s="533">
        <f>SUM(AF344:AF347)</f>
      </c>
      <c r="AG348" s="551">
        <f t="shared" si="85"/>
      </c>
      <c r="AH348" s="551">
        <f t="shared" si="138"/>
      </c>
      <c r="AI348" s="551">
        <f t="shared" si="203"/>
      </c>
      <c r="AJ348" s="550">
        <f t="shared" si="232"/>
      </c>
      <c r="AK348" s="550"/>
    </row>
    <row r="349">
      <c r="A349" s="534"/>
      <c r="B349" s="535" t="s">
        <v>975</v>
      </c>
      <c r="C349" s="552" t="s">
        <v>934</v>
      </c>
      <c r="D349" s="535">
        <v>2794.34</v>
      </c>
      <c r="E349" s="519"/>
      <c r="F349" s="519"/>
      <c r="G349" s="574">
        <v>6535.4</v>
      </c>
      <c r="H349" s="538">
        <f t="shared" si="15"/>
      </c>
      <c r="I349" s="538">
        <f t="shared" si="53"/>
      </c>
      <c r="J349" s="538">
        <f t="shared" si="106"/>
      </c>
      <c r="K349" s="539">
        <f t="shared" si="154"/>
      </c>
      <c r="L349" s="540">
        <f t="shared" si="248"/>
      </c>
      <c r="M349" s="541">
        <f t="shared" si="171"/>
      </c>
      <c r="N349" s="541">
        <f t="shared" si="267"/>
      </c>
      <c r="O349" s="541">
        <f t="shared" si="284"/>
      </c>
      <c r="P349" s="542">
        <f t="shared" si="31"/>
      </c>
      <c r="Q349" s="543" t="s">
        <v>923</v>
      </c>
      <c r="R349" s="544" t="s">
        <v>924</v>
      </c>
      <c r="S349" s="545"/>
      <c r="T349" s="545"/>
      <c r="U349" s="545"/>
      <c r="V349" s="545"/>
      <c r="W349" s="567"/>
      <c r="X349" s="567"/>
      <c r="Y349" s="577"/>
      <c r="AA349" s="553" t="s">
        <v>935</v>
      </c>
      <c r="AB349" s="553"/>
      <c r="AC349" s="553"/>
      <c r="AD349" s="553"/>
      <c r="AE349" s="553"/>
      <c r="AF349" s="553"/>
      <c r="AG349" s="553"/>
      <c r="AH349" s="553"/>
      <c r="AI349" s="553"/>
      <c r="AJ349" s="553"/>
      <c r="AK349" s="553"/>
    </row>
    <row r="350">
      <c r="A350" s="534"/>
      <c r="B350" s="535" t="s">
        <v>975</v>
      </c>
      <c r="C350" s="566" t="s">
        <v>945</v>
      </c>
      <c r="D350" s="535">
        <v>2247.9</v>
      </c>
      <c r="E350" s="519"/>
      <c r="F350" s="519"/>
      <c r="G350" s="593">
        <v>0</v>
      </c>
      <c r="H350" s="538">
        <f t="shared" si="15"/>
      </c>
      <c r="I350" s="538">
        <f t="shared" si="53"/>
      </c>
      <c r="J350" s="538">
        <f t="shared" si="106"/>
      </c>
      <c r="K350" s="539">
        <f t="shared" si="154"/>
      </c>
      <c r="L350" s="540">
        <f t="shared" si="248"/>
      </c>
      <c r="M350" s="541">
        <f t="shared" si="171"/>
      </c>
      <c r="N350" s="541">
        <f t="shared" si="267"/>
      </c>
      <c r="O350" s="541">
        <f t="shared" si="284"/>
      </c>
      <c r="P350" s="542">
        <f t="shared" si="31"/>
      </c>
      <c r="Q350" s="543" t="s">
        <v>923</v>
      </c>
      <c r="R350" s="544" t="s">
        <v>924</v>
      </c>
      <c r="S350" s="545"/>
      <c r="T350" s="545"/>
      <c r="U350" s="545"/>
      <c r="V350" s="545"/>
      <c r="W350" s="567"/>
      <c r="X350" s="567"/>
      <c r="Y350" s="577"/>
      <c r="AA350" s="564" t="s">
        <v>915</v>
      </c>
      <c r="AB350" s="564" t="s">
        <v>937</v>
      </c>
      <c r="AC350" s="564" t="s">
        <v>938</v>
      </c>
      <c r="AD350" s="564" t="s">
        <v>939</v>
      </c>
      <c r="AE350" s="564" t="s">
        <v>940</v>
      </c>
      <c r="AF350" s="564" t="s">
        <v>941</v>
      </c>
      <c r="AG350" s="564" t="s">
        <v>942</v>
      </c>
      <c r="AH350" s="565" t="s">
        <v>910</v>
      </c>
      <c r="AI350" s="565" t="s">
        <v>943</v>
      </c>
      <c r="AJ350" s="565" t="s">
        <v>944</v>
      </c>
      <c r="AK350" s="565" t="s">
        <v>914</v>
      </c>
    </row>
    <row r="351">
      <c r="A351" s="534"/>
      <c r="B351" s="535" t="s">
        <v>975</v>
      </c>
      <c r="C351" s="566" t="s">
        <v>946</v>
      </c>
      <c r="D351" s="535">
        <v>1505.97</v>
      </c>
      <c r="E351" s="519"/>
      <c r="F351" s="519"/>
      <c r="G351" s="584">
        <v>0</v>
      </c>
      <c r="H351" s="538">
        <f t="shared" si="15"/>
      </c>
      <c r="I351" s="538">
        <f t="shared" si="53"/>
      </c>
      <c r="J351" s="538">
        <f t="shared" si="106"/>
      </c>
      <c r="K351" s="539">
        <f t="shared" si="154"/>
      </c>
      <c r="L351" s="540">
        <f t="shared" si="248"/>
      </c>
      <c r="M351" s="541">
        <f t="shared" si="171"/>
      </c>
      <c r="N351" s="541">
        <f t="shared" si="267"/>
      </c>
      <c r="O351" s="541">
        <f t="shared" si="284"/>
      </c>
      <c r="P351" s="542">
        <f t="shared" si="31"/>
      </c>
      <c r="Q351" s="543" t="s">
        <v>923</v>
      </c>
      <c r="R351" s="544" t="s">
        <v>924</v>
      </c>
      <c r="S351" s="545"/>
      <c r="T351" s="545"/>
      <c r="U351" s="545"/>
      <c r="V351" s="545"/>
      <c r="W351" s="567"/>
      <c r="X351" s="567"/>
      <c r="Y351" s="577"/>
      <c r="AA351" s="568">
        <f>SUM(AD344:AD347)</f>
      </c>
      <c r="AB351" s="568">
        <f>SUM(AE344:AE347)</f>
      </c>
      <c r="AC351" s="569">
        <f>AB351/((AK351*300)+AA351)</f>
      </c>
      <c r="AD351" s="570">
        <f>AA351/AJ351</f>
      </c>
      <c r="AE351" s="569">
        <f>AB351/AJ351</f>
      </c>
      <c r="AF351" s="571">
        <f>AJ351/AI351</f>
      </c>
      <c r="AG351" s="571">
        <f>AH351/AJ351</f>
      </c>
      <c r="AH351" s="572">
        <v>4</v>
      </c>
      <c r="AI351" s="572">
        <v>36</v>
      </c>
      <c r="AJ351" s="572">
        <f>AF348</f>
      </c>
      <c r="AK351" s="573">
        <f>AC348</f>
      </c>
    </row>
    <row r="352">
      <c r="A352" s="534"/>
      <c r="B352" s="535" t="s">
        <v>975</v>
      </c>
      <c r="C352" s="566" t="s">
        <v>947</v>
      </c>
      <c r="D352" s="535">
        <v>1896.76</v>
      </c>
      <c r="E352" s="519"/>
      <c r="F352" s="519"/>
      <c r="G352" s="574">
        <v>5688</v>
      </c>
      <c r="H352" s="538">
        <f t="shared" si="15"/>
      </c>
      <c r="I352" s="538">
        <f t="shared" si="53"/>
      </c>
      <c r="J352" s="538">
        <f t="shared" si="106"/>
      </c>
      <c r="K352" s="539">
        <f t="shared" si="154"/>
      </c>
      <c r="L352" s="540">
        <f t="shared" si="248"/>
      </c>
      <c r="M352" s="541">
        <f t="shared" si="171"/>
      </c>
      <c r="N352" s="541">
        <f t="shared" si="267"/>
      </c>
      <c r="O352" s="541">
        <f t="shared" si="284"/>
      </c>
      <c r="P352" s="542">
        <f t="shared" si="31"/>
      </c>
      <c r="Q352" s="543" t="s">
        <v>923</v>
      </c>
      <c r="R352" s="544" t="s">
        <v>924</v>
      </c>
      <c r="S352" s="545"/>
      <c r="T352" s="545"/>
      <c r="U352" s="545"/>
      <c r="V352" s="545"/>
      <c r="W352" s="567"/>
      <c r="X352" s="567"/>
      <c r="Y352" s="577"/>
      <c r="AA352">
        <f>AA353-AA351</f>
      </c>
      <c r="AB352">
        <f>AB353-AB351</f>
      </c>
    </row>
    <row r="353">
      <c r="A353" s="534"/>
      <c r="B353" s="554" t="s">
        <v>936</v>
      </c>
      <c r="C353" s="554"/>
      <c r="D353" s="555">
        <f>SUM(D349:D352)</f>
      </c>
      <c r="E353" s="592">
        <f>SUM(E349:E352)</f>
      </c>
      <c r="F353" s="592">
        <f>SUM(F349:F352)</f>
      </c>
      <c r="G353" s="555">
        <f>SUM(G349:G352)</f>
      </c>
      <c r="H353" s="556">
        <f t="shared" si="15"/>
      </c>
      <c r="I353" s="557">
        <f t="shared" si="53"/>
      </c>
      <c r="J353" s="558">
        <f t="shared" si="106"/>
      </c>
      <c r="K353" s="559">
        <f t="shared" si="154"/>
      </c>
      <c r="L353" s="560">
        <f t="shared" si="248"/>
      </c>
      <c r="M353" s="559">
        <f t="shared" si="171"/>
      </c>
      <c r="N353" s="559">
        <f t="shared" si="267"/>
      </c>
      <c r="O353" s="561">
        <f t="shared" si="284"/>
      </c>
      <c r="P353" s="562">
        <f t="shared" si="31"/>
      </c>
      <c r="Q353" s="560"/>
      <c r="R353" s="560"/>
      <c r="S353" s="563">
        <f>SUM(S349:S352)</f>
      </c>
      <c r="T353" s="563">
        <f>SUM(T349:T352)</f>
      </c>
      <c r="U353" s="563">
        <f>SUM(U349:U352)</f>
      </c>
      <c r="V353" s="563">
        <f>SUM(V349:V352)</f>
      </c>
      <c r="W353" s="563">
        <f>SUM(W349:W352)</f>
      </c>
      <c r="X353" s="563">
        <f>SUM(X349:X352)</f>
      </c>
      <c r="Y353" s="563">
        <f>SUM(Y349:Y352)</f>
      </c>
      <c r="AA353" s="591">
        <v>23576.23</v>
      </c>
      <c r="AB353" s="591">
        <v>33123.8</v>
      </c>
    </row>
    <row r="354">
      <c r="A354" s="534"/>
      <c r="B354" s="535" t="s">
        <v>988</v>
      </c>
      <c r="C354" s="566" t="s">
        <v>948</v>
      </c>
      <c r="D354" s="594">
        <v>1556.77</v>
      </c>
      <c r="E354" s="519"/>
      <c r="F354" s="519">
        <v>1</v>
      </c>
      <c r="G354" s="595">
        <v>652.8</v>
      </c>
      <c r="H354" s="538">
        <f t="shared" si="15"/>
      </c>
      <c r="I354" s="538">
        <f t="shared" si="53"/>
      </c>
      <c r="J354" s="538">
        <f t="shared" si="106"/>
      </c>
      <c r="K354" s="539">
        <f t="shared" si="154"/>
      </c>
      <c r="L354" s="540">
        <f t="shared" si="248"/>
      </c>
      <c r="M354" s="541">
        <f t="shared" si="171"/>
      </c>
      <c r="N354" s="541">
        <f t="shared" si="267"/>
      </c>
      <c r="O354" s="541">
        <f t="shared" si="284"/>
      </c>
      <c r="P354" s="542">
        <f t="shared" si="31"/>
      </c>
      <c r="Q354" s="543" t="s">
        <v>923</v>
      </c>
      <c r="R354" s="544" t="s">
        <v>949</v>
      </c>
      <c r="S354" s="575"/>
      <c r="T354" s="575"/>
      <c r="U354" s="575"/>
      <c r="V354" s="575"/>
      <c r="W354" s="567"/>
      <c r="X354" s="567"/>
      <c r="Y354" s="577"/>
    </row>
    <row r="355">
      <c r="A355" s="534"/>
      <c r="B355" s="535" t="s">
        <v>988</v>
      </c>
      <c r="C355" s="552" t="s">
        <v>950</v>
      </c>
      <c r="D355" s="594">
        <v>1528.32</v>
      </c>
      <c r="E355" s="519"/>
      <c r="F355" s="519"/>
      <c r="G355" s="595">
        <v>0</v>
      </c>
      <c r="H355" s="538">
        <f t="shared" si="15"/>
      </c>
      <c r="I355" s="538">
        <f t="shared" si="53"/>
      </c>
      <c r="J355" s="538">
        <f t="shared" si="106"/>
      </c>
      <c r="K355" s="539">
        <f t="shared" si="154"/>
      </c>
      <c r="L355" s="540">
        <f t="shared" si="248"/>
      </c>
      <c r="M355" s="541">
        <f t="shared" si="171"/>
      </c>
      <c r="N355" s="541">
        <f t="shared" si="267"/>
      </c>
      <c r="O355" s="541">
        <f t="shared" si="284"/>
      </c>
      <c r="P355" s="542">
        <f t="shared" si="31"/>
      </c>
      <c r="Q355" s="543" t="s">
        <v>923</v>
      </c>
      <c r="R355" s="544" t="s">
        <v>949</v>
      </c>
      <c r="S355" s="575"/>
      <c r="T355" s="575"/>
      <c r="U355" s="575"/>
      <c r="V355" s="575"/>
      <c r="W355" s="567"/>
      <c r="X355" s="567"/>
      <c r="Y355" s="577"/>
    </row>
    <row r="356">
      <c r="A356" s="534"/>
      <c r="B356" s="535" t="s">
        <v>988</v>
      </c>
      <c r="C356" s="552" t="s">
        <v>951</v>
      </c>
      <c r="D356" s="594">
        <v>1025.56</v>
      </c>
      <c r="E356" s="519"/>
      <c r="F356" s="519"/>
      <c r="G356" s="595">
        <v>1197.6</v>
      </c>
      <c r="H356" s="538">
        <f t="shared" si="15"/>
      </c>
      <c r="I356" s="538">
        <f t="shared" si="53"/>
      </c>
      <c r="J356" s="538">
        <f t="shared" si="106"/>
      </c>
      <c r="K356" s="539">
        <f t="shared" si="154"/>
      </c>
      <c r="L356" s="540">
        <f t="shared" si="248"/>
      </c>
      <c r="M356" s="541">
        <f t="shared" si="171"/>
      </c>
      <c r="N356" s="541">
        <f t="shared" si="267"/>
      </c>
      <c r="O356" s="541">
        <f t="shared" si="284"/>
      </c>
      <c r="P356" s="542">
        <f t="shared" si="31"/>
      </c>
      <c r="Q356" s="543" t="s">
        <v>923</v>
      </c>
      <c r="R356" s="544" t="s">
        <v>949</v>
      </c>
      <c r="S356" s="575"/>
      <c r="T356" s="575"/>
      <c r="U356" s="575"/>
      <c r="V356" s="575"/>
      <c r="W356" s="567"/>
      <c r="X356" s="567"/>
      <c r="Y356" s="577"/>
    </row>
    <row r="357">
      <c r="A357" s="534"/>
      <c r="B357" s="554" t="s">
        <v>936</v>
      </c>
      <c r="C357" s="554"/>
      <c r="D357" s="555">
        <f>SUM(D354:D356)</f>
      </c>
      <c r="E357" s="592">
        <f>SUM(E354:E356)</f>
      </c>
      <c r="F357" s="592">
        <f>SUM(F354:F356)</f>
      </c>
      <c r="G357" s="555">
        <f>SUM(G354:G356)</f>
      </c>
      <c r="H357" s="556">
        <f t="shared" si="15"/>
      </c>
      <c r="I357" s="557">
        <f t="shared" si="53"/>
      </c>
      <c r="J357" s="558">
        <f t="shared" si="106"/>
      </c>
      <c r="K357" s="559">
        <f t="shared" si="154"/>
      </c>
      <c r="L357" s="560">
        <f t="shared" si="248"/>
      </c>
      <c r="M357" s="559">
        <f t="shared" si="171"/>
      </c>
      <c r="N357" s="559">
        <f t="shared" si="267"/>
      </c>
      <c r="O357" s="561">
        <f t="shared" si="284"/>
      </c>
      <c r="P357" s="562">
        <f t="shared" si="31"/>
      </c>
      <c r="Q357" s="560"/>
      <c r="R357" s="560"/>
      <c r="S357" s="563">
        <f>SUM(S354:S356)</f>
      </c>
      <c r="T357" s="563">
        <f>SUM(T354:T356)</f>
      </c>
      <c r="U357" s="563">
        <f>SUM(U354:U356)</f>
      </c>
      <c r="V357" s="563">
        <f>SUM(V354:V356)</f>
      </c>
      <c r="W357" s="563">
        <f>SUM(W354:W356)</f>
      </c>
      <c r="X357" s="563">
        <f>SUM(X354:X356)</f>
      </c>
      <c r="Y357" s="563">
        <f>SUM(Y354:Y356)</f>
      </c>
    </row>
    <row customHeight="true" ht="16.666666666666668" r="358">
      <c r="A358" s="534"/>
      <c r="B358" s="535"/>
      <c r="C358" s="552"/>
      <c r="D358" s="594">
        <v>1595.44</v>
      </c>
      <c r="E358" s="519"/>
      <c r="F358" s="519">
        <v>3</v>
      </c>
      <c r="G358" s="595">
        <v>2119.6</v>
      </c>
      <c r="H358" s="538">
        <f t="shared" si="15"/>
      </c>
      <c r="I358" s="538"/>
      <c r="J358" s="538"/>
      <c r="K358" s="539"/>
      <c r="L358" s="540"/>
      <c r="M358" s="541"/>
      <c r="N358" s="541"/>
      <c r="O358" s="541"/>
      <c r="P358" s="542"/>
      <c r="Q358" s="543"/>
      <c r="R358" s="544"/>
      <c r="S358" s="575"/>
      <c r="T358" s="575"/>
      <c r="U358" s="575"/>
      <c r="V358" s="575"/>
      <c r="W358" s="567"/>
      <c r="X358" s="567"/>
      <c r="Y358" s="577"/>
    </row>
    <row r="359">
      <c r="A359" s="534"/>
      <c r="B359" s="535" t="s">
        <v>927</v>
      </c>
      <c r="C359" s="552" t="s">
        <v>954</v>
      </c>
      <c r="D359" s="594">
        <v>1938.7</v>
      </c>
      <c r="E359" s="519"/>
      <c r="F359" s="519">
        <v>2</v>
      </c>
      <c r="G359" s="595">
        <v>1850.4</v>
      </c>
      <c r="H359" s="538">
        <f t="shared" si="15"/>
      </c>
      <c r="I359" s="538">
        <f t="shared" ref="I359:I364" si="54">D359/E359</f>
      </c>
      <c r="J359" s="538">
        <f t="shared" ref="J359:J364" si="107">G359/E359</f>
      </c>
      <c r="K359" s="539">
        <f t="shared" ref="K359:K364" si="155">T359/S359</f>
      </c>
      <c r="L359" s="540">
        <f t="shared" ref="L359:L364" si="249">D359/U359</f>
      </c>
      <c r="M359" s="541">
        <f t="shared" ref="M359:M364" si="172">V359/U359</f>
      </c>
      <c r="N359" s="541">
        <f t="shared" ref="N359:N364" si="268">E359/W359</f>
      </c>
      <c r="O359" s="541">
        <f t="shared" ref="O359:O364" si="285">X359/E359</f>
      </c>
      <c r="P359" s="542">
        <f t="shared" ref="P359:P364" si="32">(Y359*1000)/D359</f>
      </c>
      <c r="Q359" s="543" t="s">
        <v>952</v>
      </c>
      <c r="R359" s="544" t="s">
        <v>949</v>
      </c>
      <c r="S359" s="575"/>
      <c r="T359" s="575"/>
      <c r="U359" s="575"/>
      <c r="V359" s="575"/>
      <c r="W359" s="567"/>
      <c r="X359" s="567"/>
      <c r="Y359" s="577"/>
    </row>
    <row r="360">
      <c r="A360" s="534"/>
      <c r="B360" s="535" t="s">
        <v>927</v>
      </c>
      <c r="C360" s="536" t="s">
        <v>955</v>
      </c>
      <c r="D360" s="594">
        <v>1279.61</v>
      </c>
      <c r="E360" s="519"/>
      <c r="F360" s="519">
        <v>1</v>
      </c>
      <c r="G360" s="595">
        <v>1098</v>
      </c>
      <c r="H360" s="538">
        <f t="shared" si="15"/>
      </c>
      <c r="I360" s="538">
        <f t="shared" si="54"/>
      </c>
      <c r="J360" s="538">
        <f t="shared" si="107"/>
      </c>
      <c r="K360" s="539">
        <f t="shared" si="155"/>
      </c>
      <c r="L360" s="540">
        <f t="shared" si="249"/>
      </c>
      <c r="M360" s="541">
        <f t="shared" si="172"/>
      </c>
      <c r="N360" s="541">
        <f t="shared" si="268"/>
      </c>
      <c r="O360" s="541">
        <f t="shared" si="285"/>
      </c>
      <c r="P360" s="542">
        <f t="shared" si="32"/>
      </c>
      <c r="Q360" s="543" t="s">
        <v>952</v>
      </c>
      <c r="R360" s="544" t="s">
        <v>949</v>
      </c>
      <c r="S360" s="575"/>
      <c r="T360" s="575"/>
      <c r="U360" s="575"/>
      <c r="V360" s="575"/>
      <c r="W360" s="567"/>
      <c r="X360" s="567"/>
      <c r="Y360" s="577"/>
    </row>
    <row r="361">
      <c r="A361" s="534"/>
      <c r="B361" s="535" t="s">
        <v>927</v>
      </c>
      <c r="C361" s="536" t="s">
        <v>956</v>
      </c>
      <c r="D361" s="594">
        <v>2114.85</v>
      </c>
      <c r="E361" s="519"/>
      <c r="F361" s="519">
        <v>0</v>
      </c>
      <c r="G361" s="595">
        <v>0</v>
      </c>
      <c r="H361" s="538">
        <f t="shared" si="15"/>
      </c>
      <c r="I361" s="538">
        <f t="shared" si="54"/>
      </c>
      <c r="J361" s="538">
        <f t="shared" si="107"/>
      </c>
      <c r="K361" s="539">
        <f t="shared" si="155"/>
      </c>
      <c r="L361" s="540">
        <f t="shared" si="249"/>
      </c>
      <c r="M361" s="541">
        <f t="shared" si="172"/>
      </c>
      <c r="N361" s="541">
        <f t="shared" si="268"/>
      </c>
      <c r="O361" s="541">
        <f t="shared" si="285"/>
      </c>
      <c r="P361" s="542">
        <f t="shared" si="32"/>
      </c>
      <c r="Q361" s="543" t="s">
        <v>952</v>
      </c>
      <c r="R361" s="544" t="s">
        <v>949</v>
      </c>
      <c r="S361" s="575"/>
      <c r="T361" s="575"/>
      <c r="U361" s="575"/>
      <c r="V361" s="575"/>
      <c r="W361" s="567"/>
      <c r="X361" s="567"/>
      <c r="Y361" s="577"/>
    </row>
    <row r="362">
      <c r="A362" s="534"/>
      <c r="B362" s="535" t="s">
        <v>927</v>
      </c>
      <c r="C362" s="536" t="s">
        <v>957</v>
      </c>
      <c r="D362" s="594">
        <v>865.13</v>
      </c>
      <c r="E362" s="519"/>
      <c r="F362" s="519">
        <v>0</v>
      </c>
      <c r="G362" s="595">
        <v>0</v>
      </c>
      <c r="H362" s="538">
        <f t="shared" si="15"/>
      </c>
      <c r="I362" s="538">
        <f t="shared" si="54"/>
      </c>
      <c r="J362" s="538">
        <f t="shared" si="107"/>
      </c>
      <c r="K362" s="539">
        <f t="shared" si="155"/>
      </c>
      <c r="L362" s="540">
        <f t="shared" si="249"/>
      </c>
      <c r="M362" s="541">
        <f t="shared" si="172"/>
      </c>
      <c r="N362" s="541">
        <f t="shared" si="268"/>
      </c>
      <c r="O362" s="541">
        <f t="shared" si="285"/>
      </c>
      <c r="P362" s="542">
        <f t="shared" si="32"/>
      </c>
      <c r="Q362" s="543" t="s">
        <v>952</v>
      </c>
      <c r="R362" s="544" t="s">
        <v>949</v>
      </c>
      <c r="S362" s="575"/>
      <c r="T362" s="575"/>
      <c r="U362" s="575"/>
      <c r="V362" s="575"/>
      <c r="W362" s="567"/>
      <c r="X362" s="567"/>
      <c r="Y362" s="577"/>
    </row>
    <row r="363">
      <c r="A363" s="534"/>
      <c r="B363" s="554" t="s">
        <v>936</v>
      </c>
      <c r="C363" s="554"/>
      <c r="D363" s="555">
        <f>SUM(D358:D362)</f>
      </c>
      <c r="E363" s="555">
        <f>SUM(E358:E362)</f>
      </c>
      <c r="F363" s="555">
        <f>SUM(F358:F362)</f>
      </c>
      <c r="G363" s="555">
        <f>SUM(G358:G362)</f>
      </c>
      <c r="H363" s="556">
        <f t="shared" si="15"/>
      </c>
      <c r="I363" s="557">
        <f t="shared" si="54"/>
      </c>
      <c r="J363" s="558">
        <f t="shared" si="107"/>
      </c>
      <c r="K363" s="559">
        <f t="shared" si="155"/>
      </c>
      <c r="L363" s="560">
        <f t="shared" si="249"/>
      </c>
      <c r="M363" s="559">
        <f t="shared" si="172"/>
      </c>
      <c r="N363" s="559">
        <f t="shared" si="268"/>
      </c>
      <c r="O363" s="561">
        <f t="shared" si="285"/>
      </c>
      <c r="P363" s="562">
        <f t="shared" si="32"/>
      </c>
      <c r="Q363" s="560"/>
      <c r="R363" s="560"/>
      <c r="S363" s="563">
        <f>SUM(S359:S362)</f>
      </c>
      <c r="T363" s="563">
        <f>SUM(T359:T362)</f>
      </c>
      <c r="U363" s="563">
        <f>SUM(U359:U362)</f>
      </c>
      <c r="V363" s="563">
        <f>SUM(V359:V362)</f>
      </c>
      <c r="W363" s="563">
        <f>SUM(W359:W362)</f>
      </c>
      <c r="X363" s="563">
        <f>SUM(X359:X362)</f>
      </c>
      <c r="Y363" s="563">
        <f>SUM(Y359:Y362)</f>
      </c>
    </row>
    <row r="364">
      <c r="A364" s="534"/>
      <c r="B364" s="579" t="s">
        <v>958</v>
      </c>
      <c r="C364" s="579"/>
      <c r="D364" s="580">
        <f>D348+D353+D363+D357</f>
      </c>
      <c r="E364" s="583">
        <f>E348+E353+E363+E357</f>
      </c>
      <c r="F364" s="583">
        <f>F348+F353+F363+F357</f>
      </c>
      <c r="G364" s="580">
        <f>G348+G353+G357+G363</f>
      </c>
      <c r="H364" s="579">
        <f t="shared" si="15"/>
      </c>
      <c r="I364" s="579">
        <f t="shared" si="54"/>
      </c>
      <c r="J364" s="579">
        <f t="shared" si="107"/>
      </c>
      <c r="K364" s="581">
        <f t="shared" si="155"/>
      </c>
      <c r="L364" s="579">
        <f t="shared" si="249"/>
      </c>
      <c r="M364" s="581">
        <f t="shared" si="172"/>
      </c>
      <c r="N364" s="581">
        <f t="shared" si="268"/>
      </c>
      <c r="O364" s="581">
        <f t="shared" si="285"/>
      </c>
      <c r="P364" s="579">
        <f t="shared" si="32"/>
      </c>
      <c r="Q364" s="582"/>
      <c r="R364" s="582"/>
      <c r="S364" s="583">
        <f>S348+S353+S363+S357</f>
      </c>
      <c r="T364" s="583">
        <f>T348+T353+T363+T357</f>
      </c>
      <c r="U364" s="583">
        <f>U348+U353+U363+U357</f>
      </c>
      <c r="V364" s="583">
        <f>V348+V353+V363+V357</f>
      </c>
      <c r="W364" s="583">
        <f>W348+W353+W363+W357</f>
      </c>
      <c r="X364" s="583">
        <f>X348+X353+X363+X357</f>
      </c>
      <c r="Y364" s="583">
        <f>Y348+Y353+Y363+Y357</f>
      </c>
    </row>
    <row r="365">
      <c r="A365" s="598"/>
      <c r="B365" s="598"/>
      <c r="C365" s="598"/>
      <c r="D365" s="598"/>
      <c r="E365" s="598"/>
      <c r="F365" s="598"/>
      <c r="G365" s="598"/>
      <c r="H365" s="598"/>
      <c r="I365" s="598"/>
      <c r="J365" s="598"/>
      <c r="K365" s="598"/>
      <c r="L365" s="598"/>
      <c r="M365" s="598"/>
      <c r="N365" s="598"/>
      <c r="O365" s="598"/>
      <c r="P365" s="598"/>
      <c r="Q365" s="598"/>
      <c r="R365" s="598"/>
      <c r="S365" s="598"/>
      <c r="T365" s="598"/>
      <c r="U365" s="598"/>
      <c r="V365" s="598"/>
      <c r="W365" s="598"/>
      <c r="X365" s="598"/>
      <c r="Y365" s="598"/>
      <c r="Z365" s="598"/>
    </row>
    <row r="366">
      <c r="A366" s="598"/>
      <c r="B366" s="598"/>
      <c r="C366" s="598"/>
      <c r="D366" s="598"/>
      <c r="E366" s="598"/>
      <c r="F366" s="598"/>
      <c r="G366" s="598"/>
      <c r="H366" s="598"/>
      <c r="I366" s="598"/>
      <c r="J366" s="598"/>
      <c r="K366" s="598"/>
      <c r="L366" s="598"/>
      <c r="M366" s="598"/>
      <c r="N366" s="598"/>
      <c r="O366" s="598"/>
      <c r="P366" s="598"/>
      <c r="Q366" s="598"/>
      <c r="R366" s="598"/>
      <c r="S366" s="598"/>
      <c r="T366" s="598"/>
      <c r="U366" s="598"/>
      <c r="V366" s="598"/>
      <c r="W366" s="598"/>
      <c r="X366" s="598"/>
      <c r="Y366" s="598"/>
      <c r="Z366" s="598"/>
    </row>
    <row r="367">
      <c r="A367" s="598"/>
      <c r="B367" s="598"/>
      <c r="C367" s="598"/>
      <c r="D367" s="598"/>
      <c r="E367" s="598"/>
      <c r="F367" s="598"/>
      <c r="G367" s="598"/>
      <c r="H367" s="598"/>
      <c r="I367" s="598"/>
      <c r="J367" s="598"/>
      <c r="K367" s="598"/>
      <c r="L367" s="598"/>
      <c r="M367" s="598"/>
      <c r="N367" s="598"/>
      <c r="O367" s="598"/>
      <c r="P367" s="598"/>
      <c r="Q367" s="598"/>
      <c r="R367" s="598"/>
      <c r="S367" s="598"/>
      <c r="T367" s="598"/>
      <c r="U367" s="598"/>
      <c r="V367" s="598"/>
      <c r="W367" s="598"/>
      <c r="X367" s="598"/>
      <c r="Y367" s="598"/>
      <c r="Z367" s="598"/>
    </row>
    <row r="368">
      <c r="A368" s="598"/>
      <c r="B368" s="598"/>
      <c r="C368" s="598"/>
      <c r="D368" s="598"/>
      <c r="E368" s="598"/>
      <c r="F368" s="598"/>
      <c r="G368" s="598"/>
      <c r="H368" s="598"/>
      <c r="I368" s="598"/>
      <c r="J368" s="598"/>
      <c r="K368" s="598"/>
      <c r="L368" s="598"/>
      <c r="M368" s="598"/>
      <c r="N368" s="598"/>
      <c r="O368" s="598"/>
      <c r="P368" s="598"/>
      <c r="Q368" s="598"/>
      <c r="R368" s="598"/>
      <c r="S368" s="598"/>
      <c r="T368" s="598"/>
      <c r="U368" s="598"/>
      <c r="V368" s="598"/>
      <c r="W368" s="598"/>
      <c r="X368" s="598"/>
      <c r="Y368" s="598"/>
      <c r="Z368" s="598"/>
    </row>
    <row r="369">
      <c r="A369" s="598"/>
      <c r="B369" s="598"/>
      <c r="C369" s="598"/>
      <c r="D369" s="598"/>
      <c r="E369" s="598"/>
      <c r="F369" s="598"/>
      <c r="G369" s="598"/>
      <c r="H369" s="598"/>
      <c r="I369" s="598"/>
      <c r="J369" s="598"/>
      <c r="K369" s="598"/>
      <c r="L369" s="598"/>
      <c r="M369" s="598"/>
      <c r="N369" s="598"/>
      <c r="O369" s="598"/>
      <c r="P369" s="598"/>
      <c r="Q369" s="598"/>
      <c r="R369" s="598"/>
      <c r="S369" s="598"/>
      <c r="T369" s="598"/>
      <c r="U369" s="598"/>
      <c r="V369" s="598"/>
      <c r="W369" s="598"/>
      <c r="X369" s="598"/>
      <c r="Y369" s="598"/>
      <c r="Z369" s="598"/>
    </row>
    <row r="370">
      <c r="A370" s="520" t="s">
        <v>1012</v>
      </c>
      <c r="B370" s="520"/>
      <c r="C370" s="520"/>
      <c r="D370" s="520"/>
      <c r="E370" s="520"/>
      <c r="F370" s="520"/>
      <c r="G370" s="520"/>
      <c r="H370" s="520"/>
      <c r="I370" s="520"/>
      <c r="J370" s="520"/>
      <c r="K370" s="520"/>
      <c r="L370" s="598"/>
      <c r="M370" s="598"/>
      <c r="N370" s="598"/>
      <c r="O370" s="598"/>
      <c r="P370" s="598"/>
      <c r="Q370" s="598"/>
      <c r="R370" s="598"/>
      <c r="S370" s="598"/>
      <c r="T370" s="598"/>
      <c r="U370" s="598"/>
      <c r="V370" s="598"/>
      <c r="W370" s="598"/>
      <c r="X370" s="598"/>
      <c r="Y370" s="598"/>
      <c r="Z370" s="598"/>
    </row>
    <row r="371">
      <c r="A371" s="533" t="s">
        <v>912</v>
      </c>
      <c r="B371" s="533" t="s">
        <v>913</v>
      </c>
      <c r="C371" s="533" t="s">
        <v>914</v>
      </c>
      <c r="D371" s="533" t="s">
        <v>915</v>
      </c>
      <c r="E371" s="533" t="s">
        <v>916</v>
      </c>
      <c r="F371" s="533" t="s">
        <v>917</v>
      </c>
      <c r="G371" s="533" t="s">
        <v>896</v>
      </c>
      <c r="H371" s="533" t="s">
        <v>918</v>
      </c>
      <c r="I371" s="533" t="s">
        <v>894</v>
      </c>
      <c r="J371" s="533" t="s">
        <v>919</v>
      </c>
      <c r="K371" s="533"/>
      <c r="L371" s="598"/>
      <c r="M371" s="598"/>
      <c r="N371" s="598"/>
      <c r="O371" s="598"/>
      <c r="P371" s="598"/>
      <c r="Q371" s="598"/>
      <c r="R371" s="598"/>
      <c r="S371" s="598"/>
      <c r="T371" s="598"/>
      <c r="U371" s="598"/>
      <c r="V371" s="598"/>
      <c r="W371" s="598"/>
      <c r="X371" s="598"/>
      <c r="Y371" s="598"/>
      <c r="Z371" s="598"/>
    </row>
    <row r="372">
      <c r="A372" s="546" t="s">
        <v>930</v>
      </c>
      <c r="B372" s="547" t="s">
        <v>974</v>
      </c>
      <c r="C372" s="546">
        <v>4</v>
      </c>
      <c r="D372" s="546">
        <v>6327.48</v>
      </c>
      <c r="E372" s="546">
        <v>9595.2</v>
      </c>
      <c r="F372" s="546">
        <v>9</v>
      </c>
      <c r="G372" s="549">
        <f t="shared" ref="G372:G376" si="55">E372/F372</f>
      </c>
      <c r="H372" s="549">
        <f t="shared" ref="H372:H376" si="108">D372/F372</f>
      </c>
      <c r="I372" s="549">
        <f t="shared" ref="I372:I376" si="173">E372/D372</f>
      </c>
      <c r="J372" s="548">
        <f t="shared" ref="J372:J376" si="204">D372/C372</f>
      </c>
      <c r="K372" s="548"/>
      <c r="L372" s="598"/>
      <c r="M372" s="598"/>
      <c r="N372" s="598"/>
      <c r="O372" s="598"/>
      <c r="P372" s="598"/>
      <c r="Q372" s="598"/>
      <c r="R372" s="598"/>
      <c r="S372" s="598"/>
      <c r="T372" s="598"/>
      <c r="U372" s="598"/>
      <c r="V372" s="598"/>
      <c r="W372" s="598"/>
      <c r="X372" s="598"/>
      <c r="Y372" s="598"/>
      <c r="Z372" s="598"/>
    </row>
    <row r="373">
      <c r="A373" s="546" t="s">
        <v>966</v>
      </c>
      <c r="B373" s="547" t="s">
        <v>976</v>
      </c>
      <c r="C373" s="546">
        <v>4</v>
      </c>
      <c r="D373" s="546">
        <v>10763.64</v>
      </c>
      <c r="E373" s="546">
        <v>10420.5</v>
      </c>
      <c r="F373" s="546">
        <v>9</v>
      </c>
      <c r="G373" s="549">
        <f t="shared" si="55"/>
      </c>
      <c r="H373" s="549">
        <f t="shared" si="108"/>
      </c>
      <c r="I373" s="549">
        <f t="shared" si="173"/>
      </c>
      <c r="J373" s="548">
        <f t="shared" si="204"/>
      </c>
      <c r="K373" s="548"/>
      <c r="L373" s="598"/>
      <c r="M373" s="598"/>
      <c r="N373" s="598"/>
      <c r="O373" s="598"/>
      <c r="P373" s="598"/>
      <c r="Q373" s="598"/>
      <c r="R373" s="598"/>
      <c r="S373" s="598"/>
      <c r="T373" s="598"/>
      <c r="U373" s="598"/>
      <c r="V373" s="598"/>
      <c r="W373" s="598"/>
      <c r="X373" s="598"/>
      <c r="Y373" s="598"/>
      <c r="Z373" s="598"/>
    </row>
    <row r="374">
      <c r="A374" s="546" t="s">
        <v>927</v>
      </c>
      <c r="B374" s="547" t="s">
        <v>981</v>
      </c>
      <c r="C374" s="546">
        <v>4</v>
      </c>
      <c r="D374" s="546">
        <v>8987.51</v>
      </c>
      <c r="E374" s="546">
        <v>13823.6</v>
      </c>
      <c r="F374" s="546">
        <v>11</v>
      </c>
      <c r="G374" s="549">
        <f t="shared" si="55"/>
      </c>
      <c r="H374" s="549">
        <f t="shared" si="108"/>
      </c>
      <c r="I374" s="549">
        <f t="shared" si="173"/>
      </c>
      <c r="J374" s="548">
        <f t="shared" si="204"/>
      </c>
      <c r="K374" s="548"/>
      <c r="L374" s="598"/>
      <c r="M374" s="598"/>
      <c r="N374" s="598"/>
      <c r="O374" s="598"/>
      <c r="P374" s="598"/>
      <c r="Q374" s="598"/>
      <c r="R374" s="598"/>
      <c r="S374" s="598"/>
      <c r="T374" s="598"/>
      <c r="U374" s="598"/>
      <c r="V374" s="598"/>
      <c r="W374" s="598"/>
      <c r="X374" s="598"/>
      <c r="Y374" s="598"/>
      <c r="Z374" s="598"/>
    </row>
    <row r="375">
      <c r="A375" s="546" t="s">
        <v>975</v>
      </c>
      <c r="B375" s="547" t="s">
        <v>968</v>
      </c>
      <c r="C375" s="546">
        <v>4</v>
      </c>
      <c r="D375" s="546">
        <v>9548.55</v>
      </c>
      <c r="E375" s="546">
        <v>21769.7</v>
      </c>
      <c r="F375" s="546">
        <v>15</v>
      </c>
      <c r="G375" s="549">
        <f t="shared" si="55"/>
      </c>
      <c r="H375" s="549">
        <f t="shared" si="108"/>
      </c>
      <c r="I375" s="549">
        <f t="shared" si="173"/>
      </c>
      <c r="J375" s="548">
        <f t="shared" si="204"/>
      </c>
      <c r="K375" s="548"/>
      <c r="L375" s="598"/>
      <c r="M375" s="598"/>
      <c r="N375" s="598"/>
      <c r="O375" s="598"/>
      <c r="P375" s="598"/>
      <c r="Q375" s="598"/>
      <c r="R375" s="598"/>
      <c r="S375" s="598"/>
      <c r="T375" s="598"/>
      <c r="U375" s="598"/>
      <c r="V375" s="598"/>
      <c r="W375" s="598"/>
      <c r="X375" s="598"/>
      <c r="Y375" s="598"/>
      <c r="Z375" s="598"/>
    </row>
    <row r="376">
      <c r="A376" s="533" t="s">
        <v>933</v>
      </c>
      <c r="B376" s="533"/>
      <c r="C376" s="533">
        <f>SUM(C372:C375)</f>
      </c>
      <c r="D376" s="533">
        <f>SUM(D372:D375)</f>
      </c>
      <c r="E376" s="533">
        <f>SUM(E372:E375)</f>
      </c>
      <c r="F376" s="533">
        <f>SUM(F372:F375)</f>
      </c>
      <c r="G376" s="551">
        <f t="shared" si="55"/>
      </c>
      <c r="H376" s="551">
        <f t="shared" si="108"/>
      </c>
      <c r="I376" s="551">
        <f t="shared" si="173"/>
      </c>
      <c r="J376" s="550">
        <f t="shared" si="204"/>
      </c>
      <c r="K376" s="550"/>
      <c r="L376" s="598"/>
      <c r="M376" s="598"/>
      <c r="N376" s="598"/>
      <c r="O376" s="598"/>
      <c r="P376" s="598"/>
      <c r="Q376" s="598"/>
      <c r="R376" s="598"/>
      <c r="S376" s="598"/>
      <c r="T376" s="598"/>
      <c r="U376" s="598"/>
      <c r="V376" s="598"/>
      <c r="W376" s="598"/>
      <c r="X376" s="598"/>
      <c r="Y376" s="598"/>
      <c r="Z376" s="598"/>
    </row>
    <row r="377">
      <c r="A377" s="553" t="s">
        <v>935</v>
      </c>
      <c r="B377" s="553"/>
      <c r="C377" s="553"/>
      <c r="D377" s="553"/>
      <c r="E377" s="553"/>
      <c r="F377" s="553"/>
      <c r="G377" s="553"/>
      <c r="H377" s="553"/>
      <c r="I377" s="553"/>
      <c r="J377" s="553"/>
      <c r="K377" s="553"/>
      <c r="L377" s="598"/>
      <c r="M377" s="598"/>
      <c r="N377" s="598"/>
      <c r="O377" s="598"/>
      <c r="P377" s="598"/>
      <c r="Q377" s="598"/>
      <c r="R377" s="598"/>
      <c r="S377" s="598"/>
      <c r="T377" s="598"/>
      <c r="U377" s="598"/>
      <c r="V377" s="598"/>
      <c r="W377" s="598"/>
      <c r="X377" s="598"/>
      <c r="Y377" s="598"/>
      <c r="Z377" s="598"/>
    </row>
    <row r="378">
      <c r="A378" s="564" t="s">
        <v>915</v>
      </c>
      <c r="B378" s="564" t="s">
        <v>937</v>
      </c>
      <c r="C378" s="564" t="s">
        <v>938</v>
      </c>
      <c r="D378" s="564" t="s">
        <v>939</v>
      </c>
      <c r="E378" s="564" t="s">
        <v>940</v>
      </c>
      <c r="F378" s="564" t="s">
        <v>941</v>
      </c>
      <c r="G378" s="564" t="s">
        <v>942</v>
      </c>
      <c r="H378" s="565" t="s">
        <v>910</v>
      </c>
      <c r="I378" s="565" t="s">
        <v>943</v>
      </c>
      <c r="J378" s="565" t="s">
        <v>944</v>
      </c>
      <c r="K378" s="565" t="s">
        <v>914</v>
      </c>
      <c r="L378" s="598"/>
      <c r="M378" s="598"/>
      <c r="N378" s="598"/>
      <c r="O378" s="598"/>
      <c r="P378" s="598"/>
      <c r="Q378" s="598"/>
      <c r="R378" s="598"/>
      <c r="S378" s="598"/>
      <c r="T378" s="598"/>
      <c r="U378" s="598"/>
      <c r="V378" s="598"/>
      <c r="W378" s="598"/>
      <c r="X378" s="598"/>
      <c r="Y378" s="598"/>
      <c r="Z378" s="598"/>
    </row>
    <row r="379">
      <c r="A379" s="568">
        <f>SUM(D372:D375)</f>
      </c>
      <c r="B379" s="568">
        <f>SUM(E372:E375)</f>
      </c>
      <c r="C379" s="569">
        <f>B379/((K379*300)+A379)</f>
      </c>
      <c r="D379" s="570">
        <f>A379/J379</f>
      </c>
      <c r="E379" s="569">
        <f>B379/J379</f>
      </c>
      <c r="F379" s="571">
        <f>J379/I379</f>
      </c>
      <c r="G379" s="571">
        <f>H379/J379</f>
      </c>
      <c r="H379" s="572">
        <v>6</v>
      </c>
      <c r="I379" s="572">
        <v>61</v>
      </c>
      <c r="J379" s="572">
        <f>F376</f>
      </c>
      <c r="K379" s="573">
        <f>C376</f>
      </c>
      <c r="L379" s="598"/>
      <c r="M379" s="598"/>
      <c r="N379" s="598"/>
      <c r="O379" s="598"/>
      <c r="P379" s="598"/>
      <c r="Q379" s="598"/>
      <c r="R379" s="598"/>
      <c r="S379" s="598"/>
      <c r="T379" s="598"/>
      <c r="U379" s="598"/>
      <c r="V379" s="598"/>
      <c r="W379" s="598"/>
      <c r="X379" s="598"/>
      <c r="Y379" s="598"/>
      <c r="Z379" s="598"/>
    </row>
    <row r="380">
      <c r="A380" s="520" t="s">
        <v>1013</v>
      </c>
      <c r="B380" s="520"/>
      <c r="C380" s="520"/>
      <c r="D380" s="520"/>
      <c r="E380" s="520"/>
      <c r="F380" s="520"/>
      <c r="G380" s="520"/>
      <c r="H380" s="520"/>
      <c r="I380" s="520"/>
      <c r="J380" s="520"/>
      <c r="K380" s="520"/>
      <c r="L380" s="598"/>
      <c r="M380" s="598"/>
      <c r="N380" s="598"/>
      <c r="O380" s="598"/>
      <c r="P380" s="598"/>
      <c r="Q380" s="598"/>
      <c r="R380" s="598"/>
      <c r="S380" s="598"/>
      <c r="T380" s="598"/>
      <c r="U380" s="598"/>
      <c r="V380" s="598"/>
      <c r="W380" s="598"/>
      <c r="X380" s="598"/>
      <c r="Y380" s="598"/>
      <c r="Z380" s="598"/>
    </row>
    <row r="381">
      <c r="A381" s="533" t="s">
        <v>912</v>
      </c>
      <c r="B381" s="533" t="s">
        <v>913</v>
      </c>
      <c r="C381" s="533" t="s">
        <v>914</v>
      </c>
      <c r="D381" s="533" t="s">
        <v>915</v>
      </c>
      <c r="E381" s="533" t="s">
        <v>916</v>
      </c>
      <c r="F381" s="533" t="s">
        <v>917</v>
      </c>
      <c r="G381" s="533" t="s">
        <v>896</v>
      </c>
      <c r="H381" s="533" t="s">
        <v>918</v>
      </c>
      <c r="I381" s="533" t="s">
        <v>894</v>
      </c>
      <c r="J381" s="533" t="s">
        <v>919</v>
      </c>
      <c r="K381" s="533"/>
      <c r="L381" s="598"/>
      <c r="M381" s="598"/>
      <c r="N381" s="598"/>
      <c r="O381" s="598"/>
      <c r="P381" s="598"/>
      <c r="Q381" s="598"/>
      <c r="R381" s="598"/>
      <c r="S381" s="598"/>
      <c r="T381" s="598"/>
      <c r="U381" s="598"/>
      <c r="V381" s="598"/>
      <c r="W381" s="598"/>
      <c r="X381" s="598"/>
      <c r="Y381" s="598"/>
      <c r="Z381" s="598"/>
    </row>
    <row r="382">
      <c r="A382" s="546" t="s">
        <v>966</v>
      </c>
      <c r="B382" s="547" t="s">
        <v>974</v>
      </c>
      <c r="C382" s="546">
        <v>4</v>
      </c>
      <c r="D382" s="546">
        <v>6113.17</v>
      </c>
      <c r="E382" s="546">
        <v>5173.7</v>
      </c>
      <c r="F382" s="546">
        <v>6</v>
      </c>
      <c r="G382" s="549">
        <f t="shared" ref="G382:G386" si="56">E382/F382</f>
      </c>
      <c r="H382" s="549">
        <f t="shared" ref="H382:H386" si="109">D382/F382</f>
      </c>
      <c r="I382" s="549">
        <f t="shared" ref="I382:I386" si="174">E382/D382</f>
      </c>
      <c r="J382" s="548">
        <f t="shared" ref="J382:J386" si="205">D382/C382</f>
      </c>
      <c r="K382" s="548"/>
      <c r="L382" s="598"/>
      <c r="M382" s="598"/>
      <c r="N382" s="598"/>
      <c r="O382" s="598"/>
      <c r="P382" s="598"/>
      <c r="Q382" s="598"/>
      <c r="R382" s="598"/>
      <c r="S382" s="598"/>
      <c r="T382" s="598"/>
      <c r="U382" s="598"/>
      <c r="V382" s="598"/>
      <c r="W382" s="598"/>
      <c r="X382" s="598"/>
      <c r="Y382" s="598"/>
      <c r="Z382" s="598"/>
    </row>
    <row r="383">
      <c r="A383" s="546" t="s">
        <v>927</v>
      </c>
      <c r="B383" s="547" t="s">
        <v>976</v>
      </c>
      <c r="C383" s="546">
        <v>4</v>
      </c>
      <c r="D383" s="546">
        <v>4310.62</v>
      </c>
      <c r="E383" s="546">
        <v>2336.4</v>
      </c>
      <c r="F383" s="546">
        <v>2</v>
      </c>
      <c r="G383" s="549">
        <f t="shared" si="56"/>
      </c>
      <c r="H383" s="549">
        <f t="shared" si="109"/>
      </c>
      <c r="I383" s="549">
        <f t="shared" si="174"/>
      </c>
      <c r="J383" s="548">
        <f t="shared" si="205"/>
      </c>
      <c r="K383" s="548"/>
      <c r="L383" s="598"/>
      <c r="M383" s="598"/>
      <c r="N383" s="598"/>
      <c r="O383" s="598"/>
      <c r="P383" s="598"/>
      <c r="Q383" s="598"/>
      <c r="R383" s="598"/>
      <c r="S383" s="598"/>
      <c r="T383" s="598"/>
      <c r="U383" s="598"/>
      <c r="V383" s="598"/>
      <c r="W383" s="598"/>
      <c r="X383" s="598"/>
      <c r="Y383" s="598"/>
      <c r="Z383" s="598"/>
    </row>
    <row r="384">
      <c r="A384" s="546" t="s">
        <v>930</v>
      </c>
      <c r="B384" s="547" t="s">
        <v>981</v>
      </c>
      <c r="C384" s="546">
        <v>4</v>
      </c>
      <c r="D384" s="546">
        <v>3811.08</v>
      </c>
      <c r="E384" s="546">
        <v>4338.9</v>
      </c>
      <c r="F384" s="546">
        <v>5</v>
      </c>
      <c r="G384" s="549">
        <f t="shared" si="56"/>
      </c>
      <c r="H384" s="549">
        <f t="shared" si="109"/>
      </c>
      <c r="I384" s="549">
        <f t="shared" si="174"/>
      </c>
      <c r="J384" s="548">
        <f t="shared" si="205"/>
      </c>
      <c r="K384" s="548"/>
      <c r="L384" s="598"/>
      <c r="M384" s="598"/>
      <c r="N384" s="598"/>
      <c r="O384" s="598"/>
      <c r="P384" s="598"/>
      <c r="Q384" s="598"/>
      <c r="R384" s="598"/>
      <c r="S384" s="598"/>
      <c r="T384" s="598"/>
      <c r="U384" s="598"/>
      <c r="V384" s="598"/>
      <c r="W384" s="598"/>
      <c r="X384" s="598"/>
      <c r="Y384" s="598"/>
      <c r="Z384" s="598"/>
    </row>
    <row r="385">
      <c r="A385" s="546" t="s">
        <v>975</v>
      </c>
      <c r="B385" s="547" t="s">
        <v>968</v>
      </c>
      <c r="C385" s="546">
        <v>4</v>
      </c>
      <c r="D385" s="546">
        <v>6287.2</v>
      </c>
      <c r="E385" s="546">
        <v>13556.1</v>
      </c>
      <c r="F385" s="546">
        <v>11</v>
      </c>
      <c r="G385" s="549">
        <f t="shared" si="56"/>
      </c>
      <c r="H385" s="549">
        <f t="shared" si="109"/>
      </c>
      <c r="I385" s="549">
        <f t="shared" si="174"/>
      </c>
      <c r="J385" s="548">
        <f t="shared" si="205"/>
      </c>
      <c r="K385" s="548"/>
      <c r="L385" s="598"/>
      <c r="M385" s="598"/>
      <c r="N385" s="598"/>
      <c r="O385" s="598"/>
      <c r="P385" s="598"/>
      <c r="Q385" s="598"/>
      <c r="R385" s="598"/>
      <c r="S385" s="598"/>
      <c r="T385" s="598"/>
      <c r="U385" s="598"/>
      <c r="V385" s="598"/>
      <c r="W385" s="598"/>
      <c r="X385" s="598"/>
      <c r="Y385" s="598"/>
      <c r="Z385" s="598"/>
    </row>
    <row r="386">
      <c r="A386" s="533" t="s">
        <v>933</v>
      </c>
      <c r="B386" s="533"/>
      <c r="C386" s="533">
        <f>SUM(C382:C385)</f>
      </c>
      <c r="D386" s="533">
        <f>SUM(D382:D385)</f>
      </c>
      <c r="E386" s="533">
        <f>SUM(E382:E385)</f>
      </c>
      <c r="F386" s="533">
        <f>SUM(F382:F385)</f>
      </c>
      <c r="G386" s="551">
        <f t="shared" si="56"/>
      </c>
      <c r="H386" s="551">
        <f t="shared" si="109"/>
      </c>
      <c r="I386" s="551">
        <f t="shared" si="174"/>
      </c>
      <c r="J386" s="550">
        <f t="shared" si="205"/>
      </c>
      <c r="K386" s="550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</row>
    <row r="387">
      <c r="A387" s="553" t="s">
        <v>935</v>
      </c>
      <c r="B387" s="553"/>
      <c r="C387" s="553"/>
      <c r="D387" s="553"/>
      <c r="E387" s="553"/>
      <c r="F387" s="553"/>
      <c r="G387" s="553"/>
      <c r="H387" s="553"/>
      <c r="I387" s="553"/>
      <c r="J387" s="553"/>
      <c r="K387" s="553"/>
      <c r="L387" s="598"/>
      <c r="M387" s="598"/>
      <c r="N387" s="598"/>
      <c r="O387" s="598"/>
      <c r="P387" s="598"/>
      <c r="Q387" s="598"/>
      <c r="R387" s="598"/>
      <c r="S387" s="598"/>
      <c r="T387" s="598"/>
      <c r="U387" s="598"/>
      <c r="V387" s="598"/>
      <c r="W387" s="598"/>
      <c r="X387" s="598"/>
      <c r="Y387" s="598"/>
      <c r="Z387" s="598"/>
    </row>
    <row r="388">
      <c r="A388" s="564" t="s">
        <v>915</v>
      </c>
      <c r="B388" s="564" t="s">
        <v>937</v>
      </c>
      <c r="C388" s="564" t="s">
        <v>938</v>
      </c>
      <c r="D388" s="564" t="s">
        <v>939</v>
      </c>
      <c r="E388" s="564" t="s">
        <v>940</v>
      </c>
      <c r="F388" s="564" t="s">
        <v>941</v>
      </c>
      <c r="G388" s="564" t="s">
        <v>942</v>
      </c>
      <c r="H388" s="565" t="s">
        <v>910</v>
      </c>
      <c r="I388" s="565" t="s">
        <v>943</v>
      </c>
      <c r="J388" s="565" t="s">
        <v>944</v>
      </c>
      <c r="K388" s="565" t="s">
        <v>914</v>
      </c>
      <c r="L388" s="598"/>
      <c r="M388" s="598"/>
      <c r="N388" s="598"/>
      <c r="O388" s="598"/>
      <c r="P388" s="598"/>
      <c r="Q388" s="598"/>
      <c r="R388" s="598"/>
      <c r="S388" s="598"/>
      <c r="T388" s="598"/>
      <c r="U388" s="598"/>
      <c r="V388" s="598"/>
      <c r="W388" s="598"/>
      <c r="X388" s="598"/>
      <c r="Y388" s="598"/>
      <c r="Z388" s="598"/>
    </row>
    <row r="389">
      <c r="A389" s="568">
        <f>SUM(D382:D385)</f>
      </c>
      <c r="B389" s="568">
        <f>SUM(E382:E385)</f>
      </c>
      <c r="C389" s="569">
        <f>B389/((K389*300)+A389)</f>
      </c>
      <c r="D389" s="570">
        <f>A389/J389</f>
      </c>
      <c r="E389" s="569">
        <f>B389/J389</f>
      </c>
      <c r="F389" s="571">
        <f>J389/I389</f>
      </c>
      <c r="G389" s="571">
        <f>H389/J389</f>
      </c>
      <c r="H389" s="572">
        <v>6</v>
      </c>
      <c r="I389" s="572">
        <v>38</v>
      </c>
      <c r="J389" s="572">
        <f>F386</f>
      </c>
      <c r="K389" s="573">
        <f>C386</f>
      </c>
      <c r="L389" s="598"/>
      <c r="M389" s="598"/>
      <c r="N389" s="598"/>
      <c r="O389" s="598"/>
      <c r="P389" s="598"/>
      <c r="Q389" s="598"/>
      <c r="R389" s="598"/>
      <c r="S389" s="598"/>
      <c r="T389" s="598"/>
      <c r="U389" s="598"/>
      <c r="V389" s="598"/>
      <c r="W389" s="598"/>
      <c r="X389" s="598"/>
      <c r="Y389" s="598"/>
      <c r="Z389" s="598"/>
    </row>
    <row r="390">
      <c r="A390" s="520" t="s">
        <v>1014</v>
      </c>
      <c r="B390" s="520"/>
      <c r="C390" s="520"/>
      <c r="D390" s="520"/>
      <c r="E390" s="520"/>
      <c r="F390" s="520"/>
      <c r="G390" s="520"/>
      <c r="H390" s="520"/>
      <c r="I390" s="520"/>
      <c r="J390" s="520"/>
      <c r="K390" s="520"/>
      <c r="L390" s="598"/>
      <c r="M390" s="598"/>
      <c r="N390" s="598"/>
      <c r="O390" s="598"/>
      <c r="P390" s="598"/>
      <c r="Q390" s="598"/>
      <c r="R390" s="598"/>
      <c r="S390" s="598"/>
      <c r="T390" s="598"/>
      <c r="U390" s="598"/>
      <c r="V390" s="598"/>
      <c r="W390" s="598"/>
      <c r="X390" s="598"/>
      <c r="Y390" s="598"/>
      <c r="Z390" s="598"/>
    </row>
    <row r="391">
      <c r="A391" s="533" t="s">
        <v>912</v>
      </c>
      <c r="B391" s="533" t="s">
        <v>913</v>
      </c>
      <c r="C391" s="533" t="s">
        <v>914</v>
      </c>
      <c r="D391" s="533" t="s">
        <v>915</v>
      </c>
      <c r="E391" s="533" t="s">
        <v>916</v>
      </c>
      <c r="F391" s="533" t="s">
        <v>917</v>
      </c>
      <c r="G391" s="533" t="s">
        <v>896</v>
      </c>
      <c r="H391" s="533" t="s">
        <v>918</v>
      </c>
      <c r="I391" s="533" t="s">
        <v>894</v>
      </c>
      <c r="J391" s="533" t="s">
        <v>919</v>
      </c>
      <c r="K391" s="533"/>
      <c r="L391" s="598"/>
      <c r="M391" s="598"/>
      <c r="N391" s="598"/>
      <c r="O391" s="598"/>
      <c r="P391" s="598"/>
      <c r="Q391" s="598"/>
      <c r="R391" s="598"/>
      <c r="S391" s="598"/>
      <c r="T391" s="598"/>
      <c r="U391" s="598"/>
      <c r="V391" s="598"/>
      <c r="W391" s="598"/>
      <c r="X391" s="598"/>
      <c r="Y391" s="598"/>
      <c r="Z391" s="598"/>
    </row>
    <row r="392">
      <c r="A392" s="546" t="s">
        <v>930</v>
      </c>
      <c r="B392" s="547" t="s">
        <v>974</v>
      </c>
      <c r="C392" s="546">
        <v>4</v>
      </c>
      <c r="D392" s="546">
        <v>8868.8</v>
      </c>
      <c r="E392" s="546">
        <v>6850.4</v>
      </c>
      <c r="F392" s="546">
        <v>7</v>
      </c>
      <c r="G392" s="549">
        <f t="shared" ref="G392:G396" si="57">E392/F392</f>
      </c>
      <c r="H392" s="549">
        <f t="shared" ref="H392:H396" si="110">D392/F392</f>
      </c>
      <c r="I392" s="549">
        <f t="shared" ref="I392:I396" si="175">E392/D392</f>
      </c>
      <c r="J392" s="548">
        <f t="shared" ref="J392:J396" si="206">D392/C392</f>
      </c>
      <c r="K392" s="548"/>
      <c r="L392" s="598"/>
      <c r="M392" s="598"/>
      <c r="N392" s="598"/>
      <c r="O392" s="598"/>
      <c r="P392" s="598"/>
      <c r="Q392" s="598"/>
      <c r="R392" s="598"/>
      <c r="S392" s="598"/>
      <c r="T392" s="598"/>
      <c r="U392" s="598"/>
      <c r="V392" s="598"/>
      <c r="W392" s="598"/>
      <c r="X392" s="598"/>
      <c r="Y392" s="598"/>
      <c r="Z392" s="598"/>
    </row>
    <row r="393">
      <c r="A393" s="546" t="s">
        <v>975</v>
      </c>
      <c r="B393" s="547" t="s">
        <v>1015</v>
      </c>
      <c r="C393" s="546">
        <v>3</v>
      </c>
      <c r="D393" s="546">
        <v>6033.68</v>
      </c>
      <c r="E393" s="546">
        <v>2395.2</v>
      </c>
      <c r="F393" s="546">
        <v>2</v>
      </c>
      <c r="G393" s="549">
        <f t="shared" si="57"/>
      </c>
      <c r="H393" s="549">
        <f t="shared" si="110"/>
      </c>
      <c r="I393" s="549">
        <f t="shared" si="175"/>
      </c>
      <c r="J393" s="548">
        <f t="shared" si="206"/>
      </c>
      <c r="K393" s="548"/>
      <c r="L393" s="598"/>
      <c r="M393" s="598"/>
      <c r="N393" s="598"/>
      <c r="O393" s="598"/>
      <c r="P393" s="598"/>
      <c r="Q393" s="598"/>
      <c r="R393" s="598"/>
      <c r="S393" s="598"/>
      <c r="T393" s="598"/>
      <c r="U393" s="598"/>
      <c r="V393" s="598"/>
      <c r="W393" s="598"/>
      <c r="X393" s="598"/>
      <c r="Y393" s="598"/>
      <c r="Z393" s="598"/>
    </row>
    <row r="394">
      <c r="A394" s="546" t="s">
        <v>927</v>
      </c>
      <c r="B394" s="547" t="s">
        <v>981</v>
      </c>
      <c r="C394" s="546">
        <v>4</v>
      </c>
      <c r="D394" s="546">
        <v>6621.76</v>
      </c>
      <c r="E394" s="546">
        <v>6644.4</v>
      </c>
      <c r="F394" s="546">
        <v>5</v>
      </c>
      <c r="G394" s="549">
        <f t="shared" si="57"/>
      </c>
      <c r="H394" s="549">
        <f t="shared" si="110"/>
      </c>
      <c r="I394" s="549">
        <f t="shared" si="175"/>
      </c>
      <c r="J394" s="548">
        <f t="shared" si="206"/>
      </c>
      <c r="K394" s="548"/>
      <c r="L394" s="598"/>
      <c r="M394" s="598"/>
      <c r="N394" s="598"/>
      <c r="O394" s="598"/>
      <c r="P394" s="598"/>
      <c r="Q394" s="598"/>
      <c r="R394" s="598"/>
      <c r="S394" s="598"/>
      <c r="T394" s="598"/>
      <c r="U394" s="598"/>
      <c r="V394" s="598"/>
      <c r="W394" s="598"/>
      <c r="X394" s="598"/>
      <c r="Y394" s="598"/>
      <c r="Z394" s="598"/>
    </row>
    <row r="395">
      <c r="A395" s="546" t="s">
        <v>966</v>
      </c>
      <c r="B395" s="547" t="s">
        <v>968</v>
      </c>
      <c r="C395" s="546">
        <v>4</v>
      </c>
      <c r="D395" s="546">
        <v>8236.14</v>
      </c>
      <c r="E395" s="546">
        <v>9127.2</v>
      </c>
      <c r="F395" s="546">
        <v>7</v>
      </c>
      <c r="G395" s="549">
        <f t="shared" si="57"/>
      </c>
      <c r="H395" s="549">
        <f t="shared" si="110"/>
      </c>
      <c r="I395" s="549">
        <f t="shared" si="175"/>
      </c>
      <c r="J395" s="548">
        <f t="shared" si="206"/>
      </c>
      <c r="K395" s="548"/>
      <c r="L395" s="598"/>
      <c r="M395" s="598"/>
      <c r="N395" s="598"/>
      <c r="O395" s="598"/>
      <c r="P395" s="598"/>
      <c r="Q395" s="598"/>
      <c r="R395" s="598"/>
      <c r="S395" s="598"/>
      <c r="T395" s="598"/>
      <c r="U395" s="598"/>
      <c r="V395" s="598"/>
      <c r="W395" s="598"/>
      <c r="X395" s="598"/>
      <c r="Y395" s="598"/>
      <c r="Z395" s="598"/>
    </row>
    <row r="396">
      <c r="A396" s="533" t="s">
        <v>933</v>
      </c>
      <c r="B396" s="533"/>
      <c r="C396" s="533">
        <f>SUM(C392:C395)</f>
      </c>
      <c r="D396" s="533">
        <f>SUM(D392:D395)</f>
      </c>
      <c r="E396" s="533">
        <f>SUM(E392:E395)</f>
      </c>
      <c r="F396" s="533">
        <f>SUM(F392:F395)</f>
      </c>
      <c r="G396" s="551">
        <f t="shared" si="57"/>
      </c>
      <c r="H396" s="551">
        <f t="shared" si="110"/>
      </c>
      <c r="I396" s="551">
        <f t="shared" si="175"/>
      </c>
      <c r="J396" s="550">
        <f t="shared" si="206"/>
      </c>
      <c r="K396" s="550"/>
      <c r="L396" s="598"/>
      <c r="M396" s="598"/>
      <c r="N396" s="598"/>
      <c r="O396" s="598"/>
      <c r="P396" s="598"/>
      <c r="Q396" s="598"/>
      <c r="R396" s="598"/>
      <c r="S396" s="598"/>
      <c r="T396" s="598"/>
      <c r="U396" s="598"/>
      <c r="V396" s="598"/>
      <c r="W396" s="598"/>
      <c r="X396" s="598"/>
      <c r="Y396" s="598"/>
      <c r="Z396" s="598"/>
    </row>
    <row r="397">
      <c r="A397" s="553" t="s">
        <v>935</v>
      </c>
      <c r="B397" s="553"/>
      <c r="C397" s="553"/>
      <c r="D397" s="553"/>
      <c r="E397" s="553"/>
      <c r="F397" s="553"/>
      <c r="G397" s="553"/>
      <c r="H397" s="553"/>
      <c r="I397" s="553"/>
      <c r="J397" s="553"/>
      <c r="K397" s="553"/>
      <c r="L397" s="598"/>
      <c r="M397" s="598"/>
      <c r="N397" s="598"/>
      <c r="O397" s="598"/>
      <c r="P397" s="598"/>
      <c r="Q397" s="598"/>
      <c r="R397" s="598"/>
      <c r="S397" s="598"/>
      <c r="T397" s="598"/>
      <c r="U397" s="598"/>
      <c r="V397" s="598"/>
      <c r="W397" s="598"/>
      <c r="X397" s="598"/>
      <c r="Y397" s="598"/>
      <c r="Z397" s="598"/>
    </row>
    <row r="398">
      <c r="A398" s="564" t="s">
        <v>915</v>
      </c>
      <c r="B398" s="564" t="s">
        <v>937</v>
      </c>
      <c r="C398" s="564" t="s">
        <v>938</v>
      </c>
      <c r="D398" s="564" t="s">
        <v>939</v>
      </c>
      <c r="E398" s="564" t="s">
        <v>940</v>
      </c>
      <c r="F398" s="564" t="s">
        <v>941</v>
      </c>
      <c r="G398" s="564" t="s">
        <v>942</v>
      </c>
      <c r="H398" s="565" t="s">
        <v>910</v>
      </c>
      <c r="I398" s="565" t="s">
        <v>943</v>
      </c>
      <c r="J398" s="565" t="s">
        <v>944</v>
      </c>
      <c r="K398" s="565" t="s">
        <v>914</v>
      </c>
      <c r="L398" s="598"/>
      <c r="M398" s="598"/>
      <c r="N398" s="598"/>
      <c r="O398" s="598"/>
      <c r="P398" s="598"/>
      <c r="Q398" s="598"/>
      <c r="R398" s="598"/>
      <c r="S398" s="598"/>
      <c r="T398" s="598"/>
      <c r="U398" s="598"/>
      <c r="V398" s="598"/>
      <c r="W398" s="598"/>
      <c r="X398" s="598"/>
      <c r="Y398" s="598"/>
      <c r="Z398" s="598"/>
    </row>
    <row r="399">
      <c r="A399" s="568">
        <f>SUM(D392:D395)</f>
      </c>
      <c r="B399" s="568">
        <f>SUM(E392:E395)</f>
      </c>
      <c r="C399" s="569">
        <f>B399/((K399*300)+A399)</f>
      </c>
      <c r="D399" s="570">
        <f>A399/J399</f>
      </c>
      <c r="E399" s="569">
        <f>B399/J399</f>
      </c>
      <c r="F399" s="571">
        <f>J399/I399</f>
      </c>
      <c r="G399" s="571">
        <f>H399/J399</f>
      </c>
      <c r="H399" s="572">
        <v>4</v>
      </c>
      <c r="I399" s="572">
        <v>30</v>
      </c>
      <c r="J399" s="572">
        <f>F396</f>
      </c>
      <c r="K399" s="573">
        <f>C396</f>
      </c>
      <c r="L399" s="598"/>
      <c r="M399" s="598"/>
      <c r="N399" s="598"/>
      <c r="O399" s="598"/>
      <c r="P399" s="598"/>
      <c r="Q399" s="598"/>
      <c r="R399" s="598"/>
      <c r="S399" s="598"/>
      <c r="T399" s="598"/>
      <c r="U399" s="598"/>
      <c r="V399" s="598"/>
      <c r="W399" s="598"/>
      <c r="X399" s="598"/>
      <c r="Y399" s="598"/>
      <c r="Z399" s="598"/>
    </row>
    <row r="400">
      <c r="A400" s="520" t="s">
        <v>1016</v>
      </c>
      <c r="B400" s="520"/>
      <c r="C400" s="520"/>
      <c r="D400" s="520"/>
      <c r="E400" s="520"/>
      <c r="F400" s="520"/>
      <c r="G400" s="520"/>
      <c r="H400" s="520"/>
      <c r="I400" s="520"/>
      <c r="J400" s="520"/>
      <c r="K400" s="520"/>
      <c r="L400" s="598"/>
      <c r="M400" s="598"/>
      <c r="N400" s="598"/>
      <c r="O400" s="598"/>
      <c r="P400" s="598"/>
      <c r="Q400" s="598"/>
      <c r="R400" s="598"/>
      <c r="S400" s="598"/>
      <c r="T400" s="598"/>
      <c r="U400" s="598"/>
      <c r="V400" s="598"/>
      <c r="W400" s="598"/>
      <c r="X400" s="598"/>
      <c r="Y400" s="598"/>
      <c r="Z400" s="598"/>
    </row>
    <row r="401">
      <c r="A401" s="533" t="s">
        <v>912</v>
      </c>
      <c r="B401" s="533" t="s">
        <v>913</v>
      </c>
      <c r="C401" s="533" t="s">
        <v>914</v>
      </c>
      <c r="D401" s="533" t="s">
        <v>915</v>
      </c>
      <c r="E401" s="533" t="s">
        <v>916</v>
      </c>
      <c r="F401" s="533" t="s">
        <v>917</v>
      </c>
      <c r="G401" s="533" t="s">
        <v>896</v>
      </c>
      <c r="H401" s="533" t="s">
        <v>918</v>
      </c>
      <c r="I401" s="533" t="s">
        <v>894</v>
      </c>
      <c r="J401" s="533" t="s">
        <v>919</v>
      </c>
      <c r="K401" s="533"/>
      <c r="L401" s="598"/>
      <c r="M401" s="598"/>
      <c r="N401" s="598"/>
      <c r="O401" s="598"/>
      <c r="P401" s="598"/>
      <c r="Q401" s="598"/>
      <c r="R401" s="598"/>
      <c r="S401" s="598"/>
      <c r="T401" s="598"/>
      <c r="U401" s="598"/>
      <c r="V401" s="598"/>
      <c r="W401" s="598"/>
      <c r="X401" s="598"/>
      <c r="Y401" s="598"/>
      <c r="Z401" s="598"/>
    </row>
    <row r="402">
      <c r="A402" s="546" t="s">
        <v>921</v>
      </c>
      <c r="B402" s="547" t="s">
        <v>974</v>
      </c>
      <c r="C402" s="546">
        <v>4</v>
      </c>
      <c r="D402" s="546">
        <v>10322.84</v>
      </c>
      <c r="E402" s="546">
        <v>22099.6</v>
      </c>
      <c r="F402" s="546">
        <v>16</v>
      </c>
      <c r="G402" s="549">
        <f t="shared" ref="G402:G406" si="58">E402/F402</f>
      </c>
      <c r="H402" s="549">
        <f t="shared" ref="H402:H406" si="111">D402/F402</f>
      </c>
      <c r="I402" s="549">
        <f t="shared" ref="I402:I406" si="176">E402/D402</f>
      </c>
      <c r="J402" s="548">
        <f t="shared" ref="J402:J406" si="207">D402/C402</f>
      </c>
      <c r="K402" s="548"/>
      <c r="L402" s="598"/>
      <c r="M402" s="598"/>
      <c r="N402" s="598"/>
      <c r="O402" s="598"/>
      <c r="P402" s="598"/>
      <c r="Q402" s="598"/>
      <c r="R402" s="598"/>
      <c r="S402" s="598"/>
      <c r="T402" s="598"/>
      <c r="U402" s="598"/>
      <c r="V402" s="598"/>
      <c r="W402" s="598"/>
      <c r="X402" s="598"/>
      <c r="Y402" s="598"/>
      <c r="Z402" s="598"/>
    </row>
    <row r="403">
      <c r="A403" s="546" t="s">
        <v>930</v>
      </c>
      <c r="B403" s="547" t="s">
        <v>1015</v>
      </c>
      <c r="C403" s="546">
        <v>4</v>
      </c>
      <c r="D403" s="546">
        <v>11610.739999999998</v>
      </c>
      <c r="E403" s="546">
        <v>17834.8</v>
      </c>
      <c r="F403" s="546">
        <v>18</v>
      </c>
      <c r="G403" s="549">
        <f t="shared" si="58"/>
      </c>
      <c r="H403" s="549">
        <f t="shared" si="111"/>
      </c>
      <c r="I403" s="549">
        <f t="shared" si="176"/>
      </c>
      <c r="J403" s="548">
        <f t="shared" si="207"/>
      </c>
      <c r="K403" s="548"/>
      <c r="L403" s="598"/>
      <c r="M403" s="598"/>
      <c r="N403" s="598"/>
      <c r="O403" s="598"/>
      <c r="P403" s="598"/>
      <c r="Q403" s="598"/>
      <c r="R403" s="598"/>
      <c r="S403" s="598"/>
      <c r="T403" s="598"/>
      <c r="U403" s="598"/>
      <c r="V403" s="598"/>
      <c r="W403" s="598"/>
      <c r="X403" s="598"/>
      <c r="Y403" s="598"/>
      <c r="Z403" s="598"/>
    </row>
    <row r="404">
      <c r="A404" s="546" t="s">
        <v>927</v>
      </c>
      <c r="B404" s="547" t="s">
        <v>981</v>
      </c>
      <c r="C404" s="546">
        <v>4</v>
      </c>
      <c r="D404" s="546">
        <v>12568.34</v>
      </c>
      <c r="E404" s="546">
        <v>14550.1</v>
      </c>
      <c r="F404" s="546">
        <v>10</v>
      </c>
      <c r="G404" s="549">
        <f t="shared" si="58"/>
      </c>
      <c r="H404" s="549">
        <f t="shared" si="111"/>
      </c>
      <c r="I404" s="549">
        <f t="shared" si="176"/>
      </c>
      <c r="J404" s="548">
        <f t="shared" si="207"/>
      </c>
      <c r="K404" s="548"/>
      <c r="L404" s="598"/>
      <c r="M404" s="598"/>
      <c r="N404" s="598"/>
      <c r="O404" s="598"/>
      <c r="P404" s="598"/>
      <c r="Q404" s="598"/>
      <c r="R404" s="598"/>
      <c r="S404" s="598"/>
      <c r="T404" s="598"/>
      <c r="U404" s="598"/>
      <c r="V404" s="598"/>
      <c r="W404" s="598"/>
      <c r="X404" s="598"/>
      <c r="Y404" s="598"/>
      <c r="Z404" s="598"/>
    </row>
    <row r="405">
      <c r="A405" s="546" t="s">
        <v>966</v>
      </c>
      <c r="B405" s="547" t="s">
        <v>968</v>
      </c>
      <c r="C405" s="546">
        <v>4</v>
      </c>
      <c r="D405" s="546">
        <v>9963.08</v>
      </c>
      <c r="E405" s="546">
        <v>4930</v>
      </c>
      <c r="F405" s="546">
        <v>7</v>
      </c>
      <c r="G405" s="549">
        <f t="shared" si="58"/>
      </c>
      <c r="H405" s="549">
        <f t="shared" si="111"/>
      </c>
      <c r="I405" s="549">
        <f t="shared" si="176"/>
      </c>
      <c r="J405" s="548">
        <f t="shared" si="207"/>
      </c>
      <c r="K405" s="548"/>
      <c r="L405" s="598"/>
      <c r="M405" s="598"/>
      <c r="N405" s="598"/>
      <c r="O405" s="598"/>
      <c r="P405" s="598"/>
      <c r="Q405" s="598"/>
      <c r="R405" s="598"/>
      <c r="S405" s="598"/>
      <c r="T405" s="598"/>
      <c r="U405" s="598"/>
      <c r="V405" s="598"/>
      <c r="W405" s="598"/>
      <c r="X405" s="598"/>
      <c r="Y405" s="598"/>
      <c r="Z405" s="598"/>
    </row>
    <row r="406">
      <c r="A406" s="533" t="s">
        <v>933</v>
      </c>
      <c r="B406" s="533"/>
      <c r="C406" s="533">
        <f>SUM(C402:C405)</f>
      </c>
      <c r="D406" s="533">
        <f>SUM(D402:D405)</f>
      </c>
      <c r="E406" s="533">
        <f>SUM(E402:E405)</f>
      </c>
      <c r="F406" s="533">
        <f>SUM(F402:F405)</f>
      </c>
      <c r="G406" s="551">
        <f t="shared" si="58"/>
      </c>
      <c r="H406" s="551">
        <f t="shared" si="111"/>
      </c>
      <c r="I406" s="551">
        <f t="shared" si="176"/>
      </c>
      <c r="J406" s="550">
        <f t="shared" si="207"/>
      </c>
      <c r="K406" s="550"/>
      <c r="L406" s="598"/>
      <c r="M406" s="598"/>
      <c r="N406" s="598"/>
      <c r="O406" s="598"/>
      <c r="P406" s="598"/>
      <c r="Q406" s="598"/>
      <c r="R406" s="598"/>
      <c r="S406" s="598"/>
      <c r="T406" s="598"/>
      <c r="U406" s="598"/>
      <c r="V406" s="598"/>
      <c r="W406" s="598"/>
      <c r="X406" s="598"/>
      <c r="Y406" s="598"/>
      <c r="Z406" s="598"/>
    </row>
    <row r="407">
      <c r="A407" s="553" t="s">
        <v>935</v>
      </c>
      <c r="B407" s="553"/>
      <c r="C407" s="553"/>
      <c r="D407" s="553"/>
      <c r="E407" s="553"/>
      <c r="F407" s="553"/>
      <c r="G407" s="553"/>
      <c r="H407" s="553"/>
      <c r="I407" s="553"/>
      <c r="J407" s="553"/>
      <c r="K407" s="553"/>
      <c r="L407" s="598"/>
      <c r="M407" s="598"/>
      <c r="N407" s="598"/>
      <c r="O407" s="598"/>
      <c r="P407" s="598"/>
      <c r="Q407" s="598"/>
      <c r="R407" s="598"/>
      <c r="S407" s="598"/>
      <c r="T407" s="598"/>
      <c r="U407" s="598"/>
      <c r="V407" s="598"/>
      <c r="W407" s="598"/>
      <c r="X407" s="598"/>
      <c r="Y407" s="598"/>
      <c r="Z407" s="598"/>
    </row>
    <row r="408">
      <c r="A408" s="564" t="s">
        <v>915</v>
      </c>
      <c r="B408" s="564" t="s">
        <v>937</v>
      </c>
      <c r="C408" s="564" t="s">
        <v>938</v>
      </c>
      <c r="D408" s="564" t="s">
        <v>939</v>
      </c>
      <c r="E408" s="564" t="s">
        <v>940</v>
      </c>
      <c r="F408" s="564" t="s">
        <v>941</v>
      </c>
      <c r="G408" s="564" t="s">
        <v>942</v>
      </c>
      <c r="H408" s="565" t="s">
        <v>910</v>
      </c>
      <c r="I408" s="565" t="s">
        <v>943</v>
      </c>
      <c r="J408" s="565" t="s">
        <v>944</v>
      </c>
      <c r="K408" s="565" t="s">
        <v>914</v>
      </c>
      <c r="L408" s="598"/>
      <c r="M408" s="598"/>
      <c r="N408" s="598"/>
      <c r="O408" s="598"/>
      <c r="P408" s="598"/>
      <c r="Q408" s="598"/>
      <c r="R408" s="598"/>
      <c r="S408" s="598"/>
      <c r="T408" s="598"/>
      <c r="U408" s="598"/>
      <c r="V408" s="598"/>
      <c r="W408" s="598"/>
      <c r="X408" s="598"/>
      <c r="Y408" s="598"/>
      <c r="Z408" s="598"/>
    </row>
    <row r="409">
      <c r="A409" s="568">
        <f>SUM(D402:D405)</f>
      </c>
      <c r="B409" s="568">
        <f>SUM(E402:E405)</f>
      </c>
      <c r="C409" s="569">
        <f>B409/((K409*300)+A409)</f>
      </c>
      <c r="D409" s="570">
        <f>A409/J409</f>
      </c>
      <c r="E409" s="569">
        <f>B409/J409</f>
      </c>
      <c r="F409" s="571">
        <f>J409/I409</f>
      </c>
      <c r="G409" s="571">
        <f>H409/J409</f>
      </c>
      <c r="H409" s="572">
        <v>4</v>
      </c>
      <c r="I409" s="572">
        <v>74</v>
      </c>
      <c r="J409" s="572">
        <f>F406</f>
      </c>
      <c r="K409" s="573">
        <f>C406</f>
      </c>
      <c r="L409" s="598"/>
      <c r="M409" s="598"/>
      <c r="N409" s="598"/>
      <c r="O409" s="598"/>
      <c r="P409" s="598"/>
      <c r="Q409" s="598"/>
      <c r="R409" s="598"/>
      <c r="S409" s="598"/>
      <c r="T409" s="598"/>
      <c r="U409" s="598"/>
      <c r="V409" s="598"/>
      <c r="W409" s="598"/>
      <c r="X409" s="598"/>
      <c r="Y409" s="598"/>
      <c r="Z409" s="598"/>
    </row>
    <row r="410">
      <c r="A410" s="520" t="s">
        <v>1017</v>
      </c>
      <c r="B410" s="520"/>
      <c r="C410" s="520"/>
      <c r="D410" s="520"/>
      <c r="E410" s="520"/>
      <c r="F410" s="520"/>
      <c r="G410" s="520"/>
      <c r="H410" s="520"/>
      <c r="I410" s="520"/>
      <c r="J410" s="520"/>
      <c r="K410" s="520"/>
      <c r="L410" s="598"/>
      <c r="M410" s="598"/>
      <c r="N410" s="598"/>
      <c r="O410" s="598"/>
      <c r="P410" s="598"/>
      <c r="Q410" s="598"/>
      <c r="R410" s="598"/>
      <c r="S410" s="598"/>
      <c r="T410" s="598"/>
      <c r="U410" s="598"/>
      <c r="V410" s="598"/>
      <c r="W410" s="598"/>
      <c r="X410" s="598"/>
      <c r="Y410" s="598"/>
      <c r="Z410" s="598"/>
    </row>
    <row r="411">
      <c r="A411" s="533" t="s">
        <v>912</v>
      </c>
      <c r="B411" s="533" t="s">
        <v>913</v>
      </c>
      <c r="C411" s="533" t="s">
        <v>914</v>
      </c>
      <c r="D411" s="533" t="s">
        <v>915</v>
      </c>
      <c r="E411" s="533" t="s">
        <v>916</v>
      </c>
      <c r="F411" s="533" t="s">
        <v>917</v>
      </c>
      <c r="G411" s="533" t="s">
        <v>896</v>
      </c>
      <c r="H411" s="533" t="s">
        <v>918</v>
      </c>
      <c r="I411" s="533" t="s">
        <v>894</v>
      </c>
      <c r="J411" s="533" t="s">
        <v>919</v>
      </c>
      <c r="K411" s="533"/>
      <c r="L411" s="598"/>
      <c r="M411" s="598"/>
      <c r="N411" s="598"/>
      <c r="O411" s="598"/>
      <c r="P411" s="598"/>
      <c r="Q411" s="598"/>
      <c r="R411" s="598"/>
      <c r="S411" s="598"/>
      <c r="T411" s="598"/>
      <c r="U411" s="598"/>
      <c r="V411" s="598"/>
      <c r="W411" s="598"/>
      <c r="X411" s="598"/>
      <c r="Y411" s="598"/>
      <c r="Z411" s="598"/>
    </row>
    <row r="412">
      <c r="A412" s="546" t="s">
        <v>921</v>
      </c>
      <c r="B412" s="547" t="s">
        <v>974</v>
      </c>
      <c r="C412" s="546">
        <v>4</v>
      </c>
      <c r="D412" s="546">
        <v>8667.259999999998</v>
      </c>
      <c r="E412" s="546">
        <v>1707.6</v>
      </c>
      <c r="F412" s="546">
        <v>3</v>
      </c>
      <c r="G412" s="549">
        <f t="shared" ref="G412:G416" si="59">E412/F412</f>
      </c>
      <c r="H412" s="549">
        <f t="shared" ref="H412:H416" si="112">D412/F412</f>
      </c>
      <c r="I412" s="549">
        <f t="shared" ref="I412:I416" si="177">E412/D412</f>
      </c>
      <c r="J412" s="548">
        <f t="shared" ref="J412:J416" si="208">D412/C412</f>
      </c>
      <c r="K412" s="548"/>
      <c r="L412" s="598"/>
      <c r="M412" s="598"/>
      <c r="N412" s="598"/>
      <c r="O412" s="598"/>
      <c r="P412" s="598"/>
      <c r="Q412" s="598"/>
      <c r="R412" s="598"/>
      <c r="S412" s="598"/>
      <c r="T412" s="598"/>
      <c r="U412" s="598"/>
      <c r="V412" s="598"/>
      <c r="W412" s="598"/>
      <c r="X412" s="598"/>
      <c r="Y412" s="598"/>
      <c r="Z412" s="598"/>
    </row>
    <row r="413">
      <c r="A413" s="546" t="s">
        <v>930</v>
      </c>
      <c r="B413" s="547" t="s">
        <v>1015</v>
      </c>
      <c r="C413" s="546">
        <v>4</v>
      </c>
      <c r="D413" s="546">
        <v>9066.99</v>
      </c>
      <c r="E413" s="546">
        <v>18627</v>
      </c>
      <c r="F413" s="546">
        <v>16</v>
      </c>
      <c r="G413" s="549">
        <f t="shared" si="59"/>
      </c>
      <c r="H413" s="549">
        <f t="shared" si="112"/>
      </c>
      <c r="I413" s="549">
        <f t="shared" si="177"/>
      </c>
      <c r="J413" s="548">
        <f t="shared" si="208"/>
      </c>
      <c r="K413" s="548"/>
      <c r="L413" s="598"/>
      <c r="M413" s="598"/>
      <c r="N413" s="598"/>
      <c r="O413" s="598"/>
      <c r="P413" s="598"/>
      <c r="Q413" s="598"/>
      <c r="R413" s="598"/>
      <c r="S413" s="598"/>
      <c r="T413" s="598"/>
      <c r="U413" s="598"/>
      <c r="V413" s="598"/>
      <c r="W413" s="598"/>
      <c r="X413" s="598"/>
      <c r="Y413" s="598"/>
      <c r="Z413" s="598"/>
    </row>
    <row r="414">
      <c r="A414" s="546" t="s">
        <v>966</v>
      </c>
      <c r="B414" s="547" t="s">
        <v>981</v>
      </c>
      <c r="C414" s="546">
        <v>4</v>
      </c>
      <c r="D414" s="546">
        <v>8614.79</v>
      </c>
      <c r="E414" s="546">
        <v>10656</v>
      </c>
      <c r="F414" s="546">
        <v>9</v>
      </c>
      <c r="G414" s="549">
        <f t="shared" si="59"/>
      </c>
      <c r="H414" s="549">
        <f t="shared" si="112"/>
      </c>
      <c r="I414" s="549">
        <f t="shared" si="177"/>
      </c>
      <c r="J414" s="548">
        <f t="shared" si="208"/>
      </c>
      <c r="K414" s="548"/>
      <c r="L414" s="598"/>
      <c r="M414" s="598"/>
      <c r="N414" s="598"/>
      <c r="O414" s="598"/>
      <c r="P414" s="598"/>
      <c r="Q414" s="598"/>
      <c r="R414" s="598"/>
      <c r="S414" s="598"/>
      <c r="T414" s="598"/>
      <c r="U414" s="598"/>
      <c r="V414" s="598"/>
      <c r="W414" s="598"/>
      <c r="X414" s="598"/>
      <c r="Y414" s="598"/>
      <c r="Z414" s="598"/>
    </row>
    <row r="415">
      <c r="A415" s="546" t="s">
        <v>927</v>
      </c>
      <c r="B415" s="547" t="s">
        <v>968</v>
      </c>
      <c r="C415" s="546">
        <v>4</v>
      </c>
      <c r="D415" s="546">
        <v>10296.39</v>
      </c>
      <c r="E415" s="546">
        <v>14769.2</v>
      </c>
      <c r="F415" s="546">
        <v>15</v>
      </c>
      <c r="G415" s="549">
        <f t="shared" si="59"/>
      </c>
      <c r="H415" s="549">
        <f t="shared" si="112"/>
      </c>
      <c r="I415" s="549">
        <f t="shared" si="177"/>
      </c>
      <c r="J415" s="548">
        <f t="shared" si="208"/>
      </c>
      <c r="K415" s="548"/>
      <c r="L415" s="598"/>
      <c r="M415" s="598"/>
      <c r="N415" s="598"/>
      <c r="O415" s="598"/>
      <c r="P415" s="598"/>
      <c r="Q415" s="598"/>
      <c r="R415" s="598"/>
      <c r="S415" s="598"/>
      <c r="T415" s="598"/>
      <c r="U415" s="598"/>
      <c r="V415" s="598"/>
      <c r="W415" s="598"/>
      <c r="X415" s="598"/>
      <c r="Y415" s="598"/>
      <c r="Z415" s="598"/>
    </row>
    <row r="416">
      <c r="A416" s="533" t="s">
        <v>933</v>
      </c>
      <c r="B416" s="533"/>
      <c r="C416" s="533">
        <f>SUM(C412:C415)</f>
      </c>
      <c r="D416" s="533">
        <f>SUM(D412:D415)</f>
      </c>
      <c r="E416" s="533">
        <f>SUM(E412:E415)</f>
      </c>
      <c r="F416" s="533">
        <f>SUM(F412:F415)</f>
      </c>
      <c r="G416" s="551">
        <f t="shared" si="59"/>
      </c>
      <c r="H416" s="551">
        <f t="shared" si="112"/>
      </c>
      <c r="I416" s="551">
        <f t="shared" si="177"/>
      </c>
      <c r="J416" s="550">
        <f t="shared" si="208"/>
      </c>
      <c r="K416" s="550"/>
      <c r="L416" s="598"/>
      <c r="M416" s="598"/>
      <c r="N416" s="598"/>
      <c r="O416" s="598"/>
      <c r="P416" s="598"/>
      <c r="Q416" s="598"/>
      <c r="R416" s="598"/>
      <c r="S416" s="598"/>
      <c r="T416" s="598"/>
      <c r="U416" s="598"/>
      <c r="V416" s="598"/>
      <c r="W416" s="598"/>
      <c r="X416" s="598"/>
      <c r="Y416" s="598"/>
      <c r="Z416" s="598"/>
    </row>
    <row r="417">
      <c r="A417" s="553" t="s">
        <v>935</v>
      </c>
      <c r="B417" s="553"/>
      <c r="C417" s="553"/>
      <c r="D417" s="553"/>
      <c r="E417" s="553"/>
      <c r="F417" s="553"/>
      <c r="G417" s="553"/>
      <c r="H417" s="553"/>
      <c r="I417" s="553"/>
      <c r="J417" s="553"/>
      <c r="K417" s="553"/>
      <c r="L417" s="598"/>
      <c r="M417" s="598"/>
      <c r="N417" s="598"/>
      <c r="O417" s="598"/>
      <c r="P417" s="598"/>
      <c r="Q417" s="598"/>
      <c r="R417" s="598"/>
      <c r="S417" s="598"/>
      <c r="T417" s="598"/>
      <c r="U417" s="598"/>
      <c r="V417" s="598"/>
      <c r="W417" s="598"/>
      <c r="X417" s="598"/>
      <c r="Y417" s="598"/>
      <c r="Z417" s="598"/>
    </row>
    <row r="418">
      <c r="A418" s="564" t="s">
        <v>915</v>
      </c>
      <c r="B418" s="564" t="s">
        <v>937</v>
      </c>
      <c r="C418" s="564" t="s">
        <v>938</v>
      </c>
      <c r="D418" s="564" t="s">
        <v>939</v>
      </c>
      <c r="E418" s="564" t="s">
        <v>940</v>
      </c>
      <c r="F418" s="564" t="s">
        <v>941</v>
      </c>
      <c r="G418" s="564" t="s">
        <v>942</v>
      </c>
      <c r="H418" s="565" t="s">
        <v>910</v>
      </c>
      <c r="I418" s="565" t="s">
        <v>943</v>
      </c>
      <c r="J418" s="565" t="s">
        <v>944</v>
      </c>
      <c r="K418" s="565" t="s">
        <v>914</v>
      </c>
      <c r="L418" s="598"/>
      <c r="M418" s="598"/>
      <c r="N418" s="598"/>
      <c r="O418" s="598"/>
      <c r="P418" s="598"/>
      <c r="Q418" s="598"/>
      <c r="R418" s="598"/>
      <c r="S418" s="598"/>
      <c r="T418" s="598"/>
      <c r="U418" s="598"/>
      <c r="V418" s="598"/>
      <c r="W418" s="598"/>
      <c r="X418" s="598"/>
      <c r="Y418" s="598"/>
      <c r="Z418" s="598"/>
    </row>
    <row r="419">
      <c r="A419" s="568">
        <f>SUM(D412:D415)</f>
      </c>
      <c r="B419" s="568">
        <f>SUM(E412:E415)</f>
      </c>
      <c r="C419" s="569">
        <f>B419/((K419*300)+A419)</f>
      </c>
      <c r="D419" s="570">
        <f>A419/J419</f>
      </c>
      <c r="E419" s="569">
        <f>B419/J419</f>
      </c>
      <c r="F419" s="571">
        <f>J419/I419</f>
      </c>
      <c r="G419" s="571">
        <f>H419/J419</f>
      </c>
      <c r="H419" s="572">
        <v>6</v>
      </c>
      <c r="I419" s="572">
        <v>63</v>
      </c>
      <c r="J419" s="572">
        <f>F416</f>
      </c>
      <c r="K419" s="573">
        <f>C416</f>
      </c>
      <c r="L419" s="598"/>
      <c r="M419" s="598"/>
      <c r="N419" s="598"/>
      <c r="O419" s="598"/>
      <c r="P419" s="598"/>
      <c r="Q419" s="598"/>
      <c r="R419" s="598"/>
      <c r="S419" s="598"/>
      <c r="T419" s="598"/>
      <c r="U419" s="598"/>
      <c r="V419" s="598"/>
      <c r="W419" s="598"/>
      <c r="X419" s="598"/>
      <c r="Y419" s="598"/>
      <c r="Z419" s="598"/>
    </row>
    <row r="420">
      <c r="A420" s="520" t="s">
        <v>1018</v>
      </c>
      <c r="B420" s="520"/>
      <c r="C420" s="520"/>
      <c r="D420" s="520"/>
      <c r="E420" s="520"/>
      <c r="F420" s="520"/>
      <c r="G420" s="520"/>
      <c r="H420" s="520"/>
      <c r="I420" s="520"/>
      <c r="J420" s="520"/>
      <c r="K420" s="520"/>
      <c r="L420" s="598"/>
      <c r="M420" s="598"/>
      <c r="N420" s="598"/>
      <c r="O420" s="598"/>
      <c r="P420" s="598"/>
      <c r="Q420" s="598"/>
      <c r="R420" s="598"/>
      <c r="S420" s="598"/>
      <c r="T420" s="598"/>
      <c r="U420" s="598"/>
      <c r="V420" s="598"/>
      <c r="W420" s="598"/>
      <c r="X420" s="598"/>
      <c r="Y420" s="598"/>
      <c r="Z420" s="598"/>
    </row>
    <row r="421">
      <c r="A421" s="533" t="s">
        <v>912</v>
      </c>
      <c r="B421" s="533" t="s">
        <v>913</v>
      </c>
      <c r="C421" s="533" t="s">
        <v>914</v>
      </c>
      <c r="D421" s="533" t="s">
        <v>915</v>
      </c>
      <c r="E421" s="533" t="s">
        <v>916</v>
      </c>
      <c r="F421" s="533" t="s">
        <v>917</v>
      </c>
      <c r="G421" s="533" t="s">
        <v>896</v>
      </c>
      <c r="H421" s="533" t="s">
        <v>918</v>
      </c>
      <c r="I421" s="533" t="s">
        <v>894</v>
      </c>
      <c r="J421" s="533" t="s">
        <v>919</v>
      </c>
      <c r="K421" s="533"/>
      <c r="L421" s="598"/>
      <c r="M421" s="598"/>
      <c r="N421" s="598"/>
      <c r="O421" s="598"/>
      <c r="P421" s="598"/>
      <c r="Q421" s="598"/>
      <c r="R421" s="598"/>
      <c r="S421" s="598"/>
      <c r="T421" s="598"/>
      <c r="U421" s="598"/>
      <c r="V421" s="598"/>
      <c r="W421" s="598"/>
      <c r="X421" s="598"/>
      <c r="Y421" s="598"/>
      <c r="Z421" s="598"/>
    </row>
    <row r="422">
      <c r="A422" s="546" t="s">
        <v>921</v>
      </c>
      <c r="B422" s="547" t="s">
        <v>1019</v>
      </c>
      <c r="C422" s="546">
        <v>4</v>
      </c>
      <c r="D422" s="546">
        <v>13816.45</v>
      </c>
      <c r="E422" s="546">
        <v>22332.8</v>
      </c>
      <c r="F422" s="546">
        <v>15</v>
      </c>
      <c r="G422" s="549">
        <f t="shared" ref="G422:G426" si="60">E422/F422</f>
      </c>
      <c r="H422" s="549">
        <f t="shared" ref="H422:H426" si="113">D422/F422</f>
      </c>
      <c r="I422" s="549">
        <f t="shared" ref="I422:I426" si="178">E422/D422</f>
      </c>
      <c r="J422" s="548">
        <f t="shared" ref="J422:J426" si="209">D422/C422</f>
      </c>
      <c r="K422" s="54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</row>
    <row r="423">
      <c r="A423" s="546" t="s">
        <v>930</v>
      </c>
      <c r="B423" s="547" t="s">
        <v>976</v>
      </c>
      <c r="C423" s="546">
        <v>4</v>
      </c>
      <c r="D423" s="546">
        <v>10551.21</v>
      </c>
      <c r="E423" s="546">
        <v>8119.7</v>
      </c>
      <c r="F423" s="546">
        <v>6</v>
      </c>
      <c r="G423" s="549">
        <f t="shared" si="60"/>
      </c>
      <c r="H423" s="549">
        <f t="shared" si="113"/>
      </c>
      <c r="I423" s="549">
        <f t="shared" si="178"/>
      </c>
      <c r="J423" s="548">
        <f t="shared" si="209"/>
      </c>
      <c r="K423" s="548"/>
      <c r="L423" s="598"/>
      <c r="M423" s="598"/>
      <c r="N423" s="598"/>
      <c r="O423" s="598"/>
      <c r="P423" s="598"/>
      <c r="Q423" s="598"/>
      <c r="R423" s="598"/>
      <c r="S423" s="598"/>
      <c r="T423" s="598"/>
      <c r="U423" s="598"/>
      <c r="V423" s="598"/>
      <c r="W423" s="598"/>
      <c r="X423" s="598"/>
      <c r="Y423" s="598"/>
      <c r="Z423" s="598"/>
    </row>
    <row r="424">
      <c r="A424" s="546" t="s">
        <v>966</v>
      </c>
      <c r="B424" s="547" t="s">
        <v>981</v>
      </c>
      <c r="C424" s="546">
        <v>4</v>
      </c>
      <c r="D424" s="546">
        <v>9418.66</v>
      </c>
      <c r="E424" s="546">
        <v>7202.8</v>
      </c>
      <c r="F424" s="546">
        <v>5</v>
      </c>
      <c r="G424" s="549">
        <f t="shared" si="60"/>
      </c>
      <c r="H424" s="549">
        <f t="shared" si="113"/>
      </c>
      <c r="I424" s="549">
        <f t="shared" si="178"/>
      </c>
      <c r="J424" s="548">
        <f t="shared" si="209"/>
      </c>
      <c r="K424" s="548"/>
      <c r="L424" s="598"/>
      <c r="M424" s="598"/>
      <c r="N424" s="598"/>
      <c r="O424" s="598"/>
      <c r="P424" s="598"/>
      <c r="Q424" s="598"/>
      <c r="R424" s="598"/>
      <c r="S424" s="598"/>
      <c r="T424" s="598"/>
      <c r="U424" s="598"/>
      <c r="V424" s="598"/>
      <c r="W424" s="598"/>
      <c r="X424" s="598"/>
      <c r="Y424" s="598"/>
      <c r="Z424" s="598"/>
    </row>
    <row r="425">
      <c r="A425" s="546" t="s">
        <v>975</v>
      </c>
      <c r="B425" s="547" t="s">
        <v>968</v>
      </c>
      <c r="C425" s="546">
        <v>4</v>
      </c>
      <c r="D425" s="546">
        <v>9071.8</v>
      </c>
      <c r="E425" s="546">
        <v>5893.6</v>
      </c>
      <c r="F425" s="546">
        <v>9</v>
      </c>
      <c r="G425" s="549">
        <f t="shared" si="60"/>
      </c>
      <c r="H425" s="549">
        <f t="shared" si="113"/>
      </c>
      <c r="I425" s="549">
        <f t="shared" si="178"/>
      </c>
      <c r="J425" s="548">
        <f t="shared" si="209"/>
      </c>
      <c r="K425" s="548"/>
      <c r="L425" s="598"/>
      <c r="M425" s="598"/>
      <c r="N425" s="598"/>
      <c r="O425" s="598"/>
      <c r="P425" s="598"/>
      <c r="Q425" s="598"/>
      <c r="R425" s="598"/>
      <c r="S425" s="598"/>
      <c r="T425" s="598"/>
      <c r="U425" s="598"/>
      <c r="V425" s="598"/>
      <c r="W425" s="598"/>
      <c r="X425" s="598"/>
      <c r="Y425" s="598"/>
      <c r="Z425" s="598"/>
    </row>
    <row r="426">
      <c r="A426" s="533" t="s">
        <v>933</v>
      </c>
      <c r="B426" s="533"/>
      <c r="C426" s="533">
        <f>SUM(C422:C425)</f>
      </c>
      <c r="D426" s="533">
        <f>SUM(D422:D425)</f>
      </c>
      <c r="E426" s="533">
        <f>SUM(E422:E425)</f>
      </c>
      <c r="F426" s="533">
        <f>SUM(F422:F425)</f>
      </c>
      <c r="G426" s="551">
        <f t="shared" si="60"/>
      </c>
      <c r="H426" s="551">
        <f t="shared" si="113"/>
      </c>
      <c r="I426" s="551">
        <f t="shared" si="178"/>
      </c>
      <c r="J426" s="550">
        <f t="shared" si="209"/>
      </c>
      <c r="K426" s="550"/>
      <c r="L426" s="598"/>
      <c r="M426" s="598"/>
      <c r="N426" s="598"/>
      <c r="O426" s="598"/>
      <c r="P426" s="598"/>
      <c r="Q426" s="598"/>
      <c r="R426" s="598"/>
      <c r="S426" s="598"/>
      <c r="T426" s="598"/>
      <c r="U426" s="598"/>
      <c r="V426" s="598"/>
      <c r="W426" s="598"/>
      <c r="X426" s="598"/>
      <c r="Y426" s="598"/>
      <c r="Z426" s="598"/>
    </row>
    <row r="427">
      <c r="A427" s="553" t="s">
        <v>935</v>
      </c>
      <c r="B427" s="553"/>
      <c r="C427" s="553"/>
      <c r="D427" s="553"/>
      <c r="E427" s="553"/>
      <c r="F427" s="553"/>
      <c r="G427" s="553"/>
      <c r="H427" s="553"/>
      <c r="I427" s="553"/>
      <c r="J427" s="553"/>
      <c r="K427" s="553"/>
      <c r="L427" s="598"/>
      <c r="M427" s="598"/>
      <c r="N427" s="598"/>
      <c r="O427" s="598"/>
      <c r="P427" s="598"/>
      <c r="Q427" s="598"/>
      <c r="R427" s="598"/>
      <c r="S427" s="598"/>
      <c r="T427" s="598"/>
      <c r="U427" s="598"/>
      <c r="V427" s="598"/>
      <c r="W427" s="598"/>
      <c r="X427" s="598"/>
      <c r="Y427" s="598"/>
      <c r="Z427" s="598"/>
    </row>
    <row r="428">
      <c r="A428" s="564" t="s">
        <v>915</v>
      </c>
      <c r="B428" s="564" t="s">
        <v>937</v>
      </c>
      <c r="C428" s="564" t="s">
        <v>938</v>
      </c>
      <c r="D428" s="564" t="s">
        <v>939</v>
      </c>
      <c r="E428" s="564" t="s">
        <v>940</v>
      </c>
      <c r="F428" s="564" t="s">
        <v>941</v>
      </c>
      <c r="G428" s="564" t="s">
        <v>942</v>
      </c>
      <c r="H428" s="565" t="s">
        <v>910</v>
      </c>
      <c r="I428" s="565" t="s">
        <v>943</v>
      </c>
      <c r="J428" s="565" t="s">
        <v>944</v>
      </c>
      <c r="K428" s="565" t="s">
        <v>914</v>
      </c>
      <c r="L428" s="598"/>
      <c r="M428" s="598"/>
      <c r="N428" s="598"/>
      <c r="O428" s="598"/>
      <c r="P428" s="598"/>
      <c r="Q428" s="598"/>
      <c r="R428" s="598"/>
      <c r="S428" s="598"/>
      <c r="T428" s="598"/>
      <c r="U428" s="598"/>
      <c r="V428" s="598"/>
      <c r="W428" s="598"/>
      <c r="X428" s="598"/>
      <c r="Y428" s="598"/>
      <c r="Z428" s="598"/>
    </row>
    <row r="429">
      <c r="A429" s="568">
        <f>SUM(D422:D425)</f>
      </c>
      <c r="B429" s="568">
        <f>SUM(E422:E425)</f>
      </c>
      <c r="C429" s="569">
        <f>B429/((K429*300)+A429)</f>
      </c>
      <c r="D429" s="570">
        <f>A429/J429</f>
      </c>
      <c r="E429" s="569">
        <f>B429/J429</f>
      </c>
      <c r="F429" s="571">
        <f>J429/I429</f>
      </c>
      <c r="G429" s="571">
        <f>H429/J429</f>
      </c>
      <c r="H429" s="572">
        <v>5</v>
      </c>
      <c r="I429" s="572">
        <v>53</v>
      </c>
      <c r="J429" s="572">
        <f>F426</f>
      </c>
      <c r="K429" s="573">
        <f>C426</f>
      </c>
      <c r="L429" s="598"/>
      <c r="M429" s="598"/>
      <c r="N429" s="598"/>
      <c r="O429" s="598"/>
      <c r="P429" s="598"/>
      <c r="Q429" s="598"/>
      <c r="R429" s="598"/>
      <c r="S429" s="598"/>
      <c r="T429" s="598"/>
      <c r="U429" s="598"/>
      <c r="V429" s="598"/>
      <c r="W429" s="598"/>
      <c r="X429" s="598"/>
      <c r="Y429" s="598"/>
      <c r="Z429" s="598"/>
    </row>
    <row r="430">
      <c r="A430" s="520" t="s">
        <v>1020</v>
      </c>
      <c r="B430" s="520"/>
      <c r="C430" s="520"/>
      <c r="D430" s="520"/>
      <c r="E430" s="520"/>
      <c r="F430" s="520"/>
      <c r="G430" s="520"/>
      <c r="H430" s="520"/>
      <c r="I430" s="520"/>
      <c r="J430" s="520"/>
      <c r="K430" s="520"/>
      <c r="L430" s="598"/>
      <c r="M430" s="598"/>
      <c r="N430" s="598"/>
      <c r="O430" s="598"/>
      <c r="P430" s="598"/>
      <c r="Q430" s="598"/>
      <c r="R430" s="598"/>
      <c r="S430" s="598"/>
      <c r="T430" s="598"/>
      <c r="U430" s="598"/>
      <c r="V430" s="598"/>
      <c r="W430" s="598"/>
      <c r="X430" s="598"/>
      <c r="Y430" s="598"/>
      <c r="Z430" s="598"/>
    </row>
    <row r="431">
      <c r="A431" s="533" t="s">
        <v>912</v>
      </c>
      <c r="B431" s="533" t="s">
        <v>913</v>
      </c>
      <c r="C431" s="533" t="s">
        <v>914</v>
      </c>
      <c r="D431" s="533" t="s">
        <v>915</v>
      </c>
      <c r="E431" s="533" t="s">
        <v>916</v>
      </c>
      <c r="F431" s="533" t="s">
        <v>917</v>
      </c>
      <c r="G431" s="533" t="s">
        <v>896</v>
      </c>
      <c r="H431" s="533" t="s">
        <v>918</v>
      </c>
      <c r="I431" s="533" t="s">
        <v>894</v>
      </c>
      <c r="J431" s="533" t="s">
        <v>919</v>
      </c>
      <c r="K431" s="533"/>
      <c r="L431" s="598"/>
      <c r="M431" s="598"/>
      <c r="N431" s="598"/>
      <c r="O431" s="598"/>
      <c r="P431" s="598"/>
      <c r="Q431" s="598"/>
      <c r="R431" s="598"/>
      <c r="S431" s="598"/>
      <c r="T431" s="598"/>
      <c r="U431" s="598"/>
      <c r="V431" s="598"/>
      <c r="W431" s="598"/>
      <c r="X431" s="598"/>
      <c r="Y431" s="598"/>
      <c r="Z431" s="598"/>
    </row>
    <row r="432">
      <c r="A432" s="546" t="s">
        <v>930</v>
      </c>
      <c r="B432" s="547" t="s">
        <v>1019</v>
      </c>
      <c r="C432" s="546">
        <v>4</v>
      </c>
      <c r="D432" s="546">
        <v>8932.41</v>
      </c>
      <c r="E432" s="546">
        <v>8505.2</v>
      </c>
      <c r="F432" s="546">
        <v>7</v>
      </c>
      <c r="G432" s="549">
        <f t="shared" ref="G432:G436" si="61">E432/F432</f>
      </c>
      <c r="H432" s="549">
        <f t="shared" ref="H432:H436" si="114">D432/F432</f>
      </c>
      <c r="I432" s="549">
        <f t="shared" ref="I432:I436" si="179">E432/D432</f>
      </c>
      <c r="J432" s="548">
        <f t="shared" ref="J432:J436" si="210">D432/C432</f>
      </c>
      <c r="K432" s="548"/>
      <c r="L432" s="598"/>
      <c r="M432" s="598"/>
      <c r="N432" s="598"/>
      <c r="O432" s="598"/>
      <c r="P432" s="598"/>
      <c r="Q432" s="598"/>
      <c r="R432" s="598"/>
      <c r="S432" s="598"/>
      <c r="T432" s="598"/>
      <c r="U432" s="598"/>
      <c r="V432" s="598"/>
      <c r="W432" s="598"/>
      <c r="X432" s="598"/>
      <c r="Y432" s="598"/>
      <c r="Z432" s="598"/>
    </row>
    <row r="433">
      <c r="A433" s="546" t="s">
        <v>921</v>
      </c>
      <c r="B433" s="547" t="s">
        <v>976</v>
      </c>
      <c r="C433" s="546">
        <v>4</v>
      </c>
      <c r="D433" s="546">
        <v>7313.58</v>
      </c>
      <c r="E433" s="546">
        <v>18111.199999999997</v>
      </c>
      <c r="F433" s="546">
        <v>14</v>
      </c>
      <c r="G433" s="549">
        <f t="shared" si="61"/>
      </c>
      <c r="H433" s="549">
        <f t="shared" si="114"/>
      </c>
      <c r="I433" s="549">
        <f t="shared" si="179"/>
      </c>
      <c r="J433" s="548">
        <f t="shared" si="210"/>
      </c>
      <c r="K433" s="548"/>
      <c r="L433" s="598"/>
      <c r="M433" s="598"/>
      <c r="N433" s="598"/>
      <c r="O433" s="598"/>
      <c r="P433" s="598"/>
      <c r="Q433" s="598"/>
      <c r="R433" s="598"/>
      <c r="S433" s="598"/>
      <c r="T433" s="598"/>
      <c r="U433" s="598"/>
      <c r="V433" s="598"/>
      <c r="W433" s="598"/>
      <c r="X433" s="598"/>
      <c r="Y433" s="598"/>
      <c r="Z433" s="598"/>
    </row>
    <row r="434">
      <c r="A434" s="546" t="s">
        <v>975</v>
      </c>
      <c r="B434" s="547" t="s">
        <v>981</v>
      </c>
      <c r="C434" s="546">
        <v>4</v>
      </c>
      <c r="D434" s="546">
        <v>5045.980000000001</v>
      </c>
      <c r="E434" s="546">
        <v>1197.6000000000022</v>
      </c>
      <c r="F434" s="546">
        <v>1</v>
      </c>
      <c r="G434" s="549">
        <f t="shared" si="61"/>
      </c>
      <c r="H434" s="549">
        <f t="shared" si="114"/>
      </c>
      <c r="I434" s="549">
        <f t="shared" si="179"/>
      </c>
      <c r="J434" s="548">
        <f t="shared" si="210"/>
      </c>
      <c r="K434" s="548"/>
      <c r="L434" s="598"/>
      <c r="M434" s="598"/>
      <c r="N434" s="598"/>
      <c r="O434" s="598"/>
      <c r="P434" s="598"/>
      <c r="Q434" s="598"/>
      <c r="R434" s="598"/>
      <c r="S434" s="598"/>
      <c r="T434" s="598"/>
      <c r="U434" s="598"/>
      <c r="V434" s="598"/>
      <c r="W434" s="598"/>
      <c r="X434" s="598"/>
      <c r="Y434" s="598"/>
      <c r="Z434" s="598"/>
    </row>
    <row r="435">
      <c r="A435" s="546" t="s">
        <v>927</v>
      </c>
      <c r="B435" s="547" t="s">
        <v>968</v>
      </c>
      <c r="C435" s="546">
        <v>4</v>
      </c>
      <c r="D435" s="546">
        <v>8200.650000000001</v>
      </c>
      <c r="E435" s="546">
        <v>6293.999999999993</v>
      </c>
      <c r="F435" s="546">
        <v>5</v>
      </c>
      <c r="G435" s="549">
        <f t="shared" si="61"/>
      </c>
      <c r="H435" s="549">
        <f t="shared" si="114"/>
      </c>
      <c r="I435" s="549">
        <f t="shared" si="179"/>
      </c>
      <c r="J435" s="548">
        <f t="shared" si="210"/>
      </c>
      <c r="K435" s="548"/>
      <c r="L435" s="598"/>
      <c r="M435" s="598"/>
      <c r="N435" s="598"/>
      <c r="O435" s="598"/>
      <c r="P435" s="598"/>
      <c r="Q435" s="598"/>
      <c r="R435" s="598"/>
      <c r="S435" s="598"/>
      <c r="T435" s="598"/>
      <c r="U435" s="598"/>
      <c r="V435" s="598"/>
      <c r="W435" s="598"/>
      <c r="X435" s="598"/>
      <c r="Y435" s="598"/>
      <c r="Z435" s="598"/>
    </row>
    <row r="436">
      <c r="A436" s="533" t="s">
        <v>933</v>
      </c>
      <c r="B436" s="533"/>
      <c r="C436" s="533">
        <f>SUM(C432:C435)</f>
      </c>
      <c r="D436" s="533">
        <f>SUM(D432:D435)</f>
      </c>
      <c r="E436" s="533">
        <f>SUM(E432:E435)</f>
      </c>
      <c r="F436" s="533">
        <f>SUM(F432:F435)</f>
      </c>
      <c r="G436" s="551">
        <f t="shared" si="61"/>
      </c>
      <c r="H436" s="551">
        <f t="shared" si="114"/>
      </c>
      <c r="I436" s="551">
        <f t="shared" si="179"/>
      </c>
      <c r="J436" s="550">
        <f t="shared" si="210"/>
      </c>
      <c r="K436" s="550"/>
      <c r="L436" s="598"/>
      <c r="M436" s="598"/>
      <c r="N436" s="598"/>
      <c r="O436" s="598"/>
      <c r="P436" s="598"/>
      <c r="Q436" s="598"/>
      <c r="R436" s="598"/>
      <c r="S436" s="598"/>
      <c r="T436" s="598"/>
      <c r="U436" s="598"/>
      <c r="V436" s="598"/>
      <c r="W436" s="598"/>
      <c r="X436" s="598"/>
      <c r="Y436" s="598"/>
      <c r="Z436" s="598"/>
    </row>
    <row r="437">
      <c r="A437" s="553" t="s">
        <v>935</v>
      </c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98"/>
      <c r="M437" s="598"/>
      <c r="N437" s="598"/>
      <c r="O437" s="598"/>
      <c r="P437" s="598"/>
      <c r="Q437" s="598"/>
      <c r="R437" s="598"/>
      <c r="S437" s="598"/>
      <c r="T437" s="598"/>
      <c r="U437" s="598"/>
      <c r="V437" s="598"/>
      <c r="W437" s="598"/>
      <c r="X437" s="598"/>
      <c r="Y437" s="598"/>
      <c r="Z437" s="598"/>
    </row>
    <row r="438">
      <c r="A438" s="564" t="s">
        <v>915</v>
      </c>
      <c r="B438" s="564" t="s">
        <v>937</v>
      </c>
      <c r="C438" s="564" t="s">
        <v>938</v>
      </c>
      <c r="D438" s="564" t="s">
        <v>939</v>
      </c>
      <c r="E438" s="564" t="s">
        <v>940</v>
      </c>
      <c r="F438" s="564" t="s">
        <v>941</v>
      </c>
      <c r="G438" s="564" t="s">
        <v>942</v>
      </c>
      <c r="H438" s="565" t="s">
        <v>910</v>
      </c>
      <c r="I438" s="565" t="s">
        <v>943</v>
      </c>
      <c r="J438" s="565" t="s">
        <v>944</v>
      </c>
      <c r="K438" s="565" t="s">
        <v>914</v>
      </c>
      <c r="L438" s="598"/>
      <c r="M438" s="598"/>
      <c r="N438" s="598"/>
      <c r="O438" s="598"/>
      <c r="P438" s="598"/>
      <c r="Q438" s="598"/>
      <c r="R438" s="598"/>
      <c r="S438" s="598"/>
      <c r="T438" s="598"/>
      <c r="U438" s="598"/>
      <c r="V438" s="598"/>
      <c r="W438" s="598"/>
      <c r="X438" s="598"/>
      <c r="Y438" s="598"/>
      <c r="Z438" s="598"/>
    </row>
    <row r="439">
      <c r="A439" s="568">
        <f>SUM(D432:D435)</f>
      </c>
      <c r="B439" s="568">
        <f>SUM(E432:E435)</f>
      </c>
      <c r="C439" s="569">
        <f>B439/((K439*300)+A439)</f>
      </c>
      <c r="D439" s="570">
        <f>A439/J439</f>
      </c>
      <c r="E439" s="569">
        <f>B439/J439</f>
      </c>
      <c r="F439" s="571">
        <f>J439/I439</f>
      </c>
      <c r="G439" s="571">
        <f>H439/J439</f>
      </c>
      <c r="H439" s="572">
        <v>5</v>
      </c>
      <c r="I439" s="572">
        <v>36</v>
      </c>
      <c r="J439" s="572">
        <v>27</v>
      </c>
      <c r="K439" s="573">
        <f>C436</f>
      </c>
      <c r="L439" s="598"/>
      <c r="M439" s="598"/>
      <c r="N439" s="598"/>
      <c r="O439" s="598"/>
      <c r="P439" s="598"/>
      <c r="Q439" s="598"/>
      <c r="R439" s="598"/>
      <c r="S439" s="598"/>
      <c r="T439" s="598"/>
      <c r="U439" s="598"/>
      <c r="V439" s="598"/>
      <c r="W439" s="598"/>
      <c r="X439" s="598"/>
      <c r="Y439" s="598"/>
      <c r="Z439" s="598"/>
    </row>
    <row r="440">
      <c r="A440" s="520" t="s">
        <v>1021</v>
      </c>
      <c r="B440" s="520"/>
      <c r="C440" s="520"/>
      <c r="D440" s="520"/>
      <c r="E440" s="520"/>
      <c r="F440" s="520"/>
      <c r="G440" s="520"/>
      <c r="H440" s="520"/>
      <c r="I440" s="520"/>
      <c r="J440" s="520"/>
      <c r="K440" s="520"/>
      <c r="L440" s="598"/>
      <c r="M440" s="598"/>
      <c r="N440" s="598"/>
      <c r="O440" s="598"/>
      <c r="P440" s="598"/>
      <c r="Q440" s="598"/>
      <c r="R440" s="598"/>
      <c r="S440" s="598"/>
      <c r="T440" s="598"/>
      <c r="U440" s="598"/>
      <c r="V440" s="598"/>
      <c r="W440" s="598"/>
      <c r="X440" s="598"/>
      <c r="Y440" s="598"/>
      <c r="Z440" s="598"/>
    </row>
    <row r="441">
      <c r="A441" s="533" t="s">
        <v>912</v>
      </c>
      <c r="B441" s="533" t="s">
        <v>913</v>
      </c>
      <c r="C441" s="533" t="s">
        <v>914</v>
      </c>
      <c r="D441" s="533" t="s">
        <v>915</v>
      </c>
      <c r="E441" s="533" t="s">
        <v>916</v>
      </c>
      <c r="F441" s="533" t="s">
        <v>917</v>
      </c>
      <c r="G441" s="533" t="s">
        <v>896</v>
      </c>
      <c r="H441" s="533" t="s">
        <v>918</v>
      </c>
      <c r="I441" s="533" t="s">
        <v>894</v>
      </c>
      <c r="J441" s="533" t="s">
        <v>919</v>
      </c>
      <c r="K441" s="533"/>
      <c r="L441" s="598"/>
      <c r="M441" s="598"/>
      <c r="N441" s="598"/>
      <c r="O441" s="598"/>
      <c r="P441" s="598"/>
      <c r="Q441" s="598"/>
      <c r="R441" s="598"/>
      <c r="S441" s="598"/>
      <c r="T441" s="598"/>
      <c r="U441" s="598"/>
      <c r="V441" s="598"/>
      <c r="W441" s="598"/>
      <c r="X441" s="598"/>
      <c r="Y441" s="598"/>
      <c r="Z441" s="598"/>
    </row>
    <row r="442">
      <c r="A442" s="546" t="s">
        <v>921</v>
      </c>
      <c r="B442" s="547" t="s">
        <v>1019</v>
      </c>
      <c r="C442" s="546">
        <v>4</v>
      </c>
      <c r="D442" s="546">
        <v>7580.89</v>
      </c>
      <c r="E442" s="546">
        <v>2642.9</v>
      </c>
      <c r="F442" s="546">
        <v>3</v>
      </c>
      <c r="G442" s="549">
        <f t="shared" ref="G442:G446" si="62">E442/F442</f>
      </c>
      <c r="H442" s="549">
        <f t="shared" ref="H442:H446" si="115">D442/F442</f>
      </c>
      <c r="I442" s="549">
        <f t="shared" ref="I442:I446" si="180">E442/D442</f>
      </c>
      <c r="J442" s="548">
        <f t="shared" ref="J442:J446" si="211">D442/C442</f>
      </c>
      <c r="K442" s="548"/>
      <c r="L442" s="598"/>
      <c r="M442" s="598"/>
      <c r="N442" s="598"/>
      <c r="O442" s="598"/>
      <c r="P442" s="598"/>
      <c r="Q442" s="598"/>
      <c r="R442" s="598"/>
      <c r="S442" s="598"/>
      <c r="T442" s="598"/>
      <c r="U442" s="598"/>
      <c r="V442" s="598"/>
      <c r="W442" s="598"/>
      <c r="X442" s="598"/>
      <c r="Y442" s="598"/>
      <c r="Z442" s="598"/>
    </row>
    <row r="443">
      <c r="A443" s="546" t="s">
        <v>975</v>
      </c>
      <c r="B443" s="547" t="s">
        <v>976</v>
      </c>
      <c r="C443" s="546">
        <v>4</v>
      </c>
      <c r="D443" s="546">
        <v>10268.239999999998</v>
      </c>
      <c r="E443" s="546">
        <v>10045.599999999999</v>
      </c>
      <c r="F443" s="546">
        <v>10</v>
      </c>
      <c r="G443" s="549">
        <f t="shared" si="62"/>
      </c>
      <c r="H443" s="549">
        <f t="shared" si="115"/>
      </c>
      <c r="I443" s="549">
        <f t="shared" si="180"/>
      </c>
      <c r="J443" s="548">
        <f t="shared" si="211"/>
      </c>
      <c r="K443" s="548"/>
      <c r="L443" s="598"/>
      <c r="M443" s="598"/>
      <c r="N443" s="598"/>
      <c r="O443" s="598"/>
      <c r="P443" s="598"/>
      <c r="Q443" s="598"/>
      <c r="R443" s="598"/>
      <c r="S443" s="598"/>
      <c r="T443" s="598"/>
      <c r="U443" s="598"/>
      <c r="V443" s="598"/>
      <c r="W443" s="598"/>
      <c r="X443" s="598"/>
      <c r="Y443" s="598"/>
      <c r="Z443" s="598"/>
    </row>
    <row r="444">
      <c r="A444" s="546" t="s">
        <v>966</v>
      </c>
      <c r="B444" s="547" t="s">
        <v>981</v>
      </c>
      <c r="C444" s="546">
        <v>4</v>
      </c>
      <c r="D444" s="546">
        <v>7166.590000000004</v>
      </c>
      <c r="E444" s="546">
        <v>2989.2000000000007</v>
      </c>
      <c r="F444" s="546">
        <v>3</v>
      </c>
      <c r="G444" s="549">
        <f t="shared" si="62"/>
      </c>
      <c r="H444" s="549">
        <f t="shared" si="115"/>
      </c>
      <c r="I444" s="549">
        <f t="shared" si="180"/>
      </c>
      <c r="J444" s="548">
        <f t="shared" si="211"/>
      </c>
      <c r="K444" s="548"/>
      <c r="L444" s="598"/>
      <c r="M444" s="598"/>
      <c r="N444" s="598"/>
      <c r="O444" s="598"/>
      <c r="P444" s="598"/>
      <c r="Q444" s="598"/>
      <c r="R444" s="598"/>
      <c r="S444" s="598"/>
      <c r="T444" s="598"/>
      <c r="U444" s="598"/>
      <c r="V444" s="598"/>
      <c r="W444" s="598"/>
      <c r="X444" s="598"/>
      <c r="Y444" s="598"/>
      <c r="Z444" s="598"/>
    </row>
    <row r="445">
      <c r="A445" s="546" t="s">
        <v>927</v>
      </c>
      <c r="B445" s="547" t="s">
        <v>968</v>
      </c>
      <c r="C445" s="546">
        <v>4</v>
      </c>
      <c r="D445" s="546">
        <v>7619.779999999999</v>
      </c>
      <c r="E445" s="546">
        <v>12484.199999999999</v>
      </c>
      <c r="F445" s="546">
        <v>10</v>
      </c>
      <c r="G445" s="549">
        <f t="shared" si="62"/>
      </c>
      <c r="H445" s="549">
        <f t="shared" si="115"/>
      </c>
      <c r="I445" s="549">
        <f t="shared" si="180"/>
      </c>
      <c r="J445" s="548">
        <f t="shared" si="211"/>
      </c>
      <c r="K445" s="548"/>
      <c r="L445" s="598"/>
      <c r="M445" s="598"/>
      <c r="N445" s="598"/>
      <c r="O445" s="598"/>
      <c r="P445" s="598"/>
      <c r="Q445" s="598"/>
      <c r="R445" s="598"/>
      <c r="S445" s="598"/>
      <c r="T445" s="598"/>
      <c r="U445" s="598"/>
      <c r="V445" s="598"/>
      <c r="W445" s="598"/>
      <c r="X445" s="598"/>
      <c r="Y445" s="598"/>
      <c r="Z445" s="598"/>
    </row>
    <row r="446">
      <c r="A446" s="533" t="s">
        <v>933</v>
      </c>
      <c r="B446" s="533"/>
      <c r="C446" s="533">
        <f>SUM(C442:C445)</f>
      </c>
      <c r="D446" s="533">
        <f>SUM(D442:D445)</f>
      </c>
      <c r="E446" s="533">
        <f>SUM(E442:E445)</f>
      </c>
      <c r="F446" s="533">
        <f>SUM(F442:F445)</f>
      </c>
      <c r="G446" s="551">
        <f t="shared" si="62"/>
      </c>
      <c r="H446" s="551">
        <f t="shared" si="115"/>
      </c>
      <c r="I446" s="551">
        <f t="shared" si="180"/>
      </c>
      <c r="J446" s="550">
        <f t="shared" si="211"/>
      </c>
      <c r="K446" s="550"/>
      <c r="L446" s="598"/>
      <c r="M446" s="598"/>
      <c r="N446" s="598"/>
      <c r="O446" s="598"/>
      <c r="P446" s="598"/>
      <c r="Q446" s="598"/>
      <c r="R446" s="598"/>
      <c r="S446" s="598"/>
      <c r="T446" s="598"/>
      <c r="U446" s="598"/>
      <c r="V446" s="598"/>
      <c r="W446" s="598"/>
      <c r="X446" s="598"/>
      <c r="Y446" s="598"/>
      <c r="Z446" s="598"/>
    </row>
    <row r="447">
      <c r="A447" s="553" t="s">
        <v>935</v>
      </c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98"/>
      <c r="M447" s="598"/>
      <c r="N447" s="598"/>
      <c r="O447" s="598"/>
      <c r="P447" s="598"/>
      <c r="Q447" s="598"/>
      <c r="R447" s="598"/>
      <c r="S447" s="598"/>
      <c r="T447" s="598"/>
      <c r="U447" s="598"/>
      <c r="V447" s="598"/>
      <c r="W447" s="598"/>
      <c r="X447" s="598"/>
      <c r="Y447" s="598"/>
      <c r="Z447" s="598"/>
    </row>
    <row r="448">
      <c r="A448" s="564" t="s">
        <v>915</v>
      </c>
      <c r="B448" s="564" t="s">
        <v>937</v>
      </c>
      <c r="C448" s="564" t="s">
        <v>938</v>
      </c>
      <c r="D448" s="564" t="s">
        <v>939</v>
      </c>
      <c r="E448" s="564" t="s">
        <v>940</v>
      </c>
      <c r="F448" s="564" t="s">
        <v>941</v>
      </c>
      <c r="G448" s="564" t="s">
        <v>942</v>
      </c>
      <c r="H448" s="565" t="s">
        <v>910</v>
      </c>
      <c r="I448" s="565" t="s">
        <v>943</v>
      </c>
      <c r="J448" s="565" t="s">
        <v>944</v>
      </c>
      <c r="K448" s="565" t="s">
        <v>914</v>
      </c>
      <c r="L448" s="598"/>
      <c r="M448" s="598"/>
      <c r="N448" s="598"/>
      <c r="O448" s="598"/>
      <c r="P448" s="598"/>
      <c r="Q448" s="598"/>
      <c r="R448" s="598"/>
      <c r="S448" s="598"/>
      <c r="T448" s="598"/>
      <c r="U448" s="598"/>
      <c r="V448" s="598"/>
      <c r="W448" s="598"/>
      <c r="X448" s="598"/>
      <c r="Y448" s="598"/>
      <c r="Z448" s="598"/>
    </row>
    <row r="449">
      <c r="A449" s="568">
        <f>SUM(D442:D445)</f>
      </c>
      <c r="B449" s="568">
        <f>SUM(E442:E445)</f>
      </c>
      <c r="C449" s="569">
        <f>B449/((K449*300)+A449)</f>
      </c>
      <c r="D449" s="570">
        <f>A449/J449</f>
      </c>
      <c r="E449" s="569">
        <f>B449/J449</f>
      </c>
      <c r="F449" s="571">
        <f>J449/I449</f>
      </c>
      <c r="G449" s="571">
        <f>H449/J449</f>
      </c>
      <c r="H449" s="572">
        <v>2</v>
      </c>
      <c r="I449" s="572">
        <v>42</v>
      </c>
      <c r="J449" s="572">
        <f>F446</f>
      </c>
      <c r="K449" s="573">
        <f>C446</f>
      </c>
      <c r="L449" s="598"/>
      <c r="M449" s="598"/>
      <c r="N449" s="598"/>
      <c r="O449" s="598"/>
      <c r="P449" s="598"/>
      <c r="Q449" s="598"/>
      <c r="R449" s="598"/>
      <c r="S449" s="598"/>
      <c r="T449" s="598"/>
      <c r="U449" s="598"/>
      <c r="V449" s="598"/>
      <c r="W449" s="598"/>
      <c r="X449" s="598"/>
      <c r="Y449" s="598"/>
      <c r="Z449" s="598"/>
    </row>
    <row r="450">
      <c r="A450" s="520" t="s">
        <v>1022</v>
      </c>
      <c r="B450" s="520"/>
      <c r="C450" s="520"/>
      <c r="D450" s="520"/>
      <c r="E450" s="520"/>
      <c r="F450" s="520"/>
      <c r="G450" s="520"/>
      <c r="H450" s="520"/>
      <c r="I450" s="520"/>
      <c r="J450" s="520"/>
      <c r="K450" s="520"/>
    </row>
    <row r="451">
      <c r="A451" s="533" t="s">
        <v>912</v>
      </c>
      <c r="B451" s="533" t="s">
        <v>913</v>
      </c>
      <c r="C451" s="533" t="s">
        <v>914</v>
      </c>
      <c r="D451" s="533" t="s">
        <v>915</v>
      </c>
      <c r="E451" s="533" t="s">
        <v>916</v>
      </c>
      <c r="F451" s="533" t="s">
        <v>917</v>
      </c>
      <c r="G451" s="533" t="s">
        <v>896</v>
      </c>
      <c r="H451" s="533" t="s">
        <v>918</v>
      </c>
      <c r="I451" s="533" t="s">
        <v>894</v>
      </c>
      <c r="J451" s="533" t="s">
        <v>919</v>
      </c>
      <c r="K451" s="533"/>
    </row>
    <row r="452">
      <c r="A452" s="546" t="s">
        <v>975</v>
      </c>
      <c r="B452" s="547" t="s">
        <v>1019</v>
      </c>
      <c r="C452" s="546">
        <v>4</v>
      </c>
      <c r="D452" s="546">
        <v>7917.51</v>
      </c>
      <c r="E452" s="546">
        <v>3159.6000000000004</v>
      </c>
      <c r="F452" s="546">
        <v>4</v>
      </c>
      <c r="G452" s="549">
        <f t="shared" ref="G452:G456" si="63">E452/F452</f>
      </c>
      <c r="H452" s="549">
        <f t="shared" ref="H452:H456" si="116">D452/F452</f>
      </c>
      <c r="I452" s="549">
        <f t="shared" ref="I452:I456" si="181">E452/D452</f>
      </c>
      <c r="J452" s="548">
        <f t="shared" ref="J452:J456" si="212">D452/C452</f>
      </c>
      <c r="K452" s="548"/>
    </row>
    <row r="453">
      <c r="A453" s="546" t="s">
        <v>966</v>
      </c>
      <c r="B453" s="547" t="s">
        <v>976</v>
      </c>
      <c r="C453" s="546">
        <v>4</v>
      </c>
      <c r="D453" s="546">
        <v>10067.74</v>
      </c>
      <c r="E453" s="546">
        <v>11497.199999999999</v>
      </c>
      <c r="F453" s="546">
        <v>13</v>
      </c>
      <c r="G453" s="549">
        <f t="shared" si="63"/>
      </c>
      <c r="H453" s="549">
        <f t="shared" si="116"/>
      </c>
      <c r="I453" s="549">
        <f t="shared" si="181"/>
      </c>
      <c r="J453" s="548">
        <f t="shared" si="212"/>
      </c>
      <c r="K453" s="548"/>
    </row>
    <row r="454">
      <c r="A454" s="546" t="s">
        <v>927</v>
      </c>
      <c r="B454" s="547" t="s">
        <v>981</v>
      </c>
      <c r="C454" s="546">
        <v>4</v>
      </c>
      <c r="D454" s="546">
        <v>4537.399999999998</v>
      </c>
      <c r="E454" s="546">
        <v>10294.3</v>
      </c>
      <c r="F454" s="546">
        <v>8</v>
      </c>
      <c r="G454" s="549">
        <f t="shared" si="63"/>
      </c>
      <c r="H454" s="549">
        <f t="shared" si="116"/>
      </c>
      <c r="I454" s="549">
        <f t="shared" si="181"/>
      </c>
      <c r="J454" s="548">
        <f t="shared" si="212"/>
      </c>
      <c r="K454" s="548"/>
    </row>
    <row r="455">
      <c r="A455" s="546" t="s">
        <v>930</v>
      </c>
      <c r="B455" s="547" t="s">
        <v>968</v>
      </c>
      <c r="C455" s="546">
        <v>4</v>
      </c>
      <c r="D455" s="546">
        <v>7714.31</v>
      </c>
      <c r="E455" s="546">
        <v>11028.599999999999</v>
      </c>
      <c r="F455" s="546">
        <v>11</v>
      </c>
      <c r="G455" s="549">
        <f t="shared" si="63"/>
      </c>
      <c r="H455" s="549">
        <f t="shared" si="116"/>
      </c>
      <c r="I455" s="549">
        <f t="shared" si="181"/>
      </c>
      <c r="J455" s="548">
        <f t="shared" si="212"/>
      </c>
      <c r="K455" s="548"/>
    </row>
    <row r="456">
      <c r="A456" s="533" t="s">
        <v>933</v>
      </c>
      <c r="B456" s="533"/>
      <c r="C456" s="533">
        <f>SUM(C452:C455)</f>
      </c>
      <c r="D456" s="533">
        <f>SUM(D452:D455)</f>
      </c>
      <c r="E456" s="533">
        <f>SUM(E452:E455)</f>
      </c>
      <c r="F456" s="533">
        <f>SUM(F452:F455)</f>
      </c>
      <c r="G456" s="551">
        <f t="shared" si="63"/>
      </c>
      <c r="H456" s="551">
        <f t="shared" si="116"/>
      </c>
      <c r="I456" s="551">
        <f t="shared" si="181"/>
      </c>
      <c r="J456" s="550">
        <f t="shared" si="212"/>
      </c>
      <c r="K456" s="550"/>
    </row>
    <row r="457">
      <c r="A457" s="553" t="s">
        <v>935</v>
      </c>
      <c r="B457" s="553"/>
      <c r="C457" s="553"/>
      <c r="D457" s="553"/>
      <c r="E457" s="553"/>
      <c r="F457" s="553"/>
      <c r="G457" s="553"/>
      <c r="H457" s="553"/>
      <c r="I457" s="553"/>
      <c r="J457" s="553"/>
      <c r="K457" s="553"/>
    </row>
    <row r="458">
      <c r="A458" s="564" t="s">
        <v>915</v>
      </c>
      <c r="B458" s="564" t="s">
        <v>937</v>
      </c>
      <c r="C458" s="564" t="s">
        <v>938</v>
      </c>
      <c r="D458" s="564" t="s">
        <v>939</v>
      </c>
      <c r="E458" s="564" t="s">
        <v>940</v>
      </c>
      <c r="F458" s="564" t="s">
        <v>941</v>
      </c>
      <c r="G458" s="564" t="s">
        <v>942</v>
      </c>
      <c r="H458" s="565" t="s">
        <v>910</v>
      </c>
      <c r="I458" s="565" t="s">
        <v>943</v>
      </c>
      <c r="J458" s="565" t="s">
        <v>944</v>
      </c>
      <c r="K458" s="565" t="s">
        <v>914</v>
      </c>
    </row>
    <row r="459">
      <c r="A459" s="568">
        <f>SUM(D452:D455)</f>
      </c>
      <c r="B459" s="568">
        <f>SUM(E452:E455)</f>
      </c>
      <c r="C459" s="569">
        <f>B459/((K459*300)+A459)</f>
      </c>
      <c r="D459" s="570">
        <f>A459/J459</f>
      </c>
      <c r="E459" s="569">
        <f>B459/J459</f>
      </c>
      <c r="F459" s="571">
        <f>J459/I459</f>
      </c>
      <c r="G459" s="571">
        <f>H459/J459</f>
      </c>
      <c r="H459" s="572">
        <v>5</v>
      </c>
      <c r="I459" s="572">
        <v>46</v>
      </c>
      <c r="J459" s="572">
        <f>F456</f>
      </c>
      <c r="K459" s="573">
        <f>C456</f>
      </c>
    </row>
    <row r="460">
      <c r="A460" s="520" t="s">
        <v>1023</v>
      </c>
      <c r="B460" s="599"/>
      <c r="C460" s="599"/>
      <c r="D460" s="599"/>
      <c r="E460" s="599"/>
      <c r="F460" s="599"/>
      <c r="G460" s="599"/>
      <c r="H460" s="599"/>
      <c r="I460" s="599"/>
      <c r="J460" s="599"/>
      <c r="K460" s="599"/>
    </row>
    <row r="461">
      <c r="A461" s="533" t="s">
        <v>912</v>
      </c>
      <c r="B461" s="533" t="s">
        <v>913</v>
      </c>
      <c r="C461" s="533" t="s">
        <v>914</v>
      </c>
      <c r="D461" s="533" t="s">
        <v>915</v>
      </c>
      <c r="E461" s="533" t="s">
        <v>916</v>
      </c>
      <c r="F461" s="533" t="s">
        <v>917</v>
      </c>
      <c r="G461" s="533" t="s">
        <v>896</v>
      </c>
      <c r="H461" s="533" t="s">
        <v>918</v>
      </c>
      <c r="I461" s="533" t="s">
        <v>894</v>
      </c>
      <c r="J461" s="533" t="s">
        <v>919</v>
      </c>
      <c r="K461" s="533"/>
    </row>
    <row customHeight="true" ht="16.071428571428573" r="462">
      <c r="A462" s="546" t="s">
        <v>921</v>
      </c>
      <c r="B462" s="600" t="s">
        <v>1019</v>
      </c>
      <c r="C462" s="548">
        <v>4</v>
      </c>
      <c r="D462" s="546">
        <v>8021.58</v>
      </c>
      <c r="E462" s="546">
        <v>10686</v>
      </c>
      <c r="F462" s="546">
        <v>9</v>
      </c>
      <c r="G462" s="549">
        <f t="shared" ref="G462:G466" si="64">E462/F462</f>
      </c>
      <c r="H462" s="549">
        <f t="shared" ref="H462:H466" si="117">D462/F462</f>
      </c>
      <c r="I462" s="549">
        <f t="shared" ref="I462:I466" si="182">E462/D462</f>
      </c>
      <c r="J462" s="548">
        <f t="shared" ref="J462:J466" si="213">D462/C462</f>
      </c>
      <c r="K462" s="548"/>
    </row>
    <row customHeight="true" ht="16.071428571428573" r="463">
      <c r="A463" s="546" t="s">
        <v>930</v>
      </c>
      <c r="B463" s="600" t="s">
        <v>976</v>
      </c>
      <c r="C463" s="548">
        <v>4</v>
      </c>
      <c r="D463" s="548">
        <v>8155.870000000001</v>
      </c>
      <c r="E463" s="548">
        <v>8666.399999999998</v>
      </c>
      <c r="F463" s="546">
        <v>11</v>
      </c>
      <c r="G463" s="549">
        <f t="shared" si="64"/>
      </c>
      <c r="H463" s="549">
        <f t="shared" si="117"/>
      </c>
      <c r="I463" s="549">
        <f t="shared" si="182"/>
      </c>
      <c r="J463" s="548">
        <f t="shared" si="213"/>
      </c>
      <c r="K463" s="548"/>
    </row>
    <row customHeight="true" ht="16.071428571428573" r="464">
      <c r="A464" s="546" t="s">
        <v>927</v>
      </c>
      <c r="B464" s="600" t="s">
        <v>981</v>
      </c>
      <c r="C464" s="548">
        <v>4</v>
      </c>
      <c r="D464" s="548">
        <v>7850.57</v>
      </c>
      <c r="E464" s="548">
        <v>5710.799999999999</v>
      </c>
      <c r="F464" s="546">
        <v>2</v>
      </c>
      <c r="G464" s="549">
        <f t="shared" si="64"/>
      </c>
      <c r="H464" s="549">
        <f t="shared" si="117"/>
      </c>
      <c r="I464" s="549">
        <f t="shared" si="182"/>
      </c>
      <c r="J464" s="548">
        <f t="shared" si="213"/>
      </c>
      <c r="K464" s="548"/>
    </row>
    <row customHeight="true" ht="16.071428571428573" r="465">
      <c r="A465" s="546" t="s">
        <v>966</v>
      </c>
      <c r="B465" s="600" t="s">
        <v>968</v>
      </c>
      <c r="C465" s="548">
        <v>4</v>
      </c>
      <c r="D465" s="548">
        <v>7198.25</v>
      </c>
      <c r="E465" s="548">
        <v>14490.200000000004</v>
      </c>
      <c r="F465" s="546">
        <v>13</v>
      </c>
      <c r="G465" s="549">
        <f t="shared" si="64"/>
      </c>
      <c r="H465" s="549">
        <f t="shared" si="117"/>
      </c>
      <c r="I465" s="549">
        <f t="shared" si="182"/>
      </c>
      <c r="J465" s="548">
        <f t="shared" si="213"/>
      </c>
      <c r="K465" s="548"/>
    </row>
    <row customHeight="true" ht="16.071428571428573" r="466">
      <c r="A466" s="533" t="s">
        <v>933</v>
      </c>
      <c r="B466" s="533"/>
      <c r="C466" s="533">
        <f>SUM(C462:C465)</f>
      </c>
      <c r="D466" s="533">
        <f>SUM(D462:D465)</f>
      </c>
      <c r="E466" s="533">
        <f>SUM(E462:E465)</f>
      </c>
      <c r="F466" s="533">
        <f>SUM(F462:F465)</f>
      </c>
      <c r="G466" s="601">
        <f t="shared" si="64"/>
      </c>
      <c r="H466" s="601">
        <f t="shared" si="117"/>
      </c>
      <c r="I466" s="601">
        <f t="shared" si="182"/>
      </c>
      <c r="J466" s="533">
        <f t="shared" si="213"/>
      </c>
      <c r="K466" s="533"/>
    </row>
    <row customHeight="true" ht="16.071428571428573" r="467">
      <c r="A467" s="553" t="s">
        <v>935</v>
      </c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</row>
    <row customHeight="true" ht="16.071428571428573" r="468">
      <c r="A468" s="564" t="s">
        <v>915</v>
      </c>
      <c r="B468" s="564" t="s">
        <v>937</v>
      </c>
      <c r="C468" s="564" t="s">
        <v>938</v>
      </c>
      <c r="D468" s="564" t="s">
        <v>939</v>
      </c>
      <c r="E468" s="564" t="s">
        <v>940</v>
      </c>
      <c r="F468" s="564" t="s">
        <v>941</v>
      </c>
      <c r="G468" s="564" t="s">
        <v>942</v>
      </c>
      <c r="H468" s="565" t="s">
        <v>910</v>
      </c>
      <c r="I468" s="565" t="s">
        <v>943</v>
      </c>
      <c r="J468" s="565" t="s">
        <v>944</v>
      </c>
      <c r="K468" s="565" t="s">
        <v>914</v>
      </c>
    </row>
    <row customHeight="true" ht="16.071428571428573" r="469">
      <c r="A469" s="568">
        <f>SUM(D462:D465)</f>
      </c>
      <c r="B469" s="568">
        <f>SUM(E462:E465)</f>
      </c>
      <c r="C469" s="569">
        <f>B469/((K469*300)+A469)</f>
      </c>
      <c r="D469" s="570">
        <f>A469/J469</f>
      </c>
      <c r="E469" s="569">
        <f>B469/J469</f>
      </c>
      <c r="F469" s="571">
        <f>J469/I469</f>
      </c>
      <c r="G469" s="571">
        <f>H469/J469</f>
      </c>
      <c r="H469" s="572">
        <v>4</v>
      </c>
      <c r="I469" s="572">
        <v>52</v>
      </c>
      <c r="J469" s="573">
        <f>F466</f>
      </c>
      <c r="K469" s="573">
        <f>C466</f>
      </c>
    </row>
    <row customHeight="true" ht="16.071428571428573" r="470">
      <c r="A470" s="520" t="s">
        <v>1024</v>
      </c>
      <c r="B470" s="520"/>
      <c r="C470" s="520"/>
      <c r="D470" s="520"/>
      <c r="E470" s="520"/>
      <c r="F470" s="520"/>
      <c r="G470" s="520"/>
      <c r="H470" s="520"/>
      <c r="I470" s="520"/>
      <c r="J470" s="520"/>
      <c r="K470" s="520"/>
    </row>
    <row customHeight="true" ht="16.071428571428573" r="471">
      <c r="A471" s="533" t="s">
        <v>912</v>
      </c>
      <c r="B471" s="533" t="s">
        <v>913</v>
      </c>
      <c r="C471" s="533" t="s">
        <v>914</v>
      </c>
      <c r="D471" s="533" t="s">
        <v>915</v>
      </c>
      <c r="E471" s="533" t="s">
        <v>916</v>
      </c>
      <c r="F471" s="533" t="s">
        <v>917</v>
      </c>
      <c r="G471" s="533" t="s">
        <v>896</v>
      </c>
      <c r="H471" s="533" t="s">
        <v>918</v>
      </c>
      <c r="I471" s="533" t="s">
        <v>894</v>
      </c>
      <c r="J471" s="533" t="s">
        <v>919</v>
      </c>
      <c r="K471" s="533"/>
    </row>
    <row customHeight="true" ht="16.071428571428573" r="472">
      <c r="A472" s="546" t="s">
        <v>930</v>
      </c>
      <c r="B472" s="600" t="s">
        <v>1019</v>
      </c>
      <c r="C472" s="548">
        <v>4</v>
      </c>
      <c r="D472" s="546">
        <v>8420.580000000002</v>
      </c>
      <c r="E472" s="546">
        <v>12145.7</v>
      </c>
      <c r="F472" s="546">
        <v>11</v>
      </c>
      <c r="G472" s="549">
        <f t="shared" ref="G472:G476" si="65">E472/F472</f>
      </c>
      <c r="H472" s="549">
        <f t="shared" ref="H472:H476" si="118">D472/F472</f>
      </c>
      <c r="I472" s="549">
        <f t="shared" ref="I472:I476" si="183">E472/D472</f>
      </c>
      <c r="J472" s="548">
        <f t="shared" ref="J472:J476" si="214">D472/C472</f>
      </c>
      <c r="K472" s="548"/>
    </row>
    <row customHeight="true" ht="16.071428571428573" r="473">
      <c r="A473" s="546" t="s">
        <v>921</v>
      </c>
      <c r="B473" s="600" t="s">
        <v>976</v>
      </c>
      <c r="C473" s="548">
        <v>4</v>
      </c>
      <c r="D473" s="546">
        <v>9030.38</v>
      </c>
      <c r="E473" s="546">
        <v>6474.9</v>
      </c>
      <c r="F473" s="546">
        <v>10</v>
      </c>
      <c r="G473" s="549">
        <f t="shared" si="65"/>
      </c>
      <c r="H473" s="549">
        <f t="shared" si="118"/>
      </c>
      <c r="I473" s="549">
        <f t="shared" si="183"/>
      </c>
      <c r="J473" s="548">
        <f t="shared" si="214"/>
      </c>
      <c r="K473" s="548"/>
    </row>
    <row customHeight="true" ht="16.071428571428573" r="474">
      <c r="A474" s="546" t="s">
        <v>927</v>
      </c>
      <c r="B474" s="600" t="s">
        <v>981</v>
      </c>
      <c r="C474" s="548">
        <v>4</v>
      </c>
      <c r="D474" s="546">
        <v>9876.72</v>
      </c>
      <c r="E474" s="546">
        <v>7976</v>
      </c>
      <c r="F474" s="546">
        <v>7</v>
      </c>
      <c r="G474" s="549">
        <f t="shared" si="65"/>
      </c>
      <c r="H474" s="549">
        <f t="shared" si="118"/>
      </c>
      <c r="I474" s="549">
        <f t="shared" si="183"/>
      </c>
      <c r="J474" s="548">
        <f t="shared" si="214"/>
      </c>
      <c r="K474" s="548"/>
    </row>
    <row customHeight="true" ht="16.071428571428573" r="475">
      <c r="A475" s="546" t="s">
        <v>975</v>
      </c>
      <c r="B475" s="600" t="s">
        <v>968</v>
      </c>
      <c r="C475" s="548">
        <v>4</v>
      </c>
      <c r="D475" s="546">
        <v>9366.58</v>
      </c>
      <c r="E475" s="546">
        <v>8270.3</v>
      </c>
      <c r="F475" s="546">
        <v>7</v>
      </c>
      <c r="G475" s="549">
        <f t="shared" si="65"/>
      </c>
      <c r="H475" s="549">
        <f t="shared" si="118"/>
      </c>
      <c r="I475" s="549">
        <f t="shared" si="183"/>
      </c>
      <c r="J475" s="548">
        <f t="shared" si="214"/>
      </c>
      <c r="K475" s="548"/>
    </row>
    <row customHeight="true" ht="16.071428571428573" r="476">
      <c r="A476" s="533" t="s">
        <v>933</v>
      </c>
      <c r="B476" s="533"/>
      <c r="C476" s="533">
        <f>SUM(C472:C475)</f>
      </c>
      <c r="D476" s="533">
        <f>SUM(D472:D475)</f>
      </c>
      <c r="E476" s="533">
        <f>SUM(E472:E475)</f>
      </c>
      <c r="F476" s="533">
        <f>SUM(F472:F475)</f>
      </c>
      <c r="G476" s="601">
        <f t="shared" si="65"/>
      </c>
      <c r="H476" s="601">
        <f t="shared" si="118"/>
      </c>
      <c r="I476" s="601">
        <f t="shared" si="183"/>
      </c>
      <c r="J476" s="533">
        <f t="shared" si="214"/>
      </c>
      <c r="K476" s="533"/>
    </row>
    <row customHeight="true" ht="16.071428571428573" r="477">
      <c r="A477" s="553" t="s">
        <v>935</v>
      </c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</row>
    <row customHeight="true" ht="16.071428571428573" r="478">
      <c r="A478" s="564" t="s">
        <v>915</v>
      </c>
      <c r="B478" s="564" t="s">
        <v>937</v>
      </c>
      <c r="C478" s="564" t="s">
        <v>938</v>
      </c>
      <c r="D478" s="564" t="s">
        <v>939</v>
      </c>
      <c r="E478" s="564" t="s">
        <v>940</v>
      </c>
      <c r="F478" s="564" t="s">
        <v>941</v>
      </c>
      <c r="G478" s="564" t="s">
        <v>942</v>
      </c>
      <c r="H478" s="565" t="s">
        <v>910</v>
      </c>
      <c r="I478" s="565" t="s">
        <v>943</v>
      </c>
      <c r="J478" s="565" t="s">
        <v>944</v>
      </c>
      <c r="K478" s="565" t="s">
        <v>914</v>
      </c>
    </row>
    <row customHeight="true" ht="16.071428571428573" r="479">
      <c r="A479" s="568">
        <f>SUM(D472:D475)</f>
      </c>
      <c r="B479" s="568">
        <f>SUM(E472:E475)</f>
      </c>
      <c r="C479" s="569">
        <f>B479/((K479*300)+A479)</f>
      </c>
      <c r="D479" s="570">
        <f>A479/J479</f>
      </c>
      <c r="E479" s="569">
        <f>B479/J479</f>
      </c>
      <c r="F479" s="571">
        <f>J479/I479</f>
      </c>
      <c r="G479" s="571">
        <f>H479/J479</f>
      </c>
      <c r="H479" s="572">
        <v>4</v>
      </c>
      <c r="I479" s="572">
        <v>54</v>
      </c>
      <c r="J479" s="572">
        <f>F476</f>
      </c>
      <c r="K479" s="573">
        <f>C476</f>
      </c>
    </row>
    <row customHeight="true" ht="16.071428571428573" r="480">
      <c r="A480" s="520" t="s">
        <v>1025</v>
      </c>
      <c r="B480" s="520"/>
      <c r="C480" s="520"/>
      <c r="D480" s="520"/>
      <c r="E480" s="520"/>
      <c r="F480" s="520"/>
      <c r="G480" s="520"/>
      <c r="H480" s="520"/>
      <c r="I480" s="520"/>
      <c r="J480" s="520"/>
      <c r="K480" s="520"/>
    </row>
    <row customHeight="true" ht="16.071428571428573" r="481">
      <c r="A481" s="533" t="s">
        <v>912</v>
      </c>
      <c r="B481" s="533" t="s">
        <v>913</v>
      </c>
      <c r="C481" s="533" t="s">
        <v>914</v>
      </c>
      <c r="D481" s="533" t="s">
        <v>915</v>
      </c>
      <c r="E481" s="533" t="s">
        <v>916</v>
      </c>
      <c r="F481" s="533" t="s">
        <v>917</v>
      </c>
      <c r="G481" s="533" t="s">
        <v>896</v>
      </c>
      <c r="H481" s="533" t="s">
        <v>918</v>
      </c>
      <c r="I481" s="533" t="s">
        <v>894</v>
      </c>
      <c r="J481" s="533" t="s">
        <v>919</v>
      </c>
      <c r="K481" s="533"/>
    </row>
    <row customHeight="true" ht="16.071428571428573" r="482">
      <c r="A482" s="546" t="s">
        <v>921</v>
      </c>
      <c r="B482" s="600" t="s">
        <v>1019</v>
      </c>
      <c r="C482" s="548">
        <v>4</v>
      </c>
      <c r="D482" s="546">
        <v>6280.83</v>
      </c>
      <c r="E482" s="546">
        <v>5834.4</v>
      </c>
      <c r="F482" s="546">
        <v>7</v>
      </c>
      <c r="G482" s="549">
        <f t="shared" ref="G482:G486" si="66">E482/F482</f>
      </c>
      <c r="H482" s="549">
        <f t="shared" ref="H482:H486" si="119">D482/F482</f>
      </c>
      <c r="I482" s="549">
        <f t="shared" ref="I482:I486" si="184">E482/D482</f>
      </c>
      <c r="J482" s="548">
        <f t="shared" ref="J482:J486" si="215">D482/C482</f>
      </c>
      <c r="K482" s="548"/>
    </row>
    <row customHeight="true" ht="16.071428571428573" r="483">
      <c r="A483" s="546" t="s">
        <v>927</v>
      </c>
      <c r="B483" s="600" t="s">
        <v>976</v>
      </c>
      <c r="C483" s="548">
        <v>4</v>
      </c>
      <c r="D483" s="546">
        <v>4724.0700000000015</v>
      </c>
      <c r="E483" s="546">
        <v>8831.3</v>
      </c>
      <c r="F483" s="546">
        <v>9</v>
      </c>
      <c r="G483" s="549">
        <f t="shared" si="66"/>
      </c>
      <c r="H483" s="549">
        <f t="shared" si="119"/>
      </c>
      <c r="I483" s="549">
        <f t="shared" si="184"/>
      </c>
      <c r="J483" s="548">
        <f t="shared" si="215"/>
      </c>
      <c r="K483" s="548"/>
    </row>
    <row customHeight="true" ht="16.071428571428573" r="484">
      <c r="A484" s="546" t="s">
        <v>966</v>
      </c>
      <c r="B484" s="600" t="s">
        <v>981</v>
      </c>
      <c r="C484" s="548">
        <v>4</v>
      </c>
      <c r="D484" s="546">
        <v>11100.720000000001</v>
      </c>
      <c r="E484" s="546">
        <v>17678</v>
      </c>
      <c r="F484" s="546">
        <v>23</v>
      </c>
      <c r="G484" s="549">
        <f t="shared" si="66"/>
      </c>
      <c r="H484" s="549">
        <f t="shared" si="119"/>
      </c>
      <c r="I484" s="549">
        <f t="shared" si="184"/>
      </c>
      <c r="J484" s="548">
        <f t="shared" si="215"/>
      </c>
      <c r="K484" s="548"/>
    </row>
    <row customHeight="true" ht="16.071428571428573" r="485">
      <c r="A485" s="546" t="s">
        <v>975</v>
      </c>
      <c r="B485" s="600" t="s">
        <v>968</v>
      </c>
      <c r="C485" s="548">
        <v>4</v>
      </c>
      <c r="D485" s="546">
        <v>13926.29</v>
      </c>
      <c r="E485" s="546">
        <v>10670.400000000001</v>
      </c>
      <c r="F485" s="546">
        <v>13</v>
      </c>
      <c r="G485" s="549">
        <f t="shared" si="66"/>
      </c>
      <c r="H485" s="549">
        <f t="shared" si="119"/>
      </c>
      <c r="I485" s="549">
        <f t="shared" si="184"/>
      </c>
      <c r="J485" s="548">
        <f t="shared" si="215"/>
      </c>
      <c r="K485" s="548"/>
    </row>
    <row customHeight="true" ht="16.071428571428573" r="486">
      <c r="A486" s="533" t="s">
        <v>933</v>
      </c>
      <c r="B486" s="533"/>
      <c r="C486" s="533">
        <f>SUM(C482:C485)</f>
      </c>
      <c r="D486" s="533">
        <f>SUM(D482:D485)</f>
      </c>
      <c r="E486" s="533">
        <f>SUM(E482:E485)</f>
      </c>
      <c r="F486" s="533">
        <f>SUM(F482:F485)</f>
      </c>
      <c r="G486" s="601">
        <f t="shared" si="66"/>
      </c>
      <c r="H486" s="601">
        <f t="shared" si="119"/>
      </c>
      <c r="I486" s="601">
        <f t="shared" si="184"/>
      </c>
      <c r="J486" s="533">
        <f t="shared" si="215"/>
      </c>
      <c r="K486" s="533"/>
    </row>
    <row customHeight="true" ht="16.071428571428573" r="487">
      <c r="A487" s="553" t="s">
        <v>935</v>
      </c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</row>
    <row customHeight="true" ht="16.071428571428573" r="488">
      <c r="A488" s="564" t="s">
        <v>915</v>
      </c>
      <c r="B488" s="564" t="s">
        <v>937</v>
      </c>
      <c r="C488" s="564" t="s">
        <v>938</v>
      </c>
      <c r="D488" s="564" t="s">
        <v>939</v>
      </c>
      <c r="E488" s="564" t="s">
        <v>940</v>
      </c>
      <c r="F488" s="564" t="s">
        <v>941</v>
      </c>
      <c r="G488" s="564" t="s">
        <v>942</v>
      </c>
      <c r="H488" s="565" t="s">
        <v>910</v>
      </c>
      <c r="I488" s="565" t="s">
        <v>943</v>
      </c>
      <c r="J488" s="565" t="s">
        <v>944</v>
      </c>
      <c r="K488" s="565" t="s">
        <v>914</v>
      </c>
    </row>
    <row customHeight="true" ht="16.071428571428573" r="489">
      <c r="A489" s="568">
        <f>SUM(D482:D485)</f>
      </c>
      <c r="B489" s="568">
        <f>SUM(E482:E485)</f>
      </c>
      <c r="C489" s="569">
        <f>B489/((K489*300)+A489)</f>
      </c>
      <c r="D489" s="570">
        <f>A489/J489</f>
      </c>
      <c r="E489" s="569">
        <f>B489/J489</f>
      </c>
      <c r="F489" s="571">
        <f>J489/I489</f>
      </c>
      <c r="G489" s="571">
        <f>H489/J489</f>
      </c>
      <c r="H489" s="572">
        <v>6</v>
      </c>
      <c r="I489" s="572">
        <v>67</v>
      </c>
      <c r="J489" s="572">
        <f>F486</f>
      </c>
      <c r="K489" s="573">
        <f>C486</f>
      </c>
    </row>
    <row customHeight="true" ht="16.071428571428573" r="490">
      <c r="A490" s="520" t="s">
        <v>1026</v>
      </c>
      <c r="B490" s="520"/>
      <c r="C490" s="520"/>
      <c r="D490" s="520"/>
      <c r="E490" s="520"/>
      <c r="F490" s="520"/>
      <c r="G490" s="520"/>
      <c r="H490" s="520"/>
      <c r="I490" s="520"/>
      <c r="J490" s="520"/>
      <c r="K490" s="520"/>
    </row>
    <row customHeight="true" ht="16.071428571428573" r="491">
      <c r="A491" s="533" t="s">
        <v>912</v>
      </c>
      <c r="B491" s="533" t="s">
        <v>913</v>
      </c>
      <c r="C491" s="533" t="s">
        <v>914</v>
      </c>
      <c r="D491" s="533" t="s">
        <v>915</v>
      </c>
      <c r="E491" s="533" t="s">
        <v>916</v>
      </c>
      <c r="F491" s="533" t="s">
        <v>917</v>
      </c>
      <c r="G491" s="533" t="s">
        <v>896</v>
      </c>
      <c r="H491" s="533" t="s">
        <v>918</v>
      </c>
      <c r="I491" s="533" t="s">
        <v>894</v>
      </c>
      <c r="J491" s="533" t="s">
        <v>919</v>
      </c>
      <c r="K491" s="533"/>
    </row>
    <row customHeight="true" ht="16.071428571428573" r="492">
      <c r="A492" s="546" t="s">
        <v>921</v>
      </c>
      <c r="B492" s="600" t="s">
        <v>1019</v>
      </c>
      <c r="C492" s="548">
        <v>4</v>
      </c>
      <c r="D492" s="546">
        <v>8926.06</v>
      </c>
      <c r="E492" s="546">
        <v>12040.8</v>
      </c>
      <c r="F492" s="546">
        <v>10</v>
      </c>
      <c r="G492" s="549">
        <f t="shared" ref="G492:G496" si="67">E492/F492</f>
      </c>
      <c r="H492" s="549">
        <f t="shared" ref="H492:H496" si="120">D492/F492</f>
      </c>
      <c r="I492" s="549">
        <f t="shared" ref="I492:I496" si="185">E492/D492</f>
      </c>
      <c r="J492" s="548">
        <f t="shared" ref="J492:J496" si="216">D492/C492</f>
      </c>
      <c r="K492" s="548"/>
    </row>
    <row customHeight="true" ht="16.071428571428573" r="493">
      <c r="A493" s="546" t="s">
        <v>930</v>
      </c>
      <c r="B493" s="600" t="s">
        <v>976</v>
      </c>
      <c r="C493" s="548">
        <v>4</v>
      </c>
      <c r="D493" s="546">
        <v>9259.35</v>
      </c>
      <c r="E493" s="546">
        <v>9671.999999999996</v>
      </c>
      <c r="F493" s="546">
        <v>10</v>
      </c>
      <c r="G493" s="549">
        <f t="shared" si="67"/>
      </c>
      <c r="H493" s="549">
        <f t="shared" si="120"/>
      </c>
      <c r="I493" s="549">
        <f t="shared" si="185"/>
      </c>
      <c r="J493" s="548">
        <f t="shared" si="216"/>
      </c>
      <c r="K493" s="548"/>
    </row>
    <row customHeight="true" ht="16.071428571428573" r="494">
      <c r="A494" s="546" t="s">
        <v>975</v>
      </c>
      <c r="B494" s="600" t="s">
        <v>981</v>
      </c>
      <c r="C494" s="548">
        <v>4</v>
      </c>
      <c r="D494" s="546">
        <v>7996.720000000001</v>
      </c>
      <c r="E494" s="546">
        <v>3970.600000000002</v>
      </c>
      <c r="F494" s="546">
        <v>3</v>
      </c>
      <c r="G494" s="549">
        <f t="shared" si="67"/>
      </c>
      <c r="H494" s="549">
        <f t="shared" si="120"/>
      </c>
      <c r="I494" s="549">
        <f t="shared" si="185"/>
      </c>
      <c r="J494" s="548">
        <f t="shared" si="216"/>
      </c>
      <c r="K494" s="548"/>
    </row>
    <row customHeight="true" ht="16.071428571428573" r="495">
      <c r="A495" s="546" t="s">
        <v>966</v>
      </c>
      <c r="B495" s="600" t="s">
        <v>968</v>
      </c>
      <c r="C495" s="548">
        <v>4</v>
      </c>
      <c r="D495" s="546">
        <v>6390.049999999999</v>
      </c>
      <c r="E495" s="546">
        <v>9355.8</v>
      </c>
      <c r="F495" s="546">
        <v>7</v>
      </c>
      <c r="G495" s="549">
        <f t="shared" si="67"/>
      </c>
      <c r="H495" s="549">
        <f t="shared" si="120"/>
      </c>
      <c r="I495" s="549">
        <f t="shared" si="185"/>
      </c>
      <c r="J495" s="548">
        <f t="shared" si="216"/>
      </c>
      <c r="K495" s="548"/>
    </row>
    <row customHeight="true" ht="16.071428571428573" r="496">
      <c r="A496" s="533" t="s">
        <v>933</v>
      </c>
      <c r="B496" s="533"/>
      <c r="C496" s="533">
        <f>SUM(C492:C495)</f>
      </c>
      <c r="D496" s="533"/>
      <c r="E496" s="533"/>
      <c r="F496" s="533"/>
      <c r="G496" s="601">
        <f t="shared" si="67"/>
      </c>
      <c r="H496" s="601">
        <f t="shared" si="120"/>
      </c>
      <c r="I496" s="601">
        <f t="shared" si="185"/>
      </c>
      <c r="J496" s="533">
        <f t="shared" si="216"/>
      </c>
      <c r="K496" s="533"/>
    </row>
    <row customHeight="true" ht="16.071428571428573" r="497">
      <c r="A497" s="553" t="s">
        <v>935</v>
      </c>
      <c r="B497" s="553"/>
      <c r="C497" s="553"/>
      <c r="D497" s="553"/>
      <c r="E497" s="553"/>
      <c r="F497" s="553"/>
      <c r="G497" s="553"/>
      <c r="H497" s="553"/>
      <c r="I497" s="553"/>
      <c r="J497" s="553"/>
      <c r="K497" s="553"/>
    </row>
    <row customHeight="true" ht="16.071428571428573" r="498">
      <c r="A498" s="564" t="s">
        <v>915</v>
      </c>
      <c r="B498" s="564" t="s">
        <v>937</v>
      </c>
      <c r="C498" s="564" t="s">
        <v>938</v>
      </c>
      <c r="D498" s="564" t="s">
        <v>939</v>
      </c>
      <c r="E498" s="564" t="s">
        <v>940</v>
      </c>
      <c r="F498" s="564" t="s">
        <v>941</v>
      </c>
      <c r="G498" s="564" t="s">
        <v>942</v>
      </c>
      <c r="H498" s="565" t="s">
        <v>910</v>
      </c>
      <c r="I498" s="565" t="s">
        <v>943</v>
      </c>
      <c r="J498" s="565" t="s">
        <v>944</v>
      </c>
      <c r="K498" s="565" t="s">
        <v>914</v>
      </c>
    </row>
    <row customHeight="true" ht="16.071428571428573" r="499">
      <c r="A499" s="568">
        <f>SUM(D492:D495)</f>
      </c>
      <c r="B499" s="568">
        <f>SUM(E492:E495)</f>
      </c>
      <c r="C499" s="569">
        <f>B499/((K499*300)+A499)</f>
      </c>
      <c r="D499" s="570">
        <f>A499/J499</f>
      </c>
      <c r="E499" s="569">
        <f>B499/J499</f>
      </c>
      <c r="F499" s="571">
        <f>J499/I499</f>
      </c>
      <c r="G499" s="571">
        <f>H499/J499</f>
      </c>
      <c r="H499" s="572">
        <v>0</v>
      </c>
      <c r="I499" s="572">
        <v>49</v>
      </c>
      <c r="J499" s="572">
        <v>30</v>
      </c>
      <c r="K499" s="573">
        <f>C496</f>
      </c>
    </row>
    <row customHeight="true" ht="16.071428571428573" r="500">
      <c r="A500" s="520" t="s">
        <v>1027</v>
      </c>
      <c r="B500" s="520"/>
      <c r="C500" s="520"/>
      <c r="D500" s="520"/>
      <c r="E500" s="520"/>
      <c r="F500" s="520"/>
      <c r="G500" s="520"/>
      <c r="H500" s="520"/>
      <c r="I500" s="520"/>
      <c r="J500" s="520"/>
      <c r="K500" s="520"/>
    </row>
    <row customHeight="true" ht="16.071428571428573" r="501">
      <c r="A501" s="533" t="s">
        <v>912</v>
      </c>
      <c r="B501" s="533" t="s">
        <v>913</v>
      </c>
      <c r="C501" s="533" t="s">
        <v>914</v>
      </c>
      <c r="D501" s="533" t="s">
        <v>915</v>
      </c>
      <c r="E501" s="533" t="s">
        <v>916</v>
      </c>
      <c r="F501" s="533" t="s">
        <v>917</v>
      </c>
      <c r="G501" s="533" t="s">
        <v>896</v>
      </c>
      <c r="H501" s="533" t="s">
        <v>918</v>
      </c>
      <c r="I501" s="533" t="s">
        <v>894</v>
      </c>
      <c r="J501" s="533" t="s">
        <v>919</v>
      </c>
      <c r="K501" s="533"/>
    </row>
    <row customHeight="true" ht="16.071428571428573" r="502">
      <c r="A502" s="546" t="s">
        <v>930</v>
      </c>
      <c r="B502" s="600" t="s">
        <v>1019</v>
      </c>
      <c r="C502" s="548">
        <v>4</v>
      </c>
      <c r="D502" s="546">
        <v>7659.07</v>
      </c>
      <c r="E502" s="546">
        <v>5671.2</v>
      </c>
      <c r="F502" s="546">
        <v>4</v>
      </c>
      <c r="G502" s="549">
        <f t="shared" ref="G502:G506" si="68">E502/F502</f>
      </c>
      <c r="H502" s="549">
        <f t="shared" ref="H502:H506" si="121">D502/F502</f>
      </c>
      <c r="I502" s="549">
        <f t="shared" ref="I502:I506" si="186">E502/D502</f>
      </c>
      <c r="J502" s="548">
        <f t="shared" ref="J502:J506" si="217">D502/C502</f>
      </c>
      <c r="K502" s="548"/>
    </row>
    <row customHeight="true" ht="16.071428571428573" r="503">
      <c r="A503" s="546" t="s">
        <v>921</v>
      </c>
      <c r="B503" s="600" t="s">
        <v>976</v>
      </c>
      <c r="C503" s="548">
        <v>4</v>
      </c>
      <c r="D503" s="546">
        <v>7199.59</v>
      </c>
      <c r="E503" s="546">
        <v>5695.200000000002</v>
      </c>
      <c r="F503" s="546">
        <v>3</v>
      </c>
      <c r="G503" s="549">
        <f t="shared" si="68"/>
      </c>
      <c r="H503" s="549">
        <f t="shared" si="121"/>
      </c>
      <c r="I503" s="549">
        <f t="shared" si="186"/>
      </c>
      <c r="J503" s="548">
        <f t="shared" si="217"/>
      </c>
      <c r="K503" s="548"/>
    </row>
    <row customHeight="true" ht="16.071428571428573" r="504">
      <c r="A504" s="546" t="s">
        <v>966</v>
      </c>
      <c r="B504" s="600" t="s">
        <v>981</v>
      </c>
      <c r="C504" s="548">
        <v>4</v>
      </c>
      <c r="D504" s="546">
        <v>5507.16</v>
      </c>
      <c r="E504" s="546">
        <v>6784.799999999999</v>
      </c>
      <c r="F504" s="546">
        <v>7</v>
      </c>
      <c r="G504" s="549">
        <f t="shared" si="68"/>
      </c>
      <c r="H504" s="549">
        <f t="shared" si="121"/>
      </c>
      <c r="I504" s="549">
        <f t="shared" si="186"/>
      </c>
      <c r="J504" s="548">
        <f t="shared" si="217"/>
      </c>
      <c r="K504" s="548"/>
    </row>
    <row customHeight="true" ht="16.071428571428573" r="505">
      <c r="A505" s="546" t="s">
        <v>927</v>
      </c>
      <c r="B505" s="600" t="s">
        <v>968</v>
      </c>
      <c r="C505" s="548">
        <v>4</v>
      </c>
      <c r="D505" s="546">
        <v>9029.270000000004</v>
      </c>
      <c r="E505" s="546">
        <v>14622.8</v>
      </c>
      <c r="F505" s="546">
        <v>12</v>
      </c>
      <c r="G505" s="549">
        <f t="shared" si="68"/>
      </c>
      <c r="H505" s="549">
        <f t="shared" si="121"/>
      </c>
      <c r="I505" s="549">
        <f t="shared" si="186"/>
      </c>
      <c r="J505" s="548">
        <f t="shared" si="217"/>
      </c>
      <c r="K505" s="548"/>
    </row>
    <row customHeight="true" ht="16.071428571428573" r="506">
      <c r="A506" s="533" t="s">
        <v>933</v>
      </c>
      <c r="B506" s="533"/>
      <c r="C506" s="533">
        <f>SUM(C502:C505)</f>
      </c>
      <c r="D506" s="533">
        <f>SUM(D502:D505)</f>
      </c>
      <c r="E506" s="533">
        <f>SUM(E502:E505)</f>
      </c>
      <c r="F506" s="533">
        <f>SUM(F502:F505)</f>
      </c>
      <c r="G506" s="601">
        <f t="shared" si="68"/>
      </c>
      <c r="H506" s="601">
        <f t="shared" si="121"/>
      </c>
      <c r="I506" s="601">
        <f t="shared" si="186"/>
      </c>
      <c r="J506" s="533">
        <f t="shared" si="217"/>
      </c>
      <c r="K506" s="533"/>
    </row>
    <row customHeight="true" ht="16.071428571428573" r="507">
      <c r="A507" s="553" t="s">
        <v>935</v>
      </c>
      <c r="B507" s="553"/>
      <c r="C507" s="553"/>
      <c r="D507" s="553"/>
      <c r="E507" s="553"/>
      <c r="F507" s="553"/>
      <c r="G507" s="553"/>
      <c r="H507" s="553"/>
      <c r="I507" s="553"/>
      <c r="J507" s="553"/>
      <c r="K507" s="553"/>
    </row>
    <row customHeight="true" ht="16.071428571428573" r="508">
      <c r="A508" s="564" t="s">
        <v>915</v>
      </c>
      <c r="B508" s="564" t="s">
        <v>937</v>
      </c>
      <c r="C508" s="564" t="s">
        <v>938</v>
      </c>
      <c r="D508" s="564" t="s">
        <v>939</v>
      </c>
      <c r="E508" s="564" t="s">
        <v>940</v>
      </c>
      <c r="F508" s="564" t="s">
        <v>941</v>
      </c>
      <c r="G508" s="564" t="s">
        <v>942</v>
      </c>
      <c r="H508" s="565" t="s">
        <v>910</v>
      </c>
      <c r="I508" s="565" t="s">
        <v>943</v>
      </c>
      <c r="J508" s="565" t="s">
        <v>944</v>
      </c>
      <c r="K508" s="565" t="s">
        <v>914</v>
      </c>
    </row>
    <row customHeight="true" ht="16.071428571428573" r="509">
      <c r="A509" s="568">
        <f>SUM(D502:D505)</f>
      </c>
      <c r="B509" s="568">
        <f>SUM(E502:E505)</f>
      </c>
      <c r="C509" s="569">
        <f>B509/((K509*300)+A509)</f>
      </c>
      <c r="D509" s="570">
        <f>A509/J509</f>
      </c>
      <c r="E509" s="569">
        <f>B509/J509</f>
      </c>
      <c r="F509" s="571">
        <f>J509/I509</f>
      </c>
      <c r="G509" s="571">
        <f>H509/J509</f>
      </c>
      <c r="H509" s="572">
        <v>1</v>
      </c>
      <c r="I509" s="572">
        <v>49</v>
      </c>
      <c r="J509" s="572">
        <f>F506</f>
      </c>
      <c r="K509" s="573">
        <f>C506</f>
      </c>
    </row>
    <row customHeight="true" ht="16.071428571428573" r="510">
      <c r="A510" s="520" t="s">
        <v>1028</v>
      </c>
      <c r="B510" s="520"/>
      <c r="C510" s="520"/>
      <c r="D510" s="520"/>
      <c r="E510" s="520"/>
      <c r="F510" s="520"/>
      <c r="G510" s="520"/>
      <c r="H510" s="520"/>
      <c r="I510" s="520"/>
      <c r="J510" s="520"/>
      <c r="K510" s="520"/>
    </row>
    <row customHeight="true" ht="16.071428571428573" r="511">
      <c r="A511" s="533" t="s">
        <v>912</v>
      </c>
      <c r="B511" s="533" t="s">
        <v>913</v>
      </c>
      <c r="C511" s="533" t="s">
        <v>914</v>
      </c>
      <c r="D511" s="533" t="s">
        <v>915</v>
      </c>
      <c r="E511" s="533" t="s">
        <v>916</v>
      </c>
      <c r="F511" s="533" t="s">
        <v>917</v>
      </c>
      <c r="G511" s="533" t="s">
        <v>896</v>
      </c>
      <c r="H511" s="533" t="s">
        <v>918</v>
      </c>
      <c r="I511" s="533" t="s">
        <v>894</v>
      </c>
      <c r="J511" s="533" t="s">
        <v>919</v>
      </c>
      <c r="K511" s="533"/>
    </row>
    <row customHeight="true" ht="16.071428571428573" r="512">
      <c r="A512" s="546" t="s">
        <v>930</v>
      </c>
      <c r="B512" s="600" t="s">
        <v>1019</v>
      </c>
      <c r="C512" s="548">
        <v>4</v>
      </c>
      <c r="D512" s="546">
        <v>11438.56</v>
      </c>
      <c r="E512" s="546">
        <v>24970.4</v>
      </c>
      <c r="F512" s="546">
        <v>18</v>
      </c>
      <c r="G512" s="549">
        <f t="shared" ref="G512:G516" si="69">E512/F512</f>
      </c>
      <c r="H512" s="549">
        <f t="shared" ref="H512:H516" si="122">D512/F512</f>
      </c>
      <c r="I512" s="549">
        <f t="shared" ref="I512:I516" si="187">E512/D512</f>
      </c>
      <c r="J512" s="548">
        <f t="shared" ref="J512:J516" si="218">D512/C512</f>
      </c>
      <c r="K512" s="548"/>
    </row>
    <row customHeight="true" ht="16.071428571428573" r="513">
      <c r="A513" s="546" t="s">
        <v>921</v>
      </c>
      <c r="B513" s="600" t="s">
        <v>976</v>
      </c>
      <c r="C513" s="546">
        <v>4</v>
      </c>
      <c r="D513" s="546">
        <v>12334.63</v>
      </c>
      <c r="E513" s="546">
        <v>24601.4</v>
      </c>
      <c r="F513" s="546">
        <v>18</v>
      </c>
      <c r="G513" s="549">
        <f t="shared" si="69"/>
      </c>
      <c r="H513" s="549">
        <f t="shared" si="122"/>
      </c>
      <c r="I513" s="549">
        <f t="shared" si="187"/>
      </c>
      <c r="J513" s="548">
        <f t="shared" si="218"/>
      </c>
      <c r="K513" s="548"/>
    </row>
    <row customHeight="true" ht="16.071428571428573" r="514">
      <c r="A514" s="546" t="s">
        <v>966</v>
      </c>
      <c r="B514" s="600" t="s">
        <v>981</v>
      </c>
      <c r="C514" s="546">
        <v>4</v>
      </c>
      <c r="D514" s="546">
        <v>10589.97</v>
      </c>
      <c r="E514" s="546">
        <v>18084.6</v>
      </c>
      <c r="F514" s="546">
        <v>16</v>
      </c>
      <c r="G514" s="549">
        <f t="shared" si="69"/>
      </c>
      <c r="H514" s="549">
        <f t="shared" si="122"/>
      </c>
      <c r="I514" s="549">
        <f t="shared" si="187"/>
      </c>
      <c r="J514" s="548">
        <f t="shared" si="218"/>
      </c>
      <c r="K514" s="548"/>
    </row>
    <row customHeight="true" ht="16.071428571428573" r="515">
      <c r="A515" s="546" t="s">
        <v>927</v>
      </c>
      <c r="B515" s="600" t="s">
        <v>968</v>
      </c>
      <c r="C515" s="546">
        <v>4</v>
      </c>
      <c r="D515" s="602">
        <v>10001</v>
      </c>
      <c r="E515" s="602">
        <v>15274.6</v>
      </c>
      <c r="F515" s="602">
        <v>11</v>
      </c>
      <c r="G515" s="549">
        <f t="shared" si="69"/>
      </c>
      <c r="H515" s="549">
        <f t="shared" si="122"/>
      </c>
      <c r="I515" s="549">
        <f t="shared" si="187"/>
      </c>
      <c r="J515" s="548">
        <f t="shared" si="218"/>
      </c>
      <c r="K515" s="548"/>
    </row>
    <row customHeight="true" ht="16.071428571428573" r="516">
      <c r="A516" s="533" t="s">
        <v>933</v>
      </c>
      <c r="B516" s="533"/>
      <c r="C516" s="533">
        <f>SUM(C512:C515)</f>
      </c>
      <c r="D516" s="533">
        <f>SUM(D512:D515)</f>
      </c>
      <c r="E516" s="533">
        <f>SUM(E512:E515)</f>
      </c>
      <c r="F516" s="533">
        <f>SUM(F512:F515)</f>
      </c>
      <c r="G516" s="601">
        <f t="shared" si="69"/>
      </c>
      <c r="H516" s="601">
        <f t="shared" si="122"/>
      </c>
      <c r="I516" s="601">
        <f t="shared" si="187"/>
      </c>
      <c r="J516" s="533">
        <f t="shared" si="218"/>
      </c>
      <c r="K516" s="533"/>
    </row>
    <row customHeight="true" ht="16.071428571428573" r="517">
      <c r="A517" s="553" t="s">
        <v>935</v>
      </c>
      <c r="B517" s="553"/>
      <c r="C517" s="553"/>
      <c r="D517" s="553"/>
      <c r="E517" s="553"/>
      <c r="F517" s="553"/>
      <c r="G517" s="553"/>
      <c r="H517" s="553"/>
      <c r="I517" s="553"/>
      <c r="J517" s="553"/>
      <c r="K517" s="553"/>
    </row>
    <row customHeight="true" ht="16.071428571428573" r="518">
      <c r="A518" s="564" t="s">
        <v>915</v>
      </c>
      <c r="B518" s="564" t="s">
        <v>937</v>
      </c>
      <c r="C518" s="564" t="s">
        <v>938</v>
      </c>
      <c r="D518" s="564" t="s">
        <v>939</v>
      </c>
      <c r="E518" s="564" t="s">
        <v>940</v>
      </c>
      <c r="F518" s="564" t="s">
        <v>941</v>
      </c>
      <c r="G518" s="564" t="s">
        <v>942</v>
      </c>
      <c r="H518" s="565" t="s">
        <v>910</v>
      </c>
      <c r="I518" s="565" t="s">
        <v>943</v>
      </c>
      <c r="J518" s="565" t="s">
        <v>944</v>
      </c>
      <c r="K518" s="565" t="s">
        <v>914</v>
      </c>
    </row>
    <row customHeight="true" ht="16.071428571428573" r="519">
      <c r="A519" s="568">
        <f>SUM(D512:D515)</f>
      </c>
      <c r="B519" s="568">
        <f>SUM(E512:E515)</f>
      </c>
      <c r="C519" s="569">
        <f>B519/((K519*300)+A519)</f>
      </c>
      <c r="D519" s="570">
        <f>A519/J519</f>
      </c>
      <c r="E519" s="569">
        <f>B519/J519</f>
      </c>
      <c r="F519" s="571">
        <f>J519/I519</f>
      </c>
      <c r="G519" s="571">
        <f>H519/J519</f>
      </c>
      <c r="H519" s="603">
        <v>6</v>
      </c>
      <c r="I519" s="572">
        <v>53</v>
      </c>
      <c r="J519" s="572">
        <f>F516</f>
      </c>
      <c r="K519" s="573">
        <f>C516</f>
      </c>
    </row>
    <row customHeight="true" ht="16.071428571428573" r="520">
      <c r="A520" s="604">
        <f>A521-A519</f>
      </c>
      <c r="B520" s="604">
        <f>B521-B519</f>
      </c>
      <c r="C520" s="605"/>
      <c r="D520" s="605"/>
      <c r="E520" s="605"/>
      <c r="F520" s="605"/>
      <c r="G520" s="605"/>
      <c r="H520" s="605"/>
      <c r="I520" s="605"/>
      <c r="J520" s="605"/>
      <c r="K520" s="605"/>
    </row>
    <row customHeight="true" ht="16.071428571428573" r="521">
      <c r="A521" s="606">
        <v>44364.16</v>
      </c>
      <c r="B521" s="606">
        <v>82931</v>
      </c>
      <c r="C521" s="605"/>
      <c r="D521" s="605"/>
      <c r="E521" s="605"/>
      <c r="F521" s="605"/>
      <c r="G521" s="605"/>
      <c r="H521" s="605"/>
      <c r="I521" s="605"/>
      <c r="J521" s="605"/>
      <c r="K521" s="605"/>
    </row>
    <row customHeight="true" ht="16.071428571428573" r="522">
      <c r="A522" s="604"/>
      <c r="B522" s="604"/>
      <c r="C522" s="605"/>
      <c r="D522" s="605"/>
      <c r="E522" s="605"/>
      <c r="F522" s="605"/>
      <c r="G522" s="605"/>
      <c r="H522" s="605"/>
      <c r="I522" s="605"/>
      <c r="J522" s="605"/>
      <c r="K522" s="605"/>
    </row>
    <row customHeight="true" ht="16.071428571428573" r="523">
      <c r="A523" s="604"/>
      <c r="B523" s="604"/>
      <c r="C523" s="605"/>
      <c r="D523" s="605"/>
      <c r="E523" s="605"/>
      <c r="F523" s="605"/>
      <c r="G523" s="605"/>
      <c r="H523" s="605"/>
      <c r="I523" s="605"/>
      <c r="J523" s="605"/>
      <c r="K523" s="605"/>
    </row>
    <row customHeight="true" ht="16.071428571428573" r="524">
      <c r="A524" s="604"/>
      <c r="B524" s="604"/>
      <c r="C524" s="605"/>
      <c r="D524" s="605"/>
      <c r="E524" s="605"/>
      <c r="F524" s="605"/>
      <c r="G524" s="605"/>
      <c r="H524" s="605"/>
      <c r="I524" s="605"/>
      <c r="J524" s="605"/>
      <c r="K524" s="605"/>
    </row>
    <row customHeight="true" ht="16.071428571428573" r="525">
      <c r="A525" s="604"/>
      <c r="B525" s="604"/>
      <c r="C525" s="605"/>
      <c r="D525" s="605"/>
      <c r="E525" s="605"/>
      <c r="F525" s="605"/>
      <c r="G525" s="605"/>
      <c r="H525" s="605"/>
      <c r="I525" s="605"/>
      <c r="J525" s="605"/>
      <c r="K525" s="605"/>
    </row>
    <row customHeight="true" ht="16.071428571428573" r="526">
      <c r="A526" s="604"/>
      <c r="B526" s="604"/>
      <c r="C526" s="605"/>
      <c r="D526" s="605"/>
      <c r="E526" s="605"/>
      <c r="F526" s="605"/>
      <c r="G526" s="605"/>
      <c r="H526" s="605"/>
      <c r="I526" s="605"/>
      <c r="J526" s="605"/>
      <c r="K526" s="605"/>
    </row>
    <row customHeight="true" ht="16.071428571428573" r="527">
      <c r="A527" s="604"/>
      <c r="B527" s="604"/>
      <c r="C527" s="605"/>
      <c r="D527" s="605"/>
      <c r="E527" s="605"/>
      <c r="F527" s="605"/>
      <c r="G527" s="605"/>
      <c r="H527" s="605"/>
      <c r="I527" s="605"/>
      <c r="J527" s="605"/>
      <c r="K527" s="605"/>
    </row>
    <row customHeight="true" ht="16.071428571428573" r="528">
      <c r="A528" s="604"/>
      <c r="B528" s="604"/>
      <c r="C528" s="605"/>
      <c r="D528" s="605"/>
      <c r="E528" s="605"/>
      <c r="F528" s="605"/>
      <c r="G528" s="605"/>
      <c r="H528" s="605"/>
      <c r="I528" s="605"/>
      <c r="J528" s="605"/>
      <c r="K528" s="605"/>
    </row>
    <row customHeight="true" ht="16.071428571428573" r="529">
      <c r="A529" s="604"/>
      <c r="B529" s="604"/>
      <c r="C529" s="605"/>
      <c r="D529" s="605"/>
      <c r="E529" s="605"/>
      <c r="F529" s="605"/>
      <c r="G529" s="605"/>
      <c r="H529" s="605"/>
      <c r="I529" s="605"/>
      <c r="J529" s="605"/>
      <c r="K529" s="605"/>
    </row>
    <row customHeight="true" ht="16.071428571428573" r="530">
      <c r="A530" s="604"/>
      <c r="B530" s="604"/>
      <c r="C530" s="605"/>
      <c r="D530" s="605"/>
      <c r="E530" s="605"/>
      <c r="F530" s="605"/>
      <c r="G530" s="605"/>
      <c r="H530" s="605"/>
      <c r="I530" s="605"/>
      <c r="J530" s="605"/>
      <c r="K530" s="605"/>
    </row>
    <row customHeight="true" ht="16.071428571428573" r="531">
      <c r="A531" s="604"/>
      <c r="B531" s="604"/>
      <c r="C531" s="605"/>
      <c r="D531" s="605"/>
      <c r="E531" s="605"/>
      <c r="F531" s="605"/>
      <c r="G531" s="605"/>
      <c r="H531" s="605"/>
      <c r="I531" s="605"/>
      <c r="J531" s="605"/>
      <c r="K531" s="605"/>
    </row>
  </sheetData>
  <mergeCells>
    <mergeCell ref="B357:C357"/>
    <mergeCell ref="B353:C353"/>
    <mergeCell ref="AA349:AK349"/>
    <mergeCell ref="B348:C348"/>
    <mergeCell ref="AJ348:AK348"/>
    <mergeCell ref="AJ347:AK347"/>
    <mergeCell ref="AJ346:AK346"/>
    <mergeCell ref="AJ345:AK345"/>
    <mergeCell ref="AJ344:AK344"/>
    <mergeCell ref="AJ343:AK343"/>
    <mergeCell ref="D342:J342"/>
    <mergeCell ref="K342:R342"/>
    <mergeCell ref="S342:Y342"/>
    <mergeCell ref="A342:C342"/>
    <mergeCell ref="AA342:AK342"/>
    <mergeCell ref="B90:C90"/>
    <mergeCell ref="B89:C89"/>
    <mergeCell ref="B84:C84"/>
    <mergeCell ref="B80:C80"/>
    <mergeCell ref="AA75:AK75"/>
    <mergeCell ref="B75:C75"/>
    <mergeCell ref="AJ74:AK74"/>
    <mergeCell ref="AJ73:AK73"/>
    <mergeCell ref="AJ72:AK72"/>
    <mergeCell ref="AJ71:AK71"/>
    <mergeCell ref="AJ70:AK70"/>
    <mergeCell ref="A70:A90"/>
    <mergeCell ref="AJ69:AK69"/>
    <mergeCell ref="AA68:AK68"/>
    <mergeCell ref="A68:C68"/>
    <mergeCell ref="D68:J68"/>
    <mergeCell ref="K68:R68"/>
    <mergeCell ref="S68:Y68"/>
    <mergeCell ref="A298:A318"/>
    <mergeCell ref="B317:C317"/>
    <mergeCell ref="B318:C318"/>
    <mergeCell ref="B311:C311"/>
    <mergeCell ref="B307:C307"/>
    <mergeCell ref="AA303:AK303"/>
    <mergeCell ref="B302:C302"/>
    <mergeCell ref="AJ302:AK302"/>
    <mergeCell ref="AJ301:AK301"/>
    <mergeCell ref="AJ300:AK300"/>
    <mergeCell ref="AJ299:AK299"/>
    <mergeCell ref="AJ298:AK298"/>
    <mergeCell ref="AJ297:AK297"/>
    <mergeCell ref="D296:J296"/>
    <mergeCell ref="K296:R296"/>
    <mergeCell ref="S296:Y296"/>
    <mergeCell ref="A296:C296"/>
    <mergeCell ref="AA296:AK296"/>
    <mergeCell ref="B295:C295"/>
    <mergeCell ref="B294:C294"/>
    <mergeCell ref="B289:C289"/>
    <mergeCell ref="B284:C284"/>
    <mergeCell ref="AA280:AK280"/>
    <mergeCell ref="B279:C279"/>
    <mergeCell ref="AJ279:AK279"/>
    <mergeCell ref="AJ278:AK278"/>
    <mergeCell ref="AJ277:AK277"/>
    <mergeCell ref="AJ276:AK276"/>
    <mergeCell ref="A275:A295"/>
    <mergeCell ref="AJ275:AK275"/>
    <mergeCell ref="AJ274:AK274"/>
    <mergeCell ref="D273:J273"/>
    <mergeCell ref="K273:R273"/>
    <mergeCell ref="S273:Y273"/>
    <mergeCell ref="A273:C273"/>
    <mergeCell ref="AA273:AK273"/>
    <mergeCell ref="B272:C272"/>
    <mergeCell ref="B271:C271"/>
    <mergeCell ref="B265:C265"/>
    <mergeCell ref="B261:C261"/>
    <mergeCell ref="AA257:AK257"/>
    <mergeCell ref="B256:C256"/>
    <mergeCell ref="AJ256:AK256"/>
    <mergeCell ref="AJ255:AK255"/>
    <mergeCell ref="AJ254:AK254"/>
    <mergeCell ref="AJ253:AK253"/>
    <mergeCell ref="AJ252:AK252"/>
    <mergeCell ref="A252:A272"/>
    <mergeCell ref="AJ251:AK251"/>
    <mergeCell ref="D250:J250"/>
    <mergeCell ref="K250:R250"/>
    <mergeCell ref="S250:Y250"/>
    <mergeCell ref="A250:C250"/>
    <mergeCell ref="AA250:AK250"/>
    <mergeCell ref="AA236:AK236"/>
    <mergeCell ref="AJ235:AK235"/>
    <mergeCell ref="AJ234:AK234"/>
    <mergeCell ref="AJ233:AK233"/>
    <mergeCell ref="AJ232:AK232"/>
    <mergeCell ref="AJ231:AK231"/>
    <mergeCell ref="AA230:AK230"/>
    <mergeCell ref="A231:A249"/>
    <mergeCell ref="B242:C242"/>
    <mergeCell ref="B248:C248"/>
    <mergeCell ref="B249:C249"/>
    <mergeCell ref="B236:C236"/>
    <mergeCell ref="D229:J229"/>
    <mergeCell ref="K229:R229"/>
    <mergeCell ref="S229:Y229"/>
    <mergeCell ref="A229:C229"/>
    <mergeCell ref="B228:C228"/>
    <mergeCell ref="B227:C227"/>
    <mergeCell ref="B221:C221"/>
    <mergeCell ref="B217:C217"/>
    <mergeCell ref="AA213:AK213"/>
    <mergeCell ref="B212:C212"/>
    <mergeCell ref="AJ212:AK212"/>
    <mergeCell ref="AJ211:AK211"/>
    <mergeCell ref="AJ210:AK210"/>
    <mergeCell ref="AJ209:AK209"/>
    <mergeCell ref="AJ208:AK208"/>
    <mergeCell ref="A208:A228"/>
    <mergeCell ref="AJ207:AK207"/>
    <mergeCell ref="D206:J206"/>
    <mergeCell ref="K206:R206"/>
    <mergeCell ref="S206:Y206"/>
    <mergeCell ref="A206:C206"/>
    <mergeCell ref="AA206:AK206"/>
    <mergeCell ref="B205:C205"/>
    <mergeCell ref="B204:C204"/>
    <mergeCell ref="B198:C198"/>
    <mergeCell ref="B194:C194"/>
    <mergeCell ref="AA190:AK190"/>
    <mergeCell ref="B189:C189"/>
    <mergeCell ref="AJ189:AK189"/>
    <mergeCell ref="AJ188:AK188"/>
    <mergeCell ref="AJ187:AK187"/>
    <mergeCell ref="AJ186:AK186"/>
    <mergeCell ref="AJ185:AK185"/>
    <mergeCell ref="A185:A205"/>
    <mergeCell ref="AJ184:AK184"/>
    <mergeCell ref="D183:J183"/>
    <mergeCell ref="K183:R183"/>
    <mergeCell ref="S183:Y183"/>
    <mergeCell ref="A183:C183"/>
    <mergeCell ref="AA183:AK183"/>
    <mergeCell ref="B106:C106"/>
    <mergeCell ref="B102:C102"/>
    <mergeCell ref="B97:C97"/>
    <mergeCell ref="S91:Y91"/>
    <mergeCell ref="K91:R91"/>
    <mergeCell ref="D91:J91"/>
    <mergeCell ref="A91:C91"/>
    <mergeCell ref="A93:A113"/>
    <mergeCell ref="B112:C112"/>
    <mergeCell ref="B113:C113"/>
    <mergeCell ref="AA91:AK91"/>
    <mergeCell ref="AJ92:AK92"/>
    <mergeCell ref="AJ93:AK93"/>
    <mergeCell ref="AJ94:AK94"/>
    <mergeCell ref="AJ95:AK95"/>
    <mergeCell ref="AJ96:AK96"/>
    <mergeCell ref="AJ97:AK97"/>
    <mergeCell ref="AA98:AK98"/>
    <mergeCell ref="D114:J114"/>
    <mergeCell ref="K114:R114"/>
    <mergeCell ref="S114:Y114"/>
    <mergeCell ref="A114:C114"/>
    <mergeCell ref="A116:A136"/>
    <mergeCell ref="B120:C120"/>
    <mergeCell ref="B125:C125"/>
    <mergeCell ref="B130:C130"/>
    <mergeCell ref="B135:C135"/>
    <mergeCell ref="B136:C136"/>
    <mergeCell ref="AA116:AK116"/>
    <mergeCell ref="AJ117:AK117"/>
    <mergeCell ref="AJ118:AK118"/>
    <mergeCell ref="AJ119:AK119"/>
    <mergeCell ref="AJ120:AK120"/>
    <mergeCell ref="AJ121:AK121"/>
    <mergeCell ref="AJ122:AK122"/>
    <mergeCell ref="AA123:AK123"/>
    <mergeCell ref="D137:J137"/>
    <mergeCell ref="K137:R137"/>
    <mergeCell ref="S137:Y137"/>
    <mergeCell ref="A137:C137"/>
    <mergeCell ref="A139:A159"/>
    <mergeCell ref="B143:C143"/>
    <mergeCell ref="B148:C148"/>
    <mergeCell ref="B153:C153"/>
    <mergeCell ref="B158:C158"/>
    <mergeCell ref="B159:C159"/>
    <mergeCell ref="AA137:AK137"/>
    <mergeCell ref="AJ138:AK138"/>
    <mergeCell ref="AJ139:AK139"/>
    <mergeCell ref="AJ140:AK140"/>
    <mergeCell ref="AJ141:AK141"/>
    <mergeCell ref="AJ142:AK142"/>
    <mergeCell ref="AJ143:AK143"/>
    <mergeCell ref="AA144:AK144"/>
    <mergeCell ref="D160:J160"/>
    <mergeCell ref="K160:R160"/>
    <mergeCell ref="S160:Y160"/>
    <mergeCell ref="A160:C160"/>
    <mergeCell ref="AA160:AK160"/>
    <mergeCell ref="AJ161:AK161"/>
    <mergeCell ref="AJ162:AK162"/>
    <mergeCell ref="AJ163:AK163"/>
    <mergeCell ref="AJ164:AK164"/>
    <mergeCell ref="AJ165:AK165"/>
    <mergeCell ref="B166:C166"/>
    <mergeCell ref="AJ166:AK166"/>
    <mergeCell ref="AA167:AK167"/>
    <mergeCell ref="B171:C171"/>
    <mergeCell ref="B175:C175"/>
    <mergeCell ref="B182:C182"/>
    <mergeCell ref="B181:C181"/>
    <mergeCell ref="A162:A182"/>
    <mergeCell ref="D319:J319"/>
    <mergeCell ref="K319:R319"/>
    <mergeCell ref="S319:Y319"/>
    <mergeCell ref="A319:C319"/>
    <mergeCell ref="AA319:AK319"/>
    <mergeCell ref="AJ320:AK320"/>
    <mergeCell ref="A321:A341"/>
    <mergeCell ref="AJ321:AK321"/>
    <mergeCell ref="AJ322:AK322"/>
    <mergeCell ref="AJ323:AK323"/>
    <mergeCell ref="AJ324:AK324"/>
    <mergeCell ref="B325:C325"/>
    <mergeCell ref="AJ325:AK325"/>
    <mergeCell ref="AA326:AK326"/>
    <mergeCell ref="B330:C330"/>
    <mergeCell ref="B335:C335"/>
    <mergeCell ref="B340:C340"/>
    <mergeCell ref="B341:C341"/>
    <mergeCell ref="AA52:AK52"/>
    <mergeCell ref="AJ51:AK51"/>
    <mergeCell ref="AJ47:AK47"/>
    <mergeCell ref="AJ46:AK46"/>
    <mergeCell ref="AA45:AK45"/>
    <mergeCell ref="B67:C67"/>
    <mergeCell ref="B66:C66"/>
    <mergeCell ref="B61:C61"/>
    <mergeCell ref="A47:A67"/>
    <mergeCell ref="B57:C57"/>
    <mergeCell ref="B52:C52"/>
    <mergeCell ref="A45:C45"/>
    <mergeCell ref="D45:J45"/>
    <mergeCell ref="K45:R45"/>
    <mergeCell ref="S45:Y45"/>
    <mergeCell ref="AJ28:AK28"/>
    <mergeCell ref="AA29:AK29"/>
    <mergeCell ref="AJ27:AK27"/>
    <mergeCell ref="AJ26:AK26"/>
    <mergeCell ref="AJ25:AK25"/>
    <mergeCell ref="AJ24:AK24"/>
    <mergeCell ref="B44:C44"/>
    <mergeCell ref="B43:C43"/>
    <mergeCell ref="B36:C36"/>
    <mergeCell ref="B30:C30"/>
    <mergeCell ref="A25:A44"/>
    <mergeCell ref="A23:C23"/>
    <mergeCell ref="D23:J23"/>
    <mergeCell ref="K23:R23"/>
    <mergeCell ref="S23:Y23"/>
    <mergeCell ref="AA23:AK23"/>
    <mergeCell ref="AJ6:AK6"/>
    <mergeCell ref="AA7:AK7"/>
    <mergeCell ref="AJ5:AK5"/>
    <mergeCell ref="AJ4:AK4"/>
    <mergeCell ref="AJ3:AK3"/>
    <mergeCell ref="AJ2:AK2"/>
    <mergeCell ref="B22:C22"/>
    <mergeCell ref="B21:C21"/>
    <mergeCell ref="B14:C14"/>
    <mergeCell ref="B8:C8"/>
    <mergeCell ref="A3:A22"/>
    <mergeCell ref="A1:C1"/>
    <mergeCell ref="D1:J1"/>
    <mergeCell ref="K1:R1"/>
    <mergeCell ref="S1:Y1"/>
    <mergeCell ref="AA1:AK1"/>
    <mergeCell ref="AJ48:AK48"/>
    <mergeCell ref="AJ49:AK49"/>
    <mergeCell ref="AJ50:AK50"/>
    <mergeCell ref="A344:A364"/>
    <mergeCell ref="B363:C363"/>
    <mergeCell ref="B364:C364"/>
    <mergeCell ref="A370:K370"/>
    <mergeCell ref="J371:K371"/>
    <mergeCell ref="J372:K372"/>
    <mergeCell ref="J373:K373"/>
    <mergeCell ref="J374:K374"/>
    <mergeCell ref="J375:K375"/>
    <mergeCell ref="J376:K376"/>
    <mergeCell ref="A377:K377"/>
    <mergeCell ref="J381:K381"/>
    <mergeCell ref="J382:K382"/>
    <mergeCell ref="J383:K383"/>
    <mergeCell ref="J384:K384"/>
    <mergeCell ref="J385:K385"/>
    <mergeCell ref="J386:K386"/>
    <mergeCell ref="A387:K387"/>
    <mergeCell ref="A380:K380"/>
    <mergeCell ref="A390:K390"/>
    <mergeCell ref="J391:K391"/>
    <mergeCell ref="J392:K392"/>
    <mergeCell ref="J393:K393"/>
    <mergeCell ref="J394:K394"/>
    <mergeCell ref="J395:K395"/>
    <mergeCell ref="J396:K396"/>
    <mergeCell ref="A397:K397"/>
    <mergeCell ref="A400:K400"/>
    <mergeCell ref="J401:K401"/>
    <mergeCell ref="J402:K402"/>
    <mergeCell ref="J403:K403"/>
    <mergeCell ref="J404:K404"/>
    <mergeCell ref="J405:K405"/>
    <mergeCell ref="J406:K406"/>
    <mergeCell ref="A407:K407"/>
    <mergeCell ref="A410:K410"/>
    <mergeCell ref="J411:K411"/>
    <mergeCell ref="J412:K412"/>
    <mergeCell ref="J413:K413"/>
    <mergeCell ref="J414:K414"/>
    <mergeCell ref="J415:K415"/>
    <mergeCell ref="J416:K416"/>
    <mergeCell ref="A417:K417"/>
    <mergeCell ref="A420:K420"/>
    <mergeCell ref="J421:K421"/>
    <mergeCell ref="J422:K422"/>
    <mergeCell ref="J423:K423"/>
    <mergeCell ref="J424:K424"/>
    <mergeCell ref="J425:K425"/>
    <mergeCell ref="J426:K426"/>
    <mergeCell ref="A427:K427"/>
    <mergeCell ref="A430:K430"/>
    <mergeCell ref="J431:K431"/>
    <mergeCell ref="J432:K432"/>
    <mergeCell ref="J433:K433"/>
    <mergeCell ref="J434:K434"/>
    <mergeCell ref="J435:K435"/>
    <mergeCell ref="J436:K436"/>
    <mergeCell ref="A437:K437"/>
    <mergeCell ref="A440:K440"/>
    <mergeCell ref="J441:K441"/>
    <mergeCell ref="J442:K442"/>
    <mergeCell ref="J443:K443"/>
    <mergeCell ref="J444:K444"/>
    <mergeCell ref="J445:K445"/>
    <mergeCell ref="J446:K446"/>
    <mergeCell ref="A447:K447"/>
    <mergeCell ref="A450:K450"/>
    <mergeCell ref="J451:K451"/>
    <mergeCell ref="J452:K452"/>
    <mergeCell ref="J453:K453"/>
    <mergeCell ref="J454:K454"/>
    <mergeCell ref="J455:K455"/>
    <mergeCell ref="J456:K456"/>
    <mergeCell ref="A457:K457"/>
    <mergeCell ref="A460:K460"/>
    <mergeCell ref="J461:K461"/>
    <mergeCell ref="J462:K462"/>
    <mergeCell ref="J463:K463"/>
    <mergeCell ref="J464:K464"/>
    <mergeCell ref="J465:K465"/>
    <mergeCell ref="J466:K466"/>
    <mergeCell ref="A467:K467"/>
    <mergeCell ref="A470:K470"/>
    <mergeCell ref="J471:K471"/>
    <mergeCell ref="J472:K472"/>
    <mergeCell ref="J473:K473"/>
    <mergeCell ref="J474:K474"/>
    <mergeCell ref="J475:K475"/>
    <mergeCell ref="J476:K476"/>
    <mergeCell ref="A477:K477"/>
    <mergeCell ref="A480:K480"/>
    <mergeCell ref="J481:K481"/>
    <mergeCell ref="J482:K482"/>
    <mergeCell ref="J483:K483"/>
    <mergeCell ref="J484:K484"/>
    <mergeCell ref="J485:K485"/>
    <mergeCell ref="J486:K486"/>
    <mergeCell ref="A487:K487"/>
    <mergeCell ref="A490:K490"/>
    <mergeCell ref="J491:K491"/>
    <mergeCell ref="J492:K492"/>
    <mergeCell ref="J493:K493"/>
    <mergeCell ref="J494:K494"/>
    <mergeCell ref="J495:K495"/>
    <mergeCell ref="J496:K496"/>
    <mergeCell ref="A497:K497"/>
    <mergeCell ref="A500:K500"/>
    <mergeCell ref="J501:K501"/>
    <mergeCell ref="J502:K502"/>
    <mergeCell ref="J503:K503"/>
    <mergeCell ref="J504:K504"/>
    <mergeCell ref="J505:K505"/>
    <mergeCell ref="J506:K506"/>
    <mergeCell ref="A507:K507"/>
    <mergeCell ref="A510:K510"/>
    <mergeCell ref="J511:K511"/>
    <mergeCell ref="J512:K512"/>
    <mergeCell ref="J513:K513"/>
    <mergeCell ref="J514:K514"/>
    <mergeCell ref="J515:K515"/>
    <mergeCell ref="J516:K516"/>
    <mergeCell ref="A517:K5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